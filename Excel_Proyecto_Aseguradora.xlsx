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e9508c77447f5c3/Desktop/Proyectos/Análisis de Pólizas y Siniestros de una Compañía de Seguros/"/>
    </mc:Choice>
  </mc:AlternateContent>
  <xr:revisionPtr revIDLastSave="2368" documentId="11_AD4D2F04E46CFB4ACB3E20AE8556C86A683EDF16" xr6:coauthVersionLast="47" xr6:coauthVersionMax="47" xr10:uidLastSave="{6A6155C2-5198-42D5-8F29-1B2E5E5633A0}"/>
  <bookViews>
    <workbookView xWindow="-108" yWindow="-108" windowWidth="23256" windowHeight="12456" activeTab="4" xr2:uid="{00000000-000D-0000-FFFF-FFFF00000000}"/>
  </bookViews>
  <sheets>
    <sheet name="CLIENTES" sheetId="3" r:id="rId1"/>
    <sheet name="LISTAS" sheetId="4" r:id="rId2"/>
    <sheet name="POLIZAS" sheetId="1" r:id="rId3"/>
    <sheet name="SINIESTROS" sheetId="2" r:id="rId4"/>
    <sheet name="CALCULOS" sheetId="5" r:id="rId5"/>
  </sheets>
  <definedNames>
    <definedName name="_xlnm._FilterDatabase" localSheetId="3" hidden="1">SINIESTROS!$A$1:$O$301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2" i="5"/>
  <c r="K3" i="5"/>
  <c r="L3" i="5" s="1"/>
  <c r="K4" i="5"/>
  <c r="L4" i="5" s="1"/>
  <c r="K5" i="5"/>
  <c r="L5" i="5" s="1"/>
  <c r="K6" i="5"/>
  <c r="L6" i="5" s="1"/>
  <c r="K2" i="5"/>
  <c r="L2" i="5" s="1"/>
  <c r="B3" i="5"/>
  <c r="B4" i="5"/>
  <c r="B5" i="5"/>
  <c r="B2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2" i="2"/>
  <c r="C2" i="1"/>
  <c r="E2" i="1"/>
  <c r="P2" i="1" s="1"/>
  <c r="M2" i="1"/>
  <c r="N2" i="1" a="1"/>
  <c r="L2" i="1" s="1"/>
  <c r="C3" i="1"/>
  <c r="E3" i="1"/>
  <c r="P3" i="1" s="1"/>
  <c r="M3" i="1"/>
  <c r="N3" i="1" a="1"/>
  <c r="L3" i="1" s="1"/>
  <c r="C4" i="1"/>
  <c r="E4" i="1"/>
  <c r="P4" i="1" s="1"/>
  <c r="M4" i="1"/>
  <c r="N4" i="1" a="1"/>
  <c r="L4" i="1" s="1"/>
  <c r="C5" i="1"/>
  <c r="E5" i="1"/>
  <c r="P5" i="1" s="1"/>
  <c r="M5" i="1"/>
  <c r="N5" i="1" a="1"/>
  <c r="L5" i="1" s="1"/>
  <c r="C6" i="1"/>
  <c r="E6" i="1"/>
  <c r="P6" i="1" s="1"/>
  <c r="M6" i="1"/>
  <c r="N6" i="1" a="1"/>
  <c r="L6" i="1" s="1"/>
  <c r="C7" i="1"/>
  <c r="E7" i="1"/>
  <c r="P7" i="1" s="1"/>
  <c r="M7" i="1"/>
  <c r="N7" i="1" a="1"/>
  <c r="L7" i="1" s="1"/>
  <c r="C8" i="1"/>
  <c r="E8" i="1"/>
  <c r="P8" i="1" s="1"/>
  <c r="M8" i="1"/>
  <c r="N8" i="1" a="1"/>
  <c r="L8" i="1" s="1"/>
  <c r="C9" i="1"/>
  <c r="E9" i="1"/>
  <c r="P9" i="1" s="1"/>
  <c r="M9" i="1"/>
  <c r="N9" i="1" a="1"/>
  <c r="L9" i="1" s="1"/>
  <c r="C10" i="1"/>
  <c r="E10" i="1"/>
  <c r="M10" i="1"/>
  <c r="N10" i="1" a="1"/>
  <c r="L10" i="1" s="1"/>
  <c r="P10" i="1"/>
  <c r="C11" i="1"/>
  <c r="E11" i="1"/>
  <c r="M11" i="1"/>
  <c r="N11" i="1" a="1"/>
  <c r="L11" i="1" s="1"/>
  <c r="P11" i="1"/>
  <c r="C12" i="1"/>
  <c r="E12" i="1"/>
  <c r="M12" i="1"/>
  <c r="N12" i="1" a="1"/>
  <c r="L12" i="1" s="1"/>
  <c r="P12" i="1"/>
  <c r="C13" i="1"/>
  <c r="E13" i="1"/>
  <c r="M13" i="1"/>
  <c r="N13" i="1" a="1"/>
  <c r="L13" i="1" s="1"/>
  <c r="P13" i="1"/>
  <c r="C14" i="1"/>
  <c r="E14" i="1"/>
  <c r="M14" i="1"/>
  <c r="N14" i="1" a="1"/>
  <c r="L14" i="1" s="1"/>
  <c r="P14" i="1"/>
  <c r="C15" i="1"/>
  <c r="E15" i="1"/>
  <c r="M15" i="1"/>
  <c r="N15" i="1" a="1"/>
  <c r="L15" i="1" s="1"/>
  <c r="P15" i="1"/>
  <c r="C16" i="1"/>
  <c r="E16" i="1"/>
  <c r="M16" i="1"/>
  <c r="N16" i="1" a="1"/>
  <c r="L16" i="1" s="1"/>
  <c r="P16" i="1"/>
  <c r="C17" i="1"/>
  <c r="E17" i="1"/>
  <c r="M17" i="1"/>
  <c r="N17" i="1" a="1"/>
  <c r="L17" i="1" s="1"/>
  <c r="P17" i="1"/>
  <c r="C18" i="1"/>
  <c r="E18" i="1"/>
  <c r="M18" i="1"/>
  <c r="N18" i="1" a="1"/>
  <c r="L18" i="1" s="1"/>
  <c r="P18" i="1"/>
  <c r="C19" i="1"/>
  <c r="E19" i="1"/>
  <c r="M19" i="1"/>
  <c r="N19" i="1" a="1"/>
  <c r="L19" i="1" s="1"/>
  <c r="P19" i="1"/>
  <c r="C20" i="1"/>
  <c r="E20" i="1"/>
  <c r="M20" i="1"/>
  <c r="N20" i="1" a="1"/>
  <c r="L20" i="1" s="1"/>
  <c r="P20" i="1"/>
  <c r="C21" i="1"/>
  <c r="E21" i="1"/>
  <c r="P21" i="1" s="1"/>
  <c r="M21" i="1"/>
  <c r="N21" i="1" a="1"/>
  <c r="L21" i="1" s="1"/>
  <c r="C22" i="1"/>
  <c r="E22" i="1"/>
  <c r="P22" i="1" s="1"/>
  <c r="M22" i="1"/>
  <c r="N22" i="1" a="1"/>
  <c r="C23" i="1"/>
  <c r="E23" i="1"/>
  <c r="M23" i="1"/>
  <c r="N23" i="1" a="1"/>
  <c r="P23" i="1"/>
  <c r="C24" i="1"/>
  <c r="E24" i="1"/>
  <c r="M24" i="1"/>
  <c r="N24" i="1" a="1"/>
  <c r="L24" i="1" s="1"/>
  <c r="P24" i="1"/>
  <c r="C25" i="1"/>
  <c r="E25" i="1"/>
  <c r="M25" i="1"/>
  <c r="N25" i="1" a="1"/>
  <c r="L25" i="1" s="1"/>
  <c r="P25" i="1"/>
  <c r="C26" i="1"/>
  <c r="E26" i="1"/>
  <c r="M26" i="1"/>
  <c r="N26" i="1" a="1"/>
  <c r="L26" i="1" s="1"/>
  <c r="P26" i="1"/>
  <c r="C27" i="1"/>
  <c r="E27" i="1"/>
  <c r="M27" i="1"/>
  <c r="N27" i="1" a="1"/>
  <c r="P27" i="1"/>
  <c r="C28" i="1"/>
  <c r="E28" i="1"/>
  <c r="M28" i="1"/>
  <c r="N28" i="1" a="1"/>
  <c r="P28" i="1"/>
  <c r="C29" i="1"/>
  <c r="E29" i="1"/>
  <c r="M29" i="1"/>
  <c r="N29" i="1" a="1"/>
  <c r="P29" i="1"/>
  <c r="C30" i="1"/>
  <c r="E30" i="1"/>
  <c r="M30" i="1"/>
  <c r="N30" i="1" a="1"/>
  <c r="P30" i="1"/>
  <c r="C31" i="1"/>
  <c r="E31" i="1"/>
  <c r="M31" i="1"/>
  <c r="N31" i="1" a="1"/>
  <c r="P31" i="1"/>
  <c r="C32" i="1"/>
  <c r="E32" i="1"/>
  <c r="M32" i="1"/>
  <c r="N32" i="1" a="1"/>
  <c r="P32" i="1"/>
  <c r="C33" i="1"/>
  <c r="E33" i="1"/>
  <c r="M33" i="1"/>
  <c r="N33" i="1" a="1"/>
  <c r="P33" i="1"/>
  <c r="C34" i="1"/>
  <c r="E34" i="1"/>
  <c r="M34" i="1"/>
  <c r="N34" i="1" a="1"/>
  <c r="P34" i="1"/>
  <c r="C35" i="1"/>
  <c r="E35" i="1"/>
  <c r="M35" i="1"/>
  <c r="N35" i="1" a="1"/>
  <c r="P35" i="1"/>
  <c r="C36" i="1"/>
  <c r="E36" i="1"/>
  <c r="M36" i="1"/>
  <c r="N36" i="1" a="1"/>
  <c r="P36" i="1"/>
  <c r="C37" i="1"/>
  <c r="E37" i="1"/>
  <c r="M37" i="1"/>
  <c r="N37" i="1" a="1"/>
  <c r="P37" i="1"/>
  <c r="C38" i="1"/>
  <c r="E38" i="1"/>
  <c r="M38" i="1"/>
  <c r="N38" i="1" a="1"/>
  <c r="P38" i="1"/>
  <c r="C39" i="1"/>
  <c r="E39" i="1"/>
  <c r="M39" i="1"/>
  <c r="N39" i="1" a="1"/>
  <c r="P39" i="1"/>
  <c r="C40" i="1"/>
  <c r="E40" i="1"/>
  <c r="M40" i="1"/>
  <c r="N40" i="1" a="1"/>
  <c r="P40" i="1"/>
  <c r="C41" i="1"/>
  <c r="E41" i="1"/>
  <c r="M41" i="1"/>
  <c r="N41" i="1" a="1"/>
  <c r="P41" i="1"/>
  <c r="C42" i="1"/>
  <c r="E42" i="1"/>
  <c r="M42" i="1"/>
  <c r="N42" i="1" a="1"/>
  <c r="P42" i="1"/>
  <c r="C43" i="1"/>
  <c r="E43" i="1"/>
  <c r="M43" i="1"/>
  <c r="N43" i="1" a="1"/>
  <c r="P43" i="1"/>
  <c r="C44" i="1"/>
  <c r="E44" i="1"/>
  <c r="M44" i="1"/>
  <c r="N44" i="1" a="1"/>
  <c r="P44" i="1"/>
  <c r="C45" i="1"/>
  <c r="E45" i="1"/>
  <c r="M45" i="1"/>
  <c r="N45" i="1" a="1"/>
  <c r="P45" i="1"/>
  <c r="C46" i="1"/>
  <c r="E46" i="1"/>
  <c r="M46" i="1"/>
  <c r="N46" i="1" a="1"/>
  <c r="P46" i="1"/>
  <c r="C47" i="1"/>
  <c r="E47" i="1"/>
  <c r="M47" i="1"/>
  <c r="N47" i="1" a="1"/>
  <c r="P47" i="1"/>
  <c r="C48" i="1"/>
  <c r="E48" i="1"/>
  <c r="M48" i="1"/>
  <c r="N48" i="1" a="1"/>
  <c r="P48" i="1"/>
  <c r="C49" i="1"/>
  <c r="E49" i="1"/>
  <c r="M49" i="1"/>
  <c r="N49" i="1" a="1"/>
  <c r="P49" i="1"/>
  <c r="C50" i="1"/>
  <c r="E50" i="1"/>
  <c r="M50" i="1"/>
  <c r="N50" i="1" a="1"/>
  <c r="P50" i="1"/>
  <c r="C51" i="1"/>
  <c r="E51" i="1"/>
  <c r="M51" i="1"/>
  <c r="N51" i="1" a="1"/>
  <c r="P51" i="1"/>
  <c r="C52" i="1"/>
  <c r="E52" i="1"/>
  <c r="M52" i="1"/>
  <c r="N52" i="1" a="1"/>
  <c r="P52" i="1"/>
  <c r="C53" i="1"/>
  <c r="E53" i="1"/>
  <c r="M53" i="1"/>
  <c r="N53" i="1" a="1"/>
  <c r="P53" i="1"/>
  <c r="C54" i="1"/>
  <c r="E54" i="1"/>
  <c r="M54" i="1"/>
  <c r="N54" i="1" a="1"/>
  <c r="P54" i="1"/>
  <c r="C55" i="1"/>
  <c r="E55" i="1"/>
  <c r="M55" i="1"/>
  <c r="N55" i="1" a="1"/>
  <c r="P55" i="1"/>
  <c r="C56" i="1"/>
  <c r="E56" i="1"/>
  <c r="M56" i="1"/>
  <c r="N56" i="1" a="1"/>
  <c r="P56" i="1"/>
  <c r="C57" i="1"/>
  <c r="E57" i="1"/>
  <c r="M57" i="1"/>
  <c r="N57" i="1" a="1"/>
  <c r="P57" i="1"/>
  <c r="C58" i="1"/>
  <c r="E58" i="1"/>
  <c r="M58" i="1"/>
  <c r="N58" i="1" a="1"/>
  <c r="P58" i="1"/>
  <c r="C59" i="1"/>
  <c r="E59" i="1"/>
  <c r="M59" i="1"/>
  <c r="N59" i="1" a="1"/>
  <c r="P59" i="1"/>
  <c r="C60" i="1"/>
  <c r="E60" i="1"/>
  <c r="M60" i="1"/>
  <c r="N60" i="1" a="1"/>
  <c r="P60" i="1"/>
  <c r="C61" i="1"/>
  <c r="E61" i="1"/>
  <c r="M61" i="1"/>
  <c r="N61" i="1" a="1"/>
  <c r="P61" i="1"/>
  <c r="C62" i="1"/>
  <c r="E62" i="1"/>
  <c r="M62" i="1"/>
  <c r="N62" i="1" a="1"/>
  <c r="P62" i="1"/>
  <c r="C63" i="1"/>
  <c r="E63" i="1"/>
  <c r="M63" i="1"/>
  <c r="N63" i="1" a="1"/>
  <c r="P63" i="1"/>
  <c r="C64" i="1"/>
  <c r="E64" i="1"/>
  <c r="M64" i="1"/>
  <c r="N64" i="1" a="1"/>
  <c r="P64" i="1"/>
  <c r="C65" i="1"/>
  <c r="E65" i="1"/>
  <c r="M65" i="1"/>
  <c r="N65" i="1" a="1"/>
  <c r="P65" i="1"/>
  <c r="C66" i="1"/>
  <c r="E66" i="1"/>
  <c r="M66" i="1"/>
  <c r="N66" i="1" a="1"/>
  <c r="P66" i="1"/>
  <c r="C67" i="1"/>
  <c r="E67" i="1"/>
  <c r="M67" i="1"/>
  <c r="N67" i="1" a="1"/>
  <c r="P67" i="1"/>
  <c r="C68" i="1"/>
  <c r="E68" i="1"/>
  <c r="M68" i="1"/>
  <c r="N68" i="1" a="1"/>
  <c r="P68" i="1"/>
  <c r="C69" i="1"/>
  <c r="E69" i="1"/>
  <c r="M69" i="1"/>
  <c r="N69" i="1" a="1"/>
  <c r="P69" i="1"/>
  <c r="C70" i="1"/>
  <c r="E70" i="1"/>
  <c r="M70" i="1"/>
  <c r="N70" i="1" a="1"/>
  <c r="P70" i="1"/>
  <c r="C71" i="1"/>
  <c r="E71" i="1"/>
  <c r="M71" i="1"/>
  <c r="N71" i="1" a="1"/>
  <c r="P71" i="1"/>
  <c r="C72" i="1"/>
  <c r="E72" i="1"/>
  <c r="M72" i="1"/>
  <c r="N72" i="1" a="1"/>
  <c r="P72" i="1"/>
  <c r="C73" i="1"/>
  <c r="E73" i="1"/>
  <c r="M73" i="1"/>
  <c r="N73" i="1" a="1"/>
  <c r="P73" i="1"/>
  <c r="C74" i="1"/>
  <c r="E74" i="1"/>
  <c r="M74" i="1"/>
  <c r="N74" i="1" a="1"/>
  <c r="P74" i="1"/>
  <c r="C75" i="1"/>
  <c r="E75" i="1"/>
  <c r="P75" i="1" s="1"/>
  <c r="M75" i="1"/>
  <c r="N75" i="1" a="1"/>
  <c r="C76" i="1"/>
  <c r="E76" i="1"/>
  <c r="P76" i="1" s="1"/>
  <c r="M76" i="1"/>
  <c r="N76" i="1" a="1"/>
  <c r="C77" i="1"/>
  <c r="E77" i="1"/>
  <c r="M77" i="1"/>
  <c r="N77" i="1" a="1"/>
  <c r="P77" i="1"/>
  <c r="C78" i="1"/>
  <c r="E78" i="1"/>
  <c r="M78" i="1"/>
  <c r="N78" i="1" a="1"/>
  <c r="P78" i="1"/>
  <c r="C79" i="1"/>
  <c r="E79" i="1"/>
  <c r="M79" i="1"/>
  <c r="N79" i="1" a="1"/>
  <c r="P79" i="1"/>
  <c r="C80" i="1"/>
  <c r="E80" i="1"/>
  <c r="M80" i="1"/>
  <c r="N80" i="1" a="1"/>
  <c r="P80" i="1"/>
  <c r="C81" i="1"/>
  <c r="E81" i="1"/>
  <c r="M81" i="1"/>
  <c r="N81" i="1" a="1"/>
  <c r="P81" i="1"/>
  <c r="C82" i="1"/>
  <c r="E82" i="1"/>
  <c r="M82" i="1"/>
  <c r="N82" i="1" a="1"/>
  <c r="P82" i="1"/>
  <c r="C83" i="1"/>
  <c r="E83" i="1"/>
  <c r="M83" i="1"/>
  <c r="N83" i="1" a="1"/>
  <c r="P83" i="1"/>
  <c r="C84" i="1"/>
  <c r="E84" i="1"/>
  <c r="M84" i="1"/>
  <c r="N84" i="1" a="1"/>
  <c r="P84" i="1"/>
  <c r="C85" i="1"/>
  <c r="E85" i="1"/>
  <c r="M85" i="1"/>
  <c r="N85" i="1" a="1"/>
  <c r="P85" i="1"/>
  <c r="C86" i="1"/>
  <c r="E86" i="1"/>
  <c r="M86" i="1"/>
  <c r="N86" i="1" a="1"/>
  <c r="P86" i="1"/>
  <c r="C87" i="1"/>
  <c r="E87" i="1"/>
  <c r="M87" i="1"/>
  <c r="N87" i="1" a="1"/>
  <c r="P87" i="1"/>
  <c r="C88" i="1"/>
  <c r="E88" i="1"/>
  <c r="M88" i="1"/>
  <c r="N88" i="1" a="1"/>
  <c r="P88" i="1"/>
  <c r="C89" i="1"/>
  <c r="E89" i="1"/>
  <c r="M89" i="1"/>
  <c r="N89" i="1" a="1"/>
  <c r="P89" i="1"/>
  <c r="C90" i="1"/>
  <c r="E90" i="1"/>
  <c r="M90" i="1"/>
  <c r="N90" i="1" a="1"/>
  <c r="P90" i="1"/>
  <c r="C91" i="1"/>
  <c r="E91" i="1"/>
  <c r="M91" i="1"/>
  <c r="N91" i="1" a="1"/>
  <c r="P91" i="1"/>
  <c r="C92" i="1"/>
  <c r="E92" i="1"/>
  <c r="M92" i="1"/>
  <c r="N92" i="1" a="1"/>
  <c r="P92" i="1"/>
  <c r="C93" i="1"/>
  <c r="E93" i="1"/>
  <c r="M93" i="1"/>
  <c r="N93" i="1" a="1"/>
  <c r="P93" i="1"/>
  <c r="C94" i="1"/>
  <c r="E94" i="1"/>
  <c r="M94" i="1"/>
  <c r="N94" i="1" a="1"/>
  <c r="P94" i="1"/>
  <c r="C95" i="1"/>
  <c r="E95" i="1"/>
  <c r="M95" i="1"/>
  <c r="N95" i="1" a="1"/>
  <c r="P95" i="1"/>
  <c r="C96" i="1"/>
  <c r="E96" i="1"/>
  <c r="M96" i="1"/>
  <c r="N96" i="1" a="1"/>
  <c r="P96" i="1"/>
  <c r="C97" i="1"/>
  <c r="E97" i="1"/>
  <c r="P97" i="1" s="1"/>
  <c r="M97" i="1"/>
  <c r="N97" i="1" a="1"/>
  <c r="C98" i="1"/>
  <c r="E98" i="1"/>
  <c r="M98" i="1"/>
  <c r="N98" i="1" a="1"/>
  <c r="P98" i="1"/>
  <c r="C99" i="1"/>
  <c r="E99" i="1"/>
  <c r="M99" i="1"/>
  <c r="N99" i="1" a="1"/>
  <c r="P99" i="1"/>
  <c r="C100" i="1"/>
  <c r="E100" i="1"/>
  <c r="M100" i="1"/>
  <c r="N100" i="1" a="1"/>
  <c r="P100" i="1"/>
  <c r="C101" i="1"/>
  <c r="E101" i="1"/>
  <c r="M101" i="1"/>
  <c r="N101" i="1" a="1"/>
  <c r="P101" i="1"/>
  <c r="C102" i="1"/>
  <c r="E102" i="1"/>
  <c r="M102" i="1"/>
  <c r="N102" i="1" a="1"/>
  <c r="P102" i="1"/>
  <c r="C103" i="1"/>
  <c r="E103" i="1"/>
  <c r="M103" i="1"/>
  <c r="N103" i="1" a="1"/>
  <c r="P103" i="1"/>
  <c r="C104" i="1"/>
  <c r="E104" i="1"/>
  <c r="M104" i="1"/>
  <c r="N104" i="1" a="1"/>
  <c r="P104" i="1"/>
  <c r="C105" i="1"/>
  <c r="E105" i="1"/>
  <c r="M105" i="1"/>
  <c r="N105" i="1" a="1"/>
  <c r="P105" i="1"/>
  <c r="C106" i="1"/>
  <c r="E106" i="1"/>
  <c r="M106" i="1"/>
  <c r="N106" i="1" a="1"/>
  <c r="P106" i="1"/>
  <c r="C107" i="1"/>
  <c r="E107" i="1"/>
  <c r="M107" i="1"/>
  <c r="N107" i="1" a="1"/>
  <c r="P107" i="1"/>
  <c r="C108" i="1"/>
  <c r="E108" i="1"/>
  <c r="M108" i="1"/>
  <c r="N108" i="1" a="1"/>
  <c r="P108" i="1"/>
  <c r="C109" i="1"/>
  <c r="E109" i="1"/>
  <c r="M109" i="1"/>
  <c r="N109" i="1" a="1"/>
  <c r="P109" i="1"/>
  <c r="C110" i="1"/>
  <c r="E110" i="1"/>
  <c r="P110" i="1" s="1"/>
  <c r="M110" i="1"/>
  <c r="N110" i="1" a="1"/>
  <c r="C111" i="1"/>
  <c r="E111" i="1"/>
  <c r="P111" i="1" s="1"/>
  <c r="M111" i="1"/>
  <c r="N111" i="1" a="1"/>
  <c r="C112" i="1"/>
  <c r="E112" i="1"/>
  <c r="M112" i="1"/>
  <c r="N112" i="1" a="1"/>
  <c r="P112" i="1"/>
  <c r="C113" i="1"/>
  <c r="E113" i="1"/>
  <c r="M113" i="1"/>
  <c r="N113" i="1" a="1"/>
  <c r="P113" i="1"/>
  <c r="C114" i="1"/>
  <c r="E114" i="1"/>
  <c r="M114" i="1"/>
  <c r="N114" i="1" a="1"/>
  <c r="P114" i="1"/>
  <c r="C115" i="1"/>
  <c r="E115" i="1"/>
  <c r="M115" i="1"/>
  <c r="N115" i="1" a="1"/>
  <c r="P115" i="1"/>
  <c r="C116" i="1"/>
  <c r="E116" i="1"/>
  <c r="M116" i="1"/>
  <c r="N116" i="1" a="1"/>
  <c r="P116" i="1"/>
  <c r="C117" i="1"/>
  <c r="E117" i="1"/>
  <c r="M117" i="1"/>
  <c r="N117" i="1" a="1"/>
  <c r="P117" i="1"/>
  <c r="C118" i="1"/>
  <c r="E118" i="1"/>
  <c r="M118" i="1"/>
  <c r="N118" i="1" a="1"/>
  <c r="P118" i="1"/>
  <c r="C119" i="1"/>
  <c r="E119" i="1"/>
  <c r="M119" i="1"/>
  <c r="N119" i="1" a="1"/>
  <c r="P119" i="1"/>
  <c r="C120" i="1"/>
  <c r="E120" i="1"/>
  <c r="M120" i="1"/>
  <c r="N120" i="1" a="1"/>
  <c r="P120" i="1"/>
  <c r="C121" i="1"/>
  <c r="E121" i="1"/>
  <c r="M121" i="1"/>
  <c r="N121" i="1" a="1"/>
  <c r="P121" i="1"/>
  <c r="C122" i="1"/>
  <c r="E122" i="1"/>
  <c r="M122" i="1"/>
  <c r="N122" i="1" a="1"/>
  <c r="P122" i="1"/>
  <c r="C123" i="1"/>
  <c r="E123" i="1"/>
  <c r="M123" i="1"/>
  <c r="N123" i="1" a="1"/>
  <c r="P123" i="1"/>
  <c r="C124" i="1"/>
  <c r="E124" i="1"/>
  <c r="M124" i="1"/>
  <c r="N124" i="1" a="1"/>
  <c r="P124" i="1"/>
  <c r="C125" i="1"/>
  <c r="E125" i="1"/>
  <c r="M125" i="1"/>
  <c r="N125" i="1" a="1"/>
  <c r="P125" i="1"/>
  <c r="C126" i="1"/>
  <c r="E126" i="1"/>
  <c r="M126" i="1"/>
  <c r="N126" i="1" a="1"/>
  <c r="P126" i="1"/>
  <c r="C127" i="1"/>
  <c r="E127" i="1"/>
  <c r="M127" i="1"/>
  <c r="N127" i="1" a="1"/>
  <c r="P127" i="1"/>
  <c r="C128" i="1"/>
  <c r="E128" i="1"/>
  <c r="M128" i="1"/>
  <c r="N128" i="1" a="1"/>
  <c r="P128" i="1"/>
  <c r="C129" i="1"/>
  <c r="E129" i="1"/>
  <c r="M129" i="1"/>
  <c r="N129" i="1" a="1"/>
  <c r="P129" i="1"/>
  <c r="C130" i="1"/>
  <c r="E130" i="1"/>
  <c r="M130" i="1"/>
  <c r="N130" i="1" a="1"/>
  <c r="P130" i="1"/>
  <c r="C131" i="1"/>
  <c r="E131" i="1"/>
  <c r="M131" i="1"/>
  <c r="N131" i="1" a="1"/>
  <c r="P131" i="1"/>
  <c r="C132" i="1"/>
  <c r="E132" i="1"/>
  <c r="M132" i="1"/>
  <c r="N132" i="1" a="1"/>
  <c r="P132" i="1"/>
  <c r="C133" i="1"/>
  <c r="E133" i="1"/>
  <c r="M133" i="1"/>
  <c r="N133" i="1" a="1"/>
  <c r="P133" i="1"/>
  <c r="C134" i="1"/>
  <c r="E134" i="1"/>
  <c r="M134" i="1"/>
  <c r="N134" i="1" a="1"/>
  <c r="P134" i="1"/>
  <c r="C135" i="1"/>
  <c r="E135" i="1"/>
  <c r="M135" i="1"/>
  <c r="N135" i="1" a="1"/>
  <c r="P135" i="1"/>
  <c r="C136" i="1"/>
  <c r="E136" i="1"/>
  <c r="M136" i="1"/>
  <c r="N136" i="1" a="1"/>
  <c r="P136" i="1"/>
  <c r="C137" i="1"/>
  <c r="E137" i="1"/>
  <c r="M137" i="1"/>
  <c r="N137" i="1" a="1"/>
  <c r="P137" i="1"/>
  <c r="C138" i="1"/>
  <c r="E138" i="1"/>
  <c r="M138" i="1"/>
  <c r="N138" i="1" a="1"/>
  <c r="P138" i="1"/>
  <c r="C139" i="1"/>
  <c r="E139" i="1"/>
  <c r="M139" i="1"/>
  <c r="N139" i="1" a="1"/>
  <c r="P139" i="1"/>
  <c r="C140" i="1"/>
  <c r="E140" i="1"/>
  <c r="M140" i="1"/>
  <c r="N140" i="1" a="1"/>
  <c r="P140" i="1"/>
  <c r="C141" i="1"/>
  <c r="E141" i="1"/>
  <c r="M141" i="1"/>
  <c r="N141" i="1" a="1"/>
  <c r="P141" i="1"/>
  <c r="C142" i="1"/>
  <c r="E142" i="1"/>
  <c r="M142" i="1"/>
  <c r="N142" i="1" a="1"/>
  <c r="P142" i="1"/>
  <c r="C143" i="1"/>
  <c r="E143" i="1"/>
  <c r="M143" i="1"/>
  <c r="N143" i="1" a="1"/>
  <c r="P143" i="1"/>
  <c r="C144" i="1"/>
  <c r="E144" i="1"/>
  <c r="M144" i="1"/>
  <c r="N144" i="1" a="1"/>
  <c r="P144" i="1"/>
  <c r="C145" i="1"/>
  <c r="E145" i="1"/>
  <c r="M145" i="1"/>
  <c r="N145" i="1" a="1"/>
  <c r="P145" i="1"/>
  <c r="C146" i="1"/>
  <c r="E146" i="1"/>
  <c r="M146" i="1"/>
  <c r="N146" i="1" a="1"/>
  <c r="P146" i="1"/>
  <c r="C147" i="1"/>
  <c r="E147" i="1"/>
  <c r="M147" i="1"/>
  <c r="N147" i="1" a="1"/>
  <c r="P147" i="1"/>
  <c r="C148" i="1"/>
  <c r="E148" i="1"/>
  <c r="M148" i="1"/>
  <c r="N148" i="1" a="1"/>
  <c r="P148" i="1"/>
  <c r="C149" i="1"/>
  <c r="E149" i="1"/>
  <c r="P149" i="1" s="1"/>
  <c r="M149" i="1"/>
  <c r="N149" i="1" a="1"/>
  <c r="C150" i="1"/>
  <c r="E150" i="1"/>
  <c r="P150" i="1" s="1"/>
  <c r="M150" i="1"/>
  <c r="N150" i="1" a="1"/>
  <c r="C151" i="1"/>
  <c r="E151" i="1"/>
  <c r="M151" i="1"/>
  <c r="N151" i="1" a="1"/>
  <c r="P151" i="1"/>
  <c r="C152" i="1"/>
  <c r="E152" i="1"/>
  <c r="P152" i="1" s="1"/>
  <c r="M152" i="1"/>
  <c r="N152" i="1" a="1"/>
  <c r="C153" i="1"/>
  <c r="E153" i="1"/>
  <c r="M153" i="1"/>
  <c r="N153" i="1" a="1"/>
  <c r="P153" i="1"/>
  <c r="C154" i="1"/>
  <c r="E154" i="1"/>
  <c r="M154" i="1"/>
  <c r="N154" i="1" a="1"/>
  <c r="P154" i="1"/>
  <c r="C155" i="1"/>
  <c r="E155" i="1"/>
  <c r="M155" i="1"/>
  <c r="N155" i="1" a="1"/>
  <c r="P155" i="1"/>
  <c r="C156" i="1"/>
  <c r="E156" i="1"/>
  <c r="M156" i="1"/>
  <c r="N156" i="1" a="1"/>
  <c r="P156" i="1"/>
  <c r="C157" i="1"/>
  <c r="E157" i="1"/>
  <c r="M157" i="1"/>
  <c r="N157" i="1" a="1"/>
  <c r="P157" i="1"/>
  <c r="C158" i="1"/>
  <c r="E158" i="1"/>
  <c r="M158" i="1"/>
  <c r="N158" i="1" a="1"/>
  <c r="P158" i="1"/>
  <c r="C159" i="1"/>
  <c r="E159" i="1"/>
  <c r="M159" i="1"/>
  <c r="N159" i="1" a="1"/>
  <c r="P159" i="1"/>
  <c r="C160" i="1"/>
  <c r="E160" i="1"/>
  <c r="M160" i="1"/>
  <c r="N160" i="1" a="1"/>
  <c r="P160" i="1"/>
  <c r="C161" i="1"/>
  <c r="E161" i="1"/>
  <c r="M161" i="1"/>
  <c r="N161" i="1" a="1"/>
  <c r="P161" i="1"/>
  <c r="C162" i="1"/>
  <c r="E162" i="1"/>
  <c r="M162" i="1"/>
  <c r="N162" i="1" a="1"/>
  <c r="P162" i="1"/>
  <c r="C163" i="1"/>
  <c r="E163" i="1"/>
  <c r="M163" i="1"/>
  <c r="N163" i="1" a="1"/>
  <c r="P163" i="1"/>
  <c r="C164" i="1"/>
  <c r="E164" i="1"/>
  <c r="M164" i="1"/>
  <c r="N164" i="1" a="1"/>
  <c r="P164" i="1"/>
  <c r="C165" i="1"/>
  <c r="E165" i="1"/>
  <c r="M165" i="1"/>
  <c r="N165" i="1" a="1"/>
  <c r="P165" i="1"/>
  <c r="C166" i="1"/>
  <c r="E166" i="1"/>
  <c r="M166" i="1"/>
  <c r="N166" i="1" a="1"/>
  <c r="P166" i="1"/>
  <c r="C167" i="1"/>
  <c r="E167" i="1"/>
  <c r="M167" i="1"/>
  <c r="N167" i="1" a="1"/>
  <c r="P167" i="1"/>
  <c r="C168" i="1"/>
  <c r="E168" i="1"/>
  <c r="M168" i="1"/>
  <c r="N168" i="1" a="1"/>
  <c r="P168" i="1"/>
  <c r="C169" i="1"/>
  <c r="E169" i="1"/>
  <c r="M169" i="1"/>
  <c r="N169" i="1" a="1"/>
  <c r="P169" i="1"/>
  <c r="C170" i="1"/>
  <c r="E170" i="1"/>
  <c r="M170" i="1"/>
  <c r="N170" i="1" a="1"/>
  <c r="P170" i="1"/>
  <c r="C171" i="1"/>
  <c r="E171" i="1"/>
  <c r="M171" i="1"/>
  <c r="N171" i="1" a="1"/>
  <c r="P171" i="1"/>
  <c r="C172" i="1"/>
  <c r="E172" i="1"/>
  <c r="M172" i="1"/>
  <c r="N172" i="1" a="1"/>
  <c r="P172" i="1"/>
  <c r="C173" i="1"/>
  <c r="E173" i="1"/>
  <c r="M173" i="1"/>
  <c r="N173" i="1" a="1"/>
  <c r="P173" i="1"/>
  <c r="C174" i="1"/>
  <c r="E174" i="1"/>
  <c r="M174" i="1"/>
  <c r="N174" i="1" a="1"/>
  <c r="P174" i="1"/>
  <c r="C175" i="1"/>
  <c r="E175" i="1"/>
  <c r="M175" i="1"/>
  <c r="N175" i="1" a="1"/>
  <c r="P175" i="1"/>
  <c r="C176" i="1"/>
  <c r="E176" i="1"/>
  <c r="M176" i="1"/>
  <c r="N176" i="1" a="1"/>
  <c r="P176" i="1"/>
  <c r="C177" i="1"/>
  <c r="E177" i="1"/>
  <c r="M177" i="1"/>
  <c r="N177" i="1" a="1"/>
  <c r="P177" i="1"/>
  <c r="C178" i="1"/>
  <c r="E178" i="1"/>
  <c r="M178" i="1"/>
  <c r="N178" i="1" a="1"/>
  <c r="P178" i="1"/>
  <c r="C179" i="1"/>
  <c r="E179" i="1"/>
  <c r="M179" i="1"/>
  <c r="N179" i="1" a="1"/>
  <c r="P179" i="1"/>
  <c r="C180" i="1"/>
  <c r="E180" i="1"/>
  <c r="M180" i="1"/>
  <c r="N180" i="1" a="1"/>
  <c r="P180" i="1"/>
  <c r="C181" i="1"/>
  <c r="E181" i="1"/>
  <c r="M181" i="1"/>
  <c r="N181" i="1" a="1"/>
  <c r="P181" i="1"/>
  <c r="C182" i="1"/>
  <c r="E182" i="1"/>
  <c r="M182" i="1"/>
  <c r="N182" i="1" a="1"/>
  <c r="P182" i="1"/>
  <c r="C183" i="1"/>
  <c r="E183" i="1"/>
  <c r="M183" i="1"/>
  <c r="N183" i="1" a="1"/>
  <c r="P183" i="1"/>
  <c r="C184" i="1"/>
  <c r="E184" i="1"/>
  <c r="M184" i="1"/>
  <c r="N184" i="1" a="1"/>
  <c r="P184" i="1"/>
  <c r="C185" i="1"/>
  <c r="E185" i="1"/>
  <c r="M185" i="1"/>
  <c r="N185" i="1" a="1"/>
  <c r="P185" i="1"/>
  <c r="C186" i="1"/>
  <c r="E186" i="1"/>
  <c r="M186" i="1"/>
  <c r="N186" i="1" a="1"/>
  <c r="P186" i="1"/>
  <c r="C187" i="1"/>
  <c r="E187" i="1"/>
  <c r="M187" i="1"/>
  <c r="N187" i="1" a="1"/>
  <c r="P187" i="1"/>
  <c r="C188" i="1"/>
  <c r="E188" i="1"/>
  <c r="M188" i="1"/>
  <c r="N188" i="1" a="1"/>
  <c r="P188" i="1"/>
  <c r="C189" i="1"/>
  <c r="E189" i="1"/>
  <c r="M189" i="1"/>
  <c r="N189" i="1" a="1"/>
  <c r="P189" i="1"/>
  <c r="C190" i="1"/>
  <c r="E190" i="1"/>
  <c r="M190" i="1"/>
  <c r="N190" i="1" a="1"/>
  <c r="P190" i="1"/>
  <c r="C191" i="1"/>
  <c r="E191" i="1"/>
  <c r="M191" i="1"/>
  <c r="N191" i="1" a="1"/>
  <c r="P191" i="1"/>
  <c r="C192" i="1"/>
  <c r="E192" i="1"/>
  <c r="M192" i="1"/>
  <c r="N192" i="1" a="1"/>
  <c r="P192" i="1"/>
  <c r="C193" i="1"/>
  <c r="E193" i="1"/>
  <c r="M193" i="1"/>
  <c r="N193" i="1" a="1"/>
  <c r="P193" i="1"/>
  <c r="C194" i="1"/>
  <c r="E194" i="1"/>
  <c r="M194" i="1"/>
  <c r="N194" i="1" a="1"/>
  <c r="P194" i="1"/>
  <c r="C195" i="1"/>
  <c r="E195" i="1"/>
  <c r="M195" i="1"/>
  <c r="N195" i="1" a="1"/>
  <c r="P195" i="1"/>
  <c r="C196" i="1"/>
  <c r="E196" i="1"/>
  <c r="M196" i="1"/>
  <c r="N196" i="1" a="1"/>
  <c r="P196" i="1"/>
  <c r="C197" i="1"/>
  <c r="E197" i="1"/>
  <c r="M197" i="1"/>
  <c r="N197" i="1" a="1"/>
  <c r="P197" i="1"/>
  <c r="C198" i="1"/>
  <c r="E198" i="1"/>
  <c r="M198" i="1"/>
  <c r="N198" i="1" a="1"/>
  <c r="P198" i="1"/>
  <c r="C199" i="1"/>
  <c r="E199" i="1"/>
  <c r="P199" i="1" s="1"/>
  <c r="M199" i="1"/>
  <c r="N199" i="1" a="1"/>
  <c r="C200" i="1"/>
  <c r="E200" i="1"/>
  <c r="P200" i="1" s="1"/>
  <c r="M200" i="1"/>
  <c r="N200" i="1" a="1"/>
  <c r="C201" i="1"/>
  <c r="E201" i="1"/>
  <c r="M201" i="1"/>
  <c r="N201" i="1" a="1"/>
  <c r="P201" i="1"/>
  <c r="C202" i="1"/>
  <c r="E202" i="1"/>
  <c r="M202" i="1"/>
  <c r="N202" i="1" a="1"/>
  <c r="P202" i="1"/>
  <c r="C203" i="1"/>
  <c r="E203" i="1"/>
  <c r="M203" i="1"/>
  <c r="N203" i="1" a="1"/>
  <c r="P203" i="1"/>
  <c r="C204" i="1"/>
  <c r="E204" i="1"/>
  <c r="M204" i="1"/>
  <c r="N204" i="1" a="1"/>
  <c r="P204" i="1"/>
  <c r="C205" i="1"/>
  <c r="E205" i="1"/>
  <c r="M205" i="1"/>
  <c r="N205" i="1" a="1"/>
  <c r="P205" i="1"/>
  <c r="C206" i="1"/>
  <c r="E206" i="1"/>
  <c r="M206" i="1"/>
  <c r="N206" i="1" a="1"/>
  <c r="P206" i="1"/>
  <c r="C207" i="1"/>
  <c r="E207" i="1"/>
  <c r="M207" i="1"/>
  <c r="N207" i="1" a="1"/>
  <c r="P207" i="1"/>
  <c r="C208" i="1"/>
  <c r="E208" i="1"/>
  <c r="M208" i="1"/>
  <c r="N208" i="1" a="1"/>
  <c r="P208" i="1"/>
  <c r="C209" i="1"/>
  <c r="E209" i="1"/>
  <c r="M209" i="1"/>
  <c r="N209" i="1" a="1"/>
  <c r="P209" i="1"/>
  <c r="C210" i="1"/>
  <c r="E210" i="1"/>
  <c r="M210" i="1"/>
  <c r="N210" i="1" a="1"/>
  <c r="P210" i="1"/>
  <c r="C211" i="1"/>
  <c r="E211" i="1"/>
  <c r="M211" i="1"/>
  <c r="N211" i="1" a="1"/>
  <c r="P211" i="1"/>
  <c r="C212" i="1"/>
  <c r="E212" i="1"/>
  <c r="M212" i="1"/>
  <c r="N212" i="1" a="1"/>
  <c r="P212" i="1"/>
  <c r="C213" i="1"/>
  <c r="E213" i="1"/>
  <c r="M213" i="1"/>
  <c r="N213" i="1" a="1"/>
  <c r="P213" i="1"/>
  <c r="C214" i="1"/>
  <c r="E214" i="1"/>
  <c r="M214" i="1"/>
  <c r="N214" i="1" a="1"/>
  <c r="P214" i="1"/>
  <c r="C215" i="1"/>
  <c r="E215" i="1"/>
  <c r="M215" i="1"/>
  <c r="N215" i="1" a="1"/>
  <c r="P215" i="1"/>
  <c r="C216" i="1"/>
  <c r="E216" i="1"/>
  <c r="M216" i="1"/>
  <c r="N216" i="1" a="1"/>
  <c r="P216" i="1"/>
  <c r="C217" i="1"/>
  <c r="E217" i="1"/>
  <c r="M217" i="1"/>
  <c r="N217" i="1" a="1"/>
  <c r="P217" i="1"/>
  <c r="C218" i="1"/>
  <c r="E218" i="1"/>
  <c r="M218" i="1"/>
  <c r="N218" i="1" a="1"/>
  <c r="P218" i="1"/>
  <c r="C219" i="1"/>
  <c r="E219" i="1"/>
  <c r="M219" i="1"/>
  <c r="N219" i="1" a="1"/>
  <c r="P219" i="1"/>
  <c r="C220" i="1"/>
  <c r="E220" i="1"/>
  <c r="M220" i="1"/>
  <c r="N220" i="1" a="1"/>
  <c r="P220" i="1"/>
  <c r="C221" i="1"/>
  <c r="E221" i="1"/>
  <c r="M221" i="1"/>
  <c r="N221" i="1" a="1"/>
  <c r="P221" i="1"/>
  <c r="C222" i="1"/>
  <c r="E222" i="1"/>
  <c r="M222" i="1"/>
  <c r="N222" i="1" a="1"/>
  <c r="P222" i="1"/>
  <c r="C223" i="1"/>
  <c r="E223" i="1"/>
  <c r="P223" i="1" s="1"/>
  <c r="M223" i="1"/>
  <c r="N223" i="1" a="1"/>
  <c r="C224" i="1"/>
  <c r="E224" i="1"/>
  <c r="P224" i="1" s="1"/>
  <c r="M224" i="1"/>
  <c r="N224" i="1" a="1"/>
  <c r="C225" i="1"/>
  <c r="E225" i="1"/>
  <c r="M225" i="1"/>
  <c r="N225" i="1" a="1"/>
  <c r="P225" i="1"/>
  <c r="C226" i="1"/>
  <c r="E226" i="1"/>
  <c r="M226" i="1"/>
  <c r="N226" i="1" a="1"/>
  <c r="P226" i="1"/>
  <c r="C227" i="1"/>
  <c r="E227" i="1"/>
  <c r="M227" i="1"/>
  <c r="N227" i="1" a="1"/>
  <c r="P227" i="1"/>
  <c r="C228" i="1"/>
  <c r="E228" i="1"/>
  <c r="M228" i="1"/>
  <c r="N228" i="1" a="1"/>
  <c r="P228" i="1"/>
  <c r="C229" i="1"/>
  <c r="E229" i="1"/>
  <c r="M229" i="1"/>
  <c r="N229" i="1" a="1"/>
  <c r="P229" i="1"/>
  <c r="C230" i="1"/>
  <c r="E230" i="1"/>
  <c r="M230" i="1"/>
  <c r="N230" i="1" a="1"/>
  <c r="P230" i="1"/>
  <c r="C231" i="1"/>
  <c r="E231" i="1"/>
  <c r="M231" i="1"/>
  <c r="N231" i="1" a="1"/>
  <c r="P231" i="1"/>
  <c r="C232" i="1"/>
  <c r="E232" i="1"/>
  <c r="M232" i="1"/>
  <c r="N232" i="1" a="1"/>
  <c r="P232" i="1"/>
  <c r="C233" i="1"/>
  <c r="E233" i="1"/>
  <c r="M233" i="1"/>
  <c r="N233" i="1" a="1"/>
  <c r="P233" i="1"/>
  <c r="C234" i="1"/>
  <c r="E234" i="1"/>
  <c r="M234" i="1"/>
  <c r="N234" i="1" a="1"/>
  <c r="P234" i="1"/>
  <c r="C235" i="1"/>
  <c r="E235" i="1"/>
  <c r="M235" i="1"/>
  <c r="N235" i="1" a="1"/>
  <c r="P235" i="1"/>
  <c r="C236" i="1"/>
  <c r="E236" i="1"/>
  <c r="M236" i="1"/>
  <c r="N236" i="1" a="1"/>
  <c r="P236" i="1"/>
  <c r="C237" i="1"/>
  <c r="E237" i="1"/>
  <c r="M237" i="1"/>
  <c r="N237" i="1" a="1"/>
  <c r="P237" i="1"/>
  <c r="C238" i="1"/>
  <c r="E238" i="1"/>
  <c r="M238" i="1"/>
  <c r="N238" i="1" a="1"/>
  <c r="P238" i="1"/>
  <c r="C239" i="1"/>
  <c r="E239" i="1"/>
  <c r="M239" i="1"/>
  <c r="N239" i="1" a="1"/>
  <c r="P239" i="1"/>
  <c r="C240" i="1"/>
  <c r="E240" i="1"/>
  <c r="M240" i="1"/>
  <c r="N240" i="1" a="1"/>
  <c r="P240" i="1"/>
  <c r="C241" i="1"/>
  <c r="E241" i="1"/>
  <c r="M241" i="1"/>
  <c r="N241" i="1" a="1"/>
  <c r="P241" i="1"/>
  <c r="C242" i="1"/>
  <c r="E242" i="1"/>
  <c r="M242" i="1"/>
  <c r="N242" i="1" a="1"/>
  <c r="P242" i="1"/>
  <c r="C243" i="1"/>
  <c r="E243" i="1"/>
  <c r="M243" i="1"/>
  <c r="N243" i="1" a="1"/>
  <c r="P243" i="1"/>
  <c r="C244" i="1"/>
  <c r="E244" i="1"/>
  <c r="M244" i="1"/>
  <c r="N244" i="1" a="1"/>
  <c r="P244" i="1"/>
  <c r="C245" i="1"/>
  <c r="E245" i="1"/>
  <c r="M245" i="1"/>
  <c r="N245" i="1" a="1"/>
  <c r="P245" i="1"/>
  <c r="C246" i="1"/>
  <c r="E246" i="1"/>
  <c r="M246" i="1"/>
  <c r="N246" i="1" a="1"/>
  <c r="P246" i="1"/>
  <c r="C247" i="1"/>
  <c r="E247" i="1"/>
  <c r="M247" i="1"/>
  <c r="N247" i="1" a="1"/>
  <c r="P247" i="1"/>
  <c r="C248" i="1"/>
  <c r="E248" i="1"/>
  <c r="M248" i="1"/>
  <c r="N248" i="1" a="1"/>
  <c r="P248" i="1"/>
  <c r="C249" i="1"/>
  <c r="E249" i="1"/>
  <c r="M249" i="1"/>
  <c r="N249" i="1" a="1"/>
  <c r="P249" i="1"/>
  <c r="C250" i="1"/>
  <c r="E250" i="1"/>
  <c r="M250" i="1"/>
  <c r="N250" i="1" a="1"/>
  <c r="P250" i="1"/>
  <c r="C251" i="1"/>
  <c r="E251" i="1"/>
  <c r="M251" i="1"/>
  <c r="N251" i="1" a="1"/>
  <c r="P251" i="1"/>
  <c r="C252" i="1"/>
  <c r="E252" i="1"/>
  <c r="M252" i="1"/>
  <c r="N252" i="1" a="1"/>
  <c r="P252" i="1"/>
  <c r="C253" i="1"/>
  <c r="E253" i="1"/>
  <c r="M253" i="1"/>
  <c r="N253" i="1" a="1"/>
  <c r="P253" i="1"/>
  <c r="C254" i="1"/>
  <c r="E254" i="1"/>
  <c r="M254" i="1"/>
  <c r="N254" i="1" a="1"/>
  <c r="P254" i="1"/>
  <c r="C255" i="1"/>
  <c r="E255" i="1"/>
  <c r="M255" i="1"/>
  <c r="N255" i="1" a="1"/>
  <c r="P255" i="1"/>
  <c r="C256" i="1"/>
  <c r="E256" i="1"/>
  <c r="M256" i="1"/>
  <c r="N256" i="1" a="1"/>
  <c r="P256" i="1"/>
  <c r="C257" i="1"/>
  <c r="E257" i="1"/>
  <c r="M257" i="1"/>
  <c r="N257" i="1" a="1"/>
  <c r="P257" i="1"/>
  <c r="C258" i="1"/>
  <c r="E258" i="1"/>
  <c r="M258" i="1"/>
  <c r="N258" i="1" a="1"/>
  <c r="P258" i="1"/>
  <c r="C259" i="1"/>
  <c r="E259" i="1"/>
  <c r="M259" i="1"/>
  <c r="N259" i="1" a="1"/>
  <c r="P259" i="1"/>
  <c r="C260" i="1"/>
  <c r="E260" i="1"/>
  <c r="M260" i="1"/>
  <c r="N260" i="1" a="1"/>
  <c r="P260" i="1"/>
  <c r="C261" i="1"/>
  <c r="E261" i="1"/>
  <c r="M261" i="1"/>
  <c r="N261" i="1" a="1"/>
  <c r="P261" i="1"/>
  <c r="C262" i="1"/>
  <c r="E262" i="1"/>
  <c r="M262" i="1"/>
  <c r="N262" i="1" a="1"/>
  <c r="P262" i="1"/>
  <c r="C263" i="1"/>
  <c r="E263" i="1"/>
  <c r="M263" i="1"/>
  <c r="N263" i="1" a="1"/>
  <c r="P263" i="1"/>
  <c r="C264" i="1"/>
  <c r="E264" i="1"/>
  <c r="M264" i="1"/>
  <c r="N264" i="1" a="1"/>
  <c r="P264" i="1"/>
  <c r="C265" i="1"/>
  <c r="E265" i="1"/>
  <c r="M265" i="1"/>
  <c r="N265" i="1" a="1"/>
  <c r="P265" i="1"/>
  <c r="C266" i="1"/>
  <c r="E266" i="1"/>
  <c r="M266" i="1"/>
  <c r="N266" i="1" a="1"/>
  <c r="P266" i="1"/>
  <c r="C267" i="1"/>
  <c r="E267" i="1"/>
  <c r="M267" i="1"/>
  <c r="N267" i="1" a="1"/>
  <c r="P267" i="1"/>
  <c r="C268" i="1"/>
  <c r="E268" i="1"/>
  <c r="M268" i="1"/>
  <c r="N268" i="1" a="1"/>
  <c r="P268" i="1"/>
  <c r="C269" i="1"/>
  <c r="E269" i="1"/>
  <c r="M269" i="1"/>
  <c r="N269" i="1" a="1"/>
  <c r="P269" i="1"/>
  <c r="C270" i="1"/>
  <c r="E270" i="1"/>
  <c r="M270" i="1"/>
  <c r="N270" i="1" a="1"/>
  <c r="P270" i="1"/>
  <c r="C271" i="1"/>
  <c r="E271" i="1"/>
  <c r="M271" i="1"/>
  <c r="N271" i="1" a="1"/>
  <c r="P271" i="1"/>
  <c r="C272" i="1"/>
  <c r="E272" i="1"/>
  <c r="M272" i="1"/>
  <c r="N272" i="1" a="1"/>
  <c r="P272" i="1"/>
  <c r="C273" i="1"/>
  <c r="E273" i="1"/>
  <c r="M273" i="1"/>
  <c r="N273" i="1" a="1"/>
  <c r="P273" i="1"/>
  <c r="C274" i="1"/>
  <c r="E274" i="1"/>
  <c r="M274" i="1"/>
  <c r="N274" i="1" a="1"/>
  <c r="P274" i="1"/>
  <c r="C275" i="1"/>
  <c r="E275" i="1"/>
  <c r="M275" i="1"/>
  <c r="N275" i="1" a="1"/>
  <c r="P275" i="1"/>
  <c r="C276" i="1"/>
  <c r="E276" i="1"/>
  <c r="M276" i="1"/>
  <c r="N276" i="1" a="1"/>
  <c r="P276" i="1"/>
  <c r="C277" i="1"/>
  <c r="E277" i="1"/>
  <c r="M277" i="1"/>
  <c r="N277" i="1" a="1"/>
  <c r="P277" i="1"/>
  <c r="C278" i="1"/>
  <c r="E278" i="1"/>
  <c r="M278" i="1"/>
  <c r="N278" i="1" a="1"/>
  <c r="P278" i="1"/>
  <c r="C279" i="1"/>
  <c r="E279" i="1"/>
  <c r="M279" i="1"/>
  <c r="N279" i="1" a="1"/>
  <c r="P279" i="1"/>
  <c r="C280" i="1"/>
  <c r="E280" i="1"/>
  <c r="M280" i="1"/>
  <c r="N280" i="1" a="1"/>
  <c r="P280" i="1"/>
  <c r="C281" i="1"/>
  <c r="E281" i="1"/>
  <c r="M281" i="1"/>
  <c r="N281" i="1" a="1"/>
  <c r="P281" i="1"/>
  <c r="C282" i="1"/>
  <c r="E282" i="1"/>
  <c r="M282" i="1"/>
  <c r="N282" i="1" a="1"/>
  <c r="P282" i="1"/>
  <c r="C283" i="1"/>
  <c r="E283" i="1"/>
  <c r="M283" i="1"/>
  <c r="N283" i="1" a="1"/>
  <c r="P283" i="1"/>
  <c r="C284" i="1"/>
  <c r="E284" i="1"/>
  <c r="M284" i="1"/>
  <c r="N284" i="1" a="1"/>
  <c r="P284" i="1"/>
  <c r="C285" i="1"/>
  <c r="E285" i="1"/>
  <c r="M285" i="1"/>
  <c r="N285" i="1" a="1"/>
  <c r="P285" i="1"/>
  <c r="C286" i="1"/>
  <c r="E286" i="1"/>
  <c r="M286" i="1"/>
  <c r="N286" i="1" a="1"/>
  <c r="P286" i="1"/>
  <c r="C287" i="1"/>
  <c r="E287" i="1"/>
  <c r="M287" i="1"/>
  <c r="N287" i="1" a="1"/>
  <c r="P287" i="1"/>
  <c r="C288" i="1"/>
  <c r="E288" i="1"/>
  <c r="P288" i="1" s="1"/>
  <c r="M288" i="1"/>
  <c r="N288" i="1" a="1"/>
  <c r="C289" i="1"/>
  <c r="E289" i="1"/>
  <c r="M289" i="1"/>
  <c r="N289" i="1" a="1"/>
  <c r="P289" i="1"/>
  <c r="C290" i="1"/>
  <c r="E290" i="1"/>
  <c r="M290" i="1"/>
  <c r="N290" i="1" a="1"/>
  <c r="P290" i="1"/>
  <c r="C291" i="1"/>
  <c r="E291" i="1"/>
  <c r="M291" i="1"/>
  <c r="N291" i="1" a="1"/>
  <c r="P291" i="1"/>
  <c r="C292" i="1"/>
  <c r="E292" i="1"/>
  <c r="M292" i="1"/>
  <c r="N292" i="1" a="1"/>
  <c r="P292" i="1"/>
  <c r="C293" i="1"/>
  <c r="E293" i="1"/>
  <c r="M293" i="1"/>
  <c r="N293" i="1" a="1"/>
  <c r="P293" i="1"/>
  <c r="C294" i="1"/>
  <c r="E294" i="1"/>
  <c r="M294" i="1"/>
  <c r="N294" i="1" a="1"/>
  <c r="P294" i="1"/>
  <c r="C295" i="1"/>
  <c r="E295" i="1"/>
  <c r="M295" i="1"/>
  <c r="N295" i="1" a="1"/>
  <c r="P295" i="1"/>
  <c r="C296" i="1"/>
  <c r="E296" i="1"/>
  <c r="M296" i="1"/>
  <c r="N296" i="1" a="1"/>
  <c r="P296" i="1"/>
  <c r="C297" i="1"/>
  <c r="E297" i="1"/>
  <c r="P297" i="1" s="1"/>
  <c r="M297" i="1"/>
  <c r="N297" i="1" a="1"/>
  <c r="C298" i="1"/>
  <c r="E298" i="1"/>
  <c r="M298" i="1"/>
  <c r="N298" i="1" a="1"/>
  <c r="P298" i="1"/>
  <c r="C299" i="1"/>
  <c r="E299" i="1"/>
  <c r="M299" i="1"/>
  <c r="N299" i="1" a="1"/>
  <c r="P299" i="1"/>
  <c r="C300" i="1"/>
  <c r="E300" i="1"/>
  <c r="M300" i="1"/>
  <c r="N300" i="1" a="1"/>
  <c r="P300" i="1"/>
  <c r="C301" i="1"/>
  <c r="E301" i="1"/>
  <c r="M301" i="1"/>
  <c r="N301" i="1" a="1"/>
  <c r="P301" i="1"/>
  <c r="C302" i="1"/>
  <c r="E302" i="1"/>
  <c r="M302" i="1"/>
  <c r="N302" i="1" a="1"/>
  <c r="P302" i="1"/>
  <c r="C303" i="1"/>
  <c r="E303" i="1"/>
  <c r="M303" i="1"/>
  <c r="N303" i="1" a="1"/>
  <c r="P303" i="1"/>
  <c r="C304" i="1"/>
  <c r="E304" i="1"/>
  <c r="M304" i="1"/>
  <c r="N304" i="1" a="1"/>
  <c r="P304" i="1"/>
  <c r="C305" i="1"/>
  <c r="E305" i="1"/>
  <c r="M305" i="1"/>
  <c r="N305" i="1" a="1"/>
  <c r="P305" i="1"/>
  <c r="C306" i="1"/>
  <c r="E306" i="1"/>
  <c r="M306" i="1"/>
  <c r="N306" i="1" a="1"/>
  <c r="P306" i="1"/>
  <c r="C307" i="1"/>
  <c r="E307" i="1"/>
  <c r="M307" i="1"/>
  <c r="N307" i="1" a="1"/>
  <c r="P307" i="1"/>
  <c r="C308" i="1"/>
  <c r="E308" i="1"/>
  <c r="M308" i="1"/>
  <c r="N308" i="1" a="1"/>
  <c r="P308" i="1"/>
  <c r="C309" i="1"/>
  <c r="E309" i="1"/>
  <c r="M309" i="1"/>
  <c r="N309" i="1" a="1"/>
  <c r="P309" i="1"/>
  <c r="C310" i="1"/>
  <c r="E310" i="1"/>
  <c r="M310" i="1"/>
  <c r="N310" i="1" a="1"/>
  <c r="P310" i="1"/>
  <c r="C311" i="1"/>
  <c r="E311" i="1"/>
  <c r="M311" i="1"/>
  <c r="N311" i="1" a="1"/>
  <c r="P311" i="1"/>
  <c r="C312" i="1"/>
  <c r="E312" i="1"/>
  <c r="M312" i="1"/>
  <c r="N312" i="1" a="1"/>
  <c r="P312" i="1"/>
  <c r="C313" i="1"/>
  <c r="E313" i="1"/>
  <c r="M313" i="1"/>
  <c r="N313" i="1" a="1"/>
  <c r="P313" i="1"/>
  <c r="J40" i="4"/>
  <c r="J41" i="4"/>
  <c r="J42" i="4"/>
  <c r="J43" i="4"/>
  <c r="J44" i="4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E314" i="1"/>
  <c r="P314" i="1" s="1"/>
  <c r="E315" i="1"/>
  <c r="P315" i="1" s="1"/>
  <c r="E316" i="1"/>
  <c r="P316" i="1" s="1"/>
  <c r="E317" i="1"/>
  <c r="P317" i="1" s="1"/>
  <c r="E318" i="1"/>
  <c r="P318" i="1" s="1"/>
  <c r="E319" i="1"/>
  <c r="P319" i="1" s="1"/>
  <c r="E320" i="1"/>
  <c r="P320" i="1" s="1"/>
  <c r="E321" i="1"/>
  <c r="P321" i="1" s="1"/>
  <c r="E322" i="1"/>
  <c r="P322" i="1" s="1"/>
  <c r="E323" i="1"/>
  <c r="P323" i="1" s="1"/>
  <c r="E324" i="1"/>
  <c r="P324" i="1" s="1"/>
  <c r="E325" i="1"/>
  <c r="P325" i="1" s="1"/>
  <c r="E326" i="1"/>
  <c r="P326" i="1" s="1"/>
  <c r="E327" i="1"/>
  <c r="P327" i="1" s="1"/>
  <c r="E328" i="1"/>
  <c r="P328" i="1" s="1"/>
  <c r="E329" i="1"/>
  <c r="P329" i="1" s="1"/>
  <c r="E330" i="1"/>
  <c r="P330" i="1" s="1"/>
  <c r="E331" i="1"/>
  <c r="P331" i="1" s="1"/>
  <c r="E332" i="1"/>
  <c r="P332" i="1" s="1"/>
  <c r="E333" i="1"/>
  <c r="P333" i="1" s="1"/>
  <c r="E334" i="1"/>
  <c r="P334" i="1" s="1"/>
  <c r="E335" i="1"/>
  <c r="P335" i="1" s="1"/>
  <c r="E336" i="1"/>
  <c r="P336" i="1" s="1"/>
  <c r="E337" i="1"/>
  <c r="P337" i="1" s="1"/>
  <c r="E338" i="1"/>
  <c r="P338" i="1" s="1"/>
  <c r="E340" i="1"/>
  <c r="P340" i="1" s="1"/>
  <c r="E341" i="1"/>
  <c r="P341" i="1" s="1"/>
  <c r="E342" i="1"/>
  <c r="P342" i="1" s="1"/>
  <c r="E343" i="1"/>
  <c r="P343" i="1" s="1"/>
  <c r="E344" i="1"/>
  <c r="P344" i="1" s="1"/>
  <c r="E345" i="1"/>
  <c r="P345" i="1" s="1"/>
  <c r="E346" i="1"/>
  <c r="P346" i="1" s="1"/>
  <c r="E347" i="1"/>
  <c r="P347" i="1" s="1"/>
  <c r="E348" i="1"/>
  <c r="P348" i="1" s="1"/>
  <c r="E349" i="1"/>
  <c r="P349" i="1" s="1"/>
  <c r="E350" i="1"/>
  <c r="P350" i="1" s="1"/>
  <c r="E351" i="1"/>
  <c r="P351" i="1" s="1"/>
  <c r="E352" i="1"/>
  <c r="P352" i="1" s="1"/>
  <c r="E353" i="1"/>
  <c r="P353" i="1" s="1"/>
  <c r="E354" i="1"/>
  <c r="P354" i="1" s="1"/>
  <c r="E355" i="1"/>
  <c r="P355" i="1" s="1"/>
  <c r="E356" i="1"/>
  <c r="P356" i="1" s="1"/>
  <c r="E357" i="1"/>
  <c r="P357" i="1" s="1"/>
  <c r="E358" i="1"/>
  <c r="P358" i="1" s="1"/>
  <c r="E359" i="1"/>
  <c r="P359" i="1" s="1"/>
  <c r="E360" i="1"/>
  <c r="P360" i="1" s="1"/>
  <c r="E361" i="1"/>
  <c r="P361" i="1" s="1"/>
  <c r="E362" i="1"/>
  <c r="P362" i="1" s="1"/>
  <c r="E364" i="1"/>
  <c r="P364" i="1" s="1"/>
  <c r="E365" i="1"/>
  <c r="P365" i="1" s="1"/>
  <c r="E366" i="1"/>
  <c r="P366" i="1" s="1"/>
  <c r="E367" i="1"/>
  <c r="P367" i="1" s="1"/>
  <c r="E368" i="1"/>
  <c r="P368" i="1" s="1"/>
  <c r="E369" i="1"/>
  <c r="P369" i="1" s="1"/>
  <c r="E370" i="1"/>
  <c r="P370" i="1" s="1"/>
  <c r="E371" i="1"/>
  <c r="P371" i="1" s="1"/>
  <c r="E372" i="1"/>
  <c r="P372" i="1" s="1"/>
  <c r="E373" i="1"/>
  <c r="P373" i="1" s="1"/>
  <c r="E374" i="1"/>
  <c r="P374" i="1" s="1"/>
  <c r="E375" i="1"/>
  <c r="P375" i="1" s="1"/>
  <c r="E376" i="1"/>
  <c r="P376" i="1" s="1"/>
  <c r="E377" i="1"/>
  <c r="P377" i="1" s="1"/>
  <c r="E378" i="1"/>
  <c r="P378" i="1" s="1"/>
  <c r="E379" i="1"/>
  <c r="P379" i="1" s="1"/>
  <c r="E380" i="1"/>
  <c r="P380" i="1" s="1"/>
  <c r="E381" i="1"/>
  <c r="P381" i="1" s="1"/>
  <c r="E382" i="1"/>
  <c r="P382" i="1" s="1"/>
  <c r="E383" i="1"/>
  <c r="P383" i="1" s="1"/>
  <c r="E384" i="1"/>
  <c r="P384" i="1" s="1"/>
  <c r="E385" i="1"/>
  <c r="P385" i="1" s="1"/>
  <c r="E386" i="1"/>
  <c r="P386" i="1" s="1"/>
  <c r="E387" i="1"/>
  <c r="P387" i="1" s="1"/>
  <c r="E388" i="1"/>
  <c r="P388" i="1" s="1"/>
  <c r="E389" i="1"/>
  <c r="P389" i="1" s="1"/>
  <c r="E390" i="1"/>
  <c r="P390" i="1" s="1"/>
  <c r="E391" i="1"/>
  <c r="P391" i="1" s="1"/>
  <c r="E392" i="1"/>
  <c r="P392" i="1" s="1"/>
  <c r="E393" i="1"/>
  <c r="P393" i="1" s="1"/>
  <c r="E394" i="1"/>
  <c r="P394" i="1" s="1"/>
  <c r="E395" i="1"/>
  <c r="P395" i="1" s="1"/>
  <c r="E396" i="1"/>
  <c r="P396" i="1" s="1"/>
  <c r="E397" i="1"/>
  <c r="P397" i="1" s="1"/>
  <c r="E398" i="1"/>
  <c r="P398" i="1" s="1"/>
  <c r="E399" i="1"/>
  <c r="P399" i="1" s="1"/>
  <c r="E400" i="1"/>
  <c r="P400" i="1" s="1"/>
  <c r="E401" i="1"/>
  <c r="P401" i="1" s="1"/>
  <c r="E402" i="1"/>
  <c r="P402" i="1" s="1"/>
  <c r="E403" i="1"/>
  <c r="P403" i="1" s="1"/>
  <c r="E404" i="1"/>
  <c r="P404" i="1" s="1"/>
  <c r="E405" i="1"/>
  <c r="P405" i="1" s="1"/>
  <c r="E406" i="1"/>
  <c r="P406" i="1" s="1"/>
  <c r="E407" i="1"/>
  <c r="P407" i="1" s="1"/>
  <c r="E408" i="1"/>
  <c r="P408" i="1" s="1"/>
  <c r="E409" i="1"/>
  <c r="P409" i="1" s="1"/>
  <c r="E410" i="1"/>
  <c r="P410" i="1" s="1"/>
  <c r="E411" i="1"/>
  <c r="P411" i="1" s="1"/>
  <c r="E412" i="1"/>
  <c r="P412" i="1" s="1"/>
  <c r="E413" i="1"/>
  <c r="P413" i="1" s="1"/>
  <c r="E414" i="1"/>
  <c r="P414" i="1" s="1"/>
  <c r="E415" i="1"/>
  <c r="P415" i="1" s="1"/>
  <c r="E416" i="1"/>
  <c r="P416" i="1" s="1"/>
  <c r="E417" i="1"/>
  <c r="P417" i="1" s="1"/>
  <c r="E418" i="1"/>
  <c r="P418" i="1" s="1"/>
  <c r="E419" i="1"/>
  <c r="P419" i="1" s="1"/>
  <c r="E420" i="1"/>
  <c r="P420" i="1" s="1"/>
  <c r="E421" i="1"/>
  <c r="P421" i="1" s="1"/>
  <c r="E422" i="1"/>
  <c r="P422" i="1" s="1"/>
  <c r="E423" i="1"/>
  <c r="P423" i="1" s="1"/>
  <c r="E424" i="1"/>
  <c r="P424" i="1" s="1"/>
  <c r="E425" i="1"/>
  <c r="P425" i="1" s="1"/>
  <c r="E426" i="1"/>
  <c r="P426" i="1" s="1"/>
  <c r="E427" i="1"/>
  <c r="P427" i="1" s="1"/>
  <c r="E428" i="1"/>
  <c r="P428" i="1" s="1"/>
  <c r="E429" i="1"/>
  <c r="P429" i="1" s="1"/>
  <c r="E430" i="1"/>
  <c r="P430" i="1" s="1"/>
  <c r="E431" i="1"/>
  <c r="P431" i="1" s="1"/>
  <c r="E432" i="1"/>
  <c r="P432" i="1" s="1"/>
  <c r="E433" i="1"/>
  <c r="P433" i="1" s="1"/>
  <c r="E434" i="1"/>
  <c r="P434" i="1" s="1"/>
  <c r="E435" i="1"/>
  <c r="P435" i="1" s="1"/>
  <c r="E436" i="1"/>
  <c r="P436" i="1" s="1"/>
  <c r="E438" i="1"/>
  <c r="P438" i="1" s="1"/>
  <c r="E439" i="1"/>
  <c r="P439" i="1" s="1"/>
  <c r="E440" i="1"/>
  <c r="P440" i="1" s="1"/>
  <c r="E441" i="1"/>
  <c r="P441" i="1" s="1"/>
  <c r="E442" i="1"/>
  <c r="P442" i="1" s="1"/>
  <c r="E443" i="1"/>
  <c r="P443" i="1" s="1"/>
  <c r="E444" i="1"/>
  <c r="P444" i="1" s="1"/>
  <c r="E445" i="1"/>
  <c r="P445" i="1" s="1"/>
  <c r="E446" i="1"/>
  <c r="P446" i="1" s="1"/>
  <c r="E447" i="1"/>
  <c r="P447" i="1" s="1"/>
  <c r="E448" i="1"/>
  <c r="P448" i="1" s="1"/>
  <c r="E449" i="1"/>
  <c r="P449" i="1" s="1"/>
  <c r="E450" i="1"/>
  <c r="P450" i="1" s="1"/>
  <c r="E451" i="1"/>
  <c r="P451" i="1" s="1"/>
  <c r="E452" i="1"/>
  <c r="P452" i="1" s="1"/>
  <c r="E453" i="1"/>
  <c r="P453" i="1" s="1"/>
  <c r="E454" i="1"/>
  <c r="P454" i="1" s="1"/>
  <c r="E455" i="1"/>
  <c r="P455" i="1" s="1"/>
  <c r="E456" i="1"/>
  <c r="P456" i="1" s="1"/>
  <c r="E457" i="1"/>
  <c r="P457" i="1" s="1"/>
  <c r="E458" i="1"/>
  <c r="P458" i="1" s="1"/>
  <c r="E459" i="1"/>
  <c r="P459" i="1" s="1"/>
  <c r="E460" i="1"/>
  <c r="P460" i="1" s="1"/>
  <c r="E461" i="1"/>
  <c r="P461" i="1" s="1"/>
  <c r="E462" i="1"/>
  <c r="P462" i="1" s="1"/>
  <c r="E463" i="1"/>
  <c r="P463" i="1" s="1"/>
  <c r="E464" i="1"/>
  <c r="P464" i="1" s="1"/>
  <c r="E465" i="1"/>
  <c r="P465" i="1" s="1"/>
  <c r="E466" i="1"/>
  <c r="P466" i="1" s="1"/>
  <c r="E467" i="1"/>
  <c r="P467" i="1" s="1"/>
  <c r="E468" i="1"/>
  <c r="P468" i="1" s="1"/>
  <c r="E469" i="1"/>
  <c r="P469" i="1" s="1"/>
  <c r="E470" i="1"/>
  <c r="P470" i="1" s="1"/>
  <c r="E471" i="1"/>
  <c r="P471" i="1" s="1"/>
  <c r="E472" i="1"/>
  <c r="P472" i="1" s="1"/>
  <c r="E473" i="1"/>
  <c r="P473" i="1" s="1"/>
  <c r="E474" i="1"/>
  <c r="P474" i="1" s="1"/>
  <c r="E475" i="1"/>
  <c r="P475" i="1" s="1"/>
  <c r="E476" i="1"/>
  <c r="P476" i="1" s="1"/>
  <c r="E477" i="1"/>
  <c r="P477" i="1" s="1"/>
  <c r="E478" i="1"/>
  <c r="P478" i="1" s="1"/>
  <c r="E479" i="1"/>
  <c r="P479" i="1" s="1"/>
  <c r="E480" i="1"/>
  <c r="P480" i="1" s="1"/>
  <c r="E481" i="1"/>
  <c r="P481" i="1" s="1"/>
  <c r="E482" i="1"/>
  <c r="P482" i="1" s="1"/>
  <c r="E483" i="1"/>
  <c r="P483" i="1" s="1"/>
  <c r="E484" i="1"/>
  <c r="P484" i="1" s="1"/>
  <c r="E486" i="1"/>
  <c r="P486" i="1" s="1"/>
  <c r="E487" i="1"/>
  <c r="P487" i="1" s="1"/>
  <c r="E488" i="1"/>
  <c r="P488" i="1" s="1"/>
  <c r="E489" i="1"/>
  <c r="P489" i="1" s="1"/>
  <c r="E490" i="1"/>
  <c r="P490" i="1" s="1"/>
  <c r="E491" i="1"/>
  <c r="P491" i="1" s="1"/>
  <c r="E492" i="1"/>
  <c r="P492" i="1" s="1"/>
  <c r="E493" i="1"/>
  <c r="P493" i="1" s="1"/>
  <c r="E494" i="1"/>
  <c r="P494" i="1" s="1"/>
  <c r="E495" i="1"/>
  <c r="P495" i="1" s="1"/>
  <c r="E496" i="1"/>
  <c r="P496" i="1" s="1"/>
  <c r="E497" i="1"/>
  <c r="P497" i="1" s="1"/>
  <c r="E498" i="1"/>
  <c r="P498" i="1" s="1"/>
  <c r="E499" i="1"/>
  <c r="P499" i="1" s="1"/>
  <c r="E500" i="1"/>
  <c r="P500" i="1" s="1"/>
  <c r="E501" i="1"/>
  <c r="P501" i="1" s="1"/>
  <c r="E502" i="1"/>
  <c r="P502" i="1" s="1"/>
  <c r="E503" i="1"/>
  <c r="P503" i="1" s="1"/>
  <c r="E504" i="1"/>
  <c r="P504" i="1" s="1"/>
  <c r="E505" i="1"/>
  <c r="P505" i="1" s="1"/>
  <c r="E506" i="1"/>
  <c r="P506" i="1" s="1"/>
  <c r="E507" i="1"/>
  <c r="P507" i="1" s="1"/>
  <c r="E508" i="1"/>
  <c r="P508" i="1" s="1"/>
  <c r="E509" i="1"/>
  <c r="P509" i="1" s="1"/>
  <c r="E510" i="1"/>
  <c r="P510" i="1" s="1"/>
  <c r="E511" i="1"/>
  <c r="P511" i="1" s="1"/>
  <c r="E512" i="1"/>
  <c r="P512" i="1" s="1"/>
  <c r="E513" i="1"/>
  <c r="P513" i="1" s="1"/>
  <c r="E514" i="1"/>
  <c r="P514" i="1" s="1"/>
  <c r="E515" i="1"/>
  <c r="P515" i="1" s="1"/>
  <c r="E516" i="1"/>
  <c r="P516" i="1" s="1"/>
  <c r="E518" i="1"/>
  <c r="P518" i="1" s="1"/>
  <c r="E519" i="1"/>
  <c r="P519" i="1" s="1"/>
  <c r="E520" i="1"/>
  <c r="P520" i="1" s="1"/>
  <c r="E521" i="1"/>
  <c r="P521" i="1" s="1"/>
  <c r="E522" i="1"/>
  <c r="P522" i="1" s="1"/>
  <c r="E523" i="1"/>
  <c r="P523" i="1" s="1"/>
  <c r="E524" i="1"/>
  <c r="P524" i="1" s="1"/>
  <c r="E525" i="1"/>
  <c r="P525" i="1" s="1"/>
  <c r="E526" i="1"/>
  <c r="P526" i="1" s="1"/>
  <c r="E527" i="1"/>
  <c r="P527" i="1" s="1"/>
  <c r="E565" i="1"/>
  <c r="P565" i="1" s="1"/>
  <c r="E566" i="1"/>
  <c r="P566" i="1" s="1"/>
  <c r="E567" i="1"/>
  <c r="P567" i="1" s="1"/>
  <c r="E568" i="1"/>
  <c r="P568" i="1" s="1"/>
  <c r="E569" i="1"/>
  <c r="P569" i="1" s="1"/>
  <c r="E570" i="1"/>
  <c r="P570" i="1" s="1"/>
  <c r="E571" i="1"/>
  <c r="P571" i="1" s="1"/>
  <c r="E572" i="1"/>
  <c r="P572" i="1" s="1"/>
  <c r="E573" i="1"/>
  <c r="P573" i="1" s="1"/>
  <c r="E574" i="1"/>
  <c r="P574" i="1" s="1"/>
  <c r="E575" i="1"/>
  <c r="P575" i="1" s="1"/>
  <c r="E576" i="1"/>
  <c r="P576" i="1" s="1"/>
  <c r="E577" i="1"/>
  <c r="P577" i="1" s="1"/>
  <c r="E578" i="1"/>
  <c r="P578" i="1" s="1"/>
  <c r="E579" i="1"/>
  <c r="P579" i="1" s="1"/>
  <c r="E580" i="1"/>
  <c r="P580" i="1" s="1"/>
  <c r="E581" i="1"/>
  <c r="P581" i="1" s="1"/>
  <c r="E582" i="1"/>
  <c r="P582" i="1" s="1"/>
  <c r="E583" i="1"/>
  <c r="P583" i="1" s="1"/>
  <c r="E584" i="1"/>
  <c r="P584" i="1" s="1"/>
  <c r="E585" i="1"/>
  <c r="P585" i="1" s="1"/>
  <c r="E586" i="1"/>
  <c r="P586" i="1" s="1"/>
  <c r="E587" i="1"/>
  <c r="P587" i="1" s="1"/>
  <c r="E588" i="1"/>
  <c r="P588" i="1" s="1"/>
  <c r="E589" i="1"/>
  <c r="P589" i="1" s="1"/>
  <c r="E590" i="1"/>
  <c r="P590" i="1" s="1"/>
  <c r="E591" i="1"/>
  <c r="P591" i="1" s="1"/>
  <c r="E592" i="1"/>
  <c r="P592" i="1" s="1"/>
  <c r="E593" i="1"/>
  <c r="P593" i="1" s="1"/>
  <c r="E594" i="1"/>
  <c r="P594" i="1" s="1"/>
  <c r="E595" i="1"/>
  <c r="P595" i="1" s="1"/>
  <c r="E596" i="1"/>
  <c r="P596" i="1" s="1"/>
  <c r="E597" i="1"/>
  <c r="P597" i="1" s="1"/>
  <c r="E598" i="1"/>
  <c r="P598" i="1" s="1"/>
  <c r="E599" i="1"/>
  <c r="P599" i="1" s="1"/>
  <c r="E600" i="1"/>
  <c r="P600" i="1" s="1"/>
  <c r="E601" i="1"/>
  <c r="P601" i="1" s="1"/>
  <c r="E602" i="1"/>
  <c r="P602" i="1" s="1"/>
  <c r="E603" i="1"/>
  <c r="P603" i="1" s="1"/>
  <c r="E604" i="1"/>
  <c r="P604" i="1" s="1"/>
  <c r="E605" i="1"/>
  <c r="P605" i="1" s="1"/>
  <c r="E606" i="1"/>
  <c r="P606" i="1" s="1"/>
  <c r="E607" i="1"/>
  <c r="P607" i="1" s="1"/>
  <c r="E608" i="1"/>
  <c r="P608" i="1" s="1"/>
  <c r="E609" i="1"/>
  <c r="P609" i="1" s="1"/>
  <c r="E610" i="1"/>
  <c r="P610" i="1" s="1"/>
  <c r="E611" i="1"/>
  <c r="P611" i="1" s="1"/>
  <c r="E612" i="1"/>
  <c r="P612" i="1" s="1"/>
  <c r="E613" i="1"/>
  <c r="P613" i="1" s="1"/>
  <c r="E614" i="1"/>
  <c r="P614" i="1" s="1"/>
  <c r="E615" i="1"/>
  <c r="P615" i="1" s="1"/>
  <c r="E616" i="1"/>
  <c r="P616" i="1" s="1"/>
  <c r="E617" i="1"/>
  <c r="P617" i="1" s="1"/>
  <c r="E618" i="1"/>
  <c r="P618" i="1" s="1"/>
  <c r="E619" i="1"/>
  <c r="P619" i="1" s="1"/>
  <c r="E620" i="1"/>
  <c r="P620" i="1" s="1"/>
  <c r="E621" i="1"/>
  <c r="P621" i="1" s="1"/>
  <c r="E622" i="1"/>
  <c r="P622" i="1" s="1"/>
  <c r="E623" i="1"/>
  <c r="P623" i="1" s="1"/>
  <c r="E624" i="1"/>
  <c r="P624" i="1" s="1"/>
  <c r="E625" i="1"/>
  <c r="P625" i="1" s="1"/>
  <c r="E626" i="1"/>
  <c r="P626" i="1" s="1"/>
  <c r="E627" i="1"/>
  <c r="P627" i="1" s="1"/>
  <c r="E628" i="1"/>
  <c r="P628" i="1" s="1"/>
  <c r="E629" i="1"/>
  <c r="P629" i="1" s="1"/>
  <c r="E630" i="1"/>
  <c r="P630" i="1" s="1"/>
  <c r="E631" i="1"/>
  <c r="P631" i="1" s="1"/>
  <c r="E632" i="1"/>
  <c r="P632" i="1" s="1"/>
  <c r="E633" i="1"/>
  <c r="P633" i="1" s="1"/>
  <c r="E634" i="1"/>
  <c r="P634" i="1" s="1"/>
  <c r="E635" i="1"/>
  <c r="P635" i="1" s="1"/>
  <c r="E636" i="1"/>
  <c r="P636" i="1" s="1"/>
  <c r="E637" i="1"/>
  <c r="P637" i="1" s="1"/>
  <c r="E638" i="1"/>
  <c r="P638" i="1" s="1"/>
  <c r="E639" i="1"/>
  <c r="P639" i="1" s="1"/>
  <c r="E640" i="1"/>
  <c r="P640" i="1" s="1"/>
  <c r="E641" i="1"/>
  <c r="P641" i="1" s="1"/>
  <c r="E642" i="1"/>
  <c r="P642" i="1" s="1"/>
  <c r="E643" i="1"/>
  <c r="P643" i="1" s="1"/>
  <c r="E644" i="1"/>
  <c r="P644" i="1" s="1"/>
  <c r="E645" i="1"/>
  <c r="P645" i="1" s="1"/>
  <c r="E646" i="1"/>
  <c r="P646" i="1" s="1"/>
  <c r="E647" i="1"/>
  <c r="P647" i="1" s="1"/>
  <c r="E648" i="1"/>
  <c r="P648" i="1" s="1"/>
  <c r="E649" i="1"/>
  <c r="P649" i="1" s="1"/>
  <c r="E650" i="1"/>
  <c r="P650" i="1" s="1"/>
  <c r="E651" i="1"/>
  <c r="P651" i="1" s="1"/>
  <c r="E652" i="1"/>
  <c r="P652" i="1" s="1"/>
  <c r="E653" i="1"/>
  <c r="P653" i="1" s="1"/>
  <c r="E654" i="1"/>
  <c r="P654" i="1" s="1"/>
  <c r="E655" i="1"/>
  <c r="P655" i="1" s="1"/>
  <c r="E656" i="1"/>
  <c r="P656" i="1" s="1"/>
  <c r="E657" i="1"/>
  <c r="P657" i="1" s="1"/>
  <c r="E658" i="1"/>
  <c r="P658" i="1" s="1"/>
  <c r="E659" i="1"/>
  <c r="P659" i="1" s="1"/>
  <c r="E660" i="1"/>
  <c r="P660" i="1" s="1"/>
  <c r="E661" i="1"/>
  <c r="P661" i="1" s="1"/>
  <c r="E662" i="1"/>
  <c r="P662" i="1" s="1"/>
  <c r="E663" i="1"/>
  <c r="P663" i="1" s="1"/>
  <c r="E664" i="1"/>
  <c r="P664" i="1" s="1"/>
  <c r="E665" i="1"/>
  <c r="P665" i="1" s="1"/>
  <c r="E666" i="1"/>
  <c r="P666" i="1" s="1"/>
  <c r="E667" i="1"/>
  <c r="P667" i="1" s="1"/>
  <c r="E668" i="1"/>
  <c r="P668" i="1" s="1"/>
  <c r="E669" i="1"/>
  <c r="P669" i="1" s="1"/>
  <c r="E670" i="1"/>
  <c r="P670" i="1" s="1"/>
  <c r="E671" i="1"/>
  <c r="P671" i="1" s="1"/>
  <c r="E672" i="1"/>
  <c r="P672" i="1" s="1"/>
  <c r="E673" i="1"/>
  <c r="P673" i="1" s="1"/>
  <c r="E674" i="1"/>
  <c r="P674" i="1" s="1"/>
  <c r="E675" i="1"/>
  <c r="P675" i="1" s="1"/>
  <c r="E676" i="1"/>
  <c r="P676" i="1" s="1"/>
  <c r="E677" i="1"/>
  <c r="P677" i="1" s="1"/>
  <c r="E678" i="1"/>
  <c r="P678" i="1" s="1"/>
  <c r="E679" i="1"/>
  <c r="P679" i="1" s="1"/>
  <c r="E680" i="1"/>
  <c r="P680" i="1" s="1"/>
  <c r="E681" i="1"/>
  <c r="P681" i="1" s="1"/>
  <c r="E682" i="1"/>
  <c r="P682" i="1" s="1"/>
  <c r="E683" i="1"/>
  <c r="P683" i="1" s="1"/>
  <c r="E684" i="1"/>
  <c r="P684" i="1" s="1"/>
  <c r="E685" i="1"/>
  <c r="P685" i="1" s="1"/>
  <c r="E686" i="1"/>
  <c r="P686" i="1" s="1"/>
  <c r="E687" i="1"/>
  <c r="P687" i="1" s="1"/>
  <c r="E688" i="1"/>
  <c r="P688" i="1" s="1"/>
  <c r="E689" i="1"/>
  <c r="P689" i="1" s="1"/>
  <c r="E690" i="1"/>
  <c r="P690" i="1" s="1"/>
  <c r="E691" i="1"/>
  <c r="P691" i="1" s="1"/>
  <c r="E692" i="1"/>
  <c r="P692" i="1" s="1"/>
  <c r="E693" i="1"/>
  <c r="P693" i="1" s="1"/>
  <c r="E694" i="1"/>
  <c r="P694" i="1" s="1"/>
  <c r="E695" i="1"/>
  <c r="P695" i="1" s="1"/>
  <c r="E696" i="1"/>
  <c r="P696" i="1" s="1"/>
  <c r="E697" i="1"/>
  <c r="P697" i="1" s="1"/>
  <c r="E698" i="1"/>
  <c r="P698" i="1" s="1"/>
  <c r="E699" i="1"/>
  <c r="P699" i="1" s="1"/>
  <c r="E700" i="1"/>
  <c r="P700" i="1" s="1"/>
  <c r="E701" i="1"/>
  <c r="P701" i="1" s="1"/>
  <c r="E702" i="1"/>
  <c r="P702" i="1" s="1"/>
  <c r="E703" i="1"/>
  <c r="P703" i="1" s="1"/>
  <c r="E704" i="1"/>
  <c r="P704" i="1" s="1"/>
  <c r="E705" i="1"/>
  <c r="P705" i="1" s="1"/>
  <c r="E706" i="1"/>
  <c r="P706" i="1" s="1"/>
  <c r="E707" i="1"/>
  <c r="P707" i="1" s="1"/>
  <c r="E708" i="1"/>
  <c r="P708" i="1" s="1"/>
  <c r="E709" i="1"/>
  <c r="P709" i="1" s="1"/>
  <c r="E710" i="1"/>
  <c r="P710" i="1" s="1"/>
  <c r="E711" i="1"/>
  <c r="P711" i="1" s="1"/>
  <c r="E712" i="1"/>
  <c r="P712" i="1" s="1"/>
  <c r="E713" i="1"/>
  <c r="P713" i="1" s="1"/>
  <c r="E714" i="1"/>
  <c r="P714" i="1" s="1"/>
  <c r="E715" i="1"/>
  <c r="P715" i="1" s="1"/>
  <c r="E716" i="1"/>
  <c r="P716" i="1" s="1"/>
  <c r="E717" i="1"/>
  <c r="P717" i="1" s="1"/>
  <c r="E718" i="1"/>
  <c r="P718" i="1" s="1"/>
  <c r="E719" i="1"/>
  <c r="P719" i="1" s="1"/>
  <c r="E720" i="1"/>
  <c r="P720" i="1" s="1"/>
  <c r="E721" i="1"/>
  <c r="P721" i="1" s="1"/>
  <c r="E722" i="1"/>
  <c r="P722" i="1" s="1"/>
  <c r="E723" i="1"/>
  <c r="P723" i="1" s="1"/>
  <c r="E724" i="1"/>
  <c r="P724" i="1" s="1"/>
  <c r="E725" i="1"/>
  <c r="P725" i="1" s="1"/>
  <c r="E726" i="1"/>
  <c r="P726" i="1" s="1"/>
  <c r="E727" i="1"/>
  <c r="P727" i="1" s="1"/>
  <c r="E728" i="1"/>
  <c r="P728" i="1" s="1"/>
  <c r="E729" i="1"/>
  <c r="P729" i="1" s="1"/>
  <c r="E730" i="1"/>
  <c r="P730" i="1" s="1"/>
  <c r="E731" i="1"/>
  <c r="P731" i="1" s="1"/>
  <c r="E732" i="1"/>
  <c r="P732" i="1" s="1"/>
  <c r="E733" i="1"/>
  <c r="P733" i="1" s="1"/>
  <c r="E734" i="1"/>
  <c r="P734" i="1" s="1"/>
  <c r="E735" i="1"/>
  <c r="P735" i="1" s="1"/>
  <c r="E736" i="1"/>
  <c r="P736" i="1" s="1"/>
  <c r="E737" i="1"/>
  <c r="P737" i="1" s="1"/>
  <c r="E738" i="1"/>
  <c r="P738" i="1" s="1"/>
  <c r="E739" i="1"/>
  <c r="P739" i="1" s="1"/>
  <c r="E740" i="1"/>
  <c r="P740" i="1" s="1"/>
  <c r="E741" i="1"/>
  <c r="P741" i="1" s="1"/>
  <c r="E742" i="1"/>
  <c r="P742" i="1" s="1"/>
  <c r="E743" i="1"/>
  <c r="P743" i="1" s="1"/>
  <c r="E744" i="1"/>
  <c r="P744" i="1" s="1"/>
  <c r="E745" i="1"/>
  <c r="P745" i="1" s="1"/>
  <c r="E746" i="1"/>
  <c r="P746" i="1" s="1"/>
  <c r="E747" i="1"/>
  <c r="P747" i="1" s="1"/>
  <c r="E748" i="1"/>
  <c r="P748" i="1" s="1"/>
  <c r="E749" i="1"/>
  <c r="P749" i="1" s="1"/>
  <c r="E750" i="1"/>
  <c r="P750" i="1" s="1"/>
  <c r="E751" i="1"/>
  <c r="P751" i="1" s="1"/>
  <c r="E752" i="1"/>
  <c r="P752" i="1" s="1"/>
  <c r="E753" i="1"/>
  <c r="P753" i="1" s="1"/>
  <c r="E754" i="1"/>
  <c r="P754" i="1" s="1"/>
  <c r="E755" i="1"/>
  <c r="P755" i="1" s="1"/>
  <c r="E756" i="1"/>
  <c r="P756" i="1" s="1"/>
  <c r="E757" i="1"/>
  <c r="P757" i="1" s="1"/>
  <c r="E759" i="1"/>
  <c r="P759" i="1" s="1"/>
  <c r="E760" i="1"/>
  <c r="P760" i="1" s="1"/>
  <c r="E761" i="1"/>
  <c r="P761" i="1" s="1"/>
  <c r="E762" i="1"/>
  <c r="P762" i="1" s="1"/>
  <c r="E763" i="1"/>
  <c r="P763" i="1" s="1"/>
  <c r="E764" i="1"/>
  <c r="P764" i="1" s="1"/>
  <c r="E765" i="1"/>
  <c r="P765" i="1" s="1"/>
  <c r="E766" i="1"/>
  <c r="P766" i="1" s="1"/>
  <c r="E767" i="1"/>
  <c r="P767" i="1" s="1"/>
  <c r="E768" i="1"/>
  <c r="P768" i="1" s="1"/>
  <c r="E769" i="1"/>
  <c r="P769" i="1" s="1"/>
  <c r="E770" i="1"/>
  <c r="P770" i="1" s="1"/>
  <c r="E771" i="1"/>
  <c r="P771" i="1" s="1"/>
  <c r="E772" i="1"/>
  <c r="P772" i="1" s="1"/>
  <c r="E773" i="1"/>
  <c r="P773" i="1" s="1"/>
  <c r="E774" i="1"/>
  <c r="P774" i="1" s="1"/>
  <c r="E775" i="1"/>
  <c r="P775" i="1" s="1"/>
  <c r="E776" i="1"/>
  <c r="P776" i="1" s="1"/>
  <c r="E777" i="1"/>
  <c r="P777" i="1" s="1"/>
  <c r="E778" i="1"/>
  <c r="P778" i="1" s="1"/>
  <c r="E779" i="1"/>
  <c r="P779" i="1" s="1"/>
  <c r="E780" i="1"/>
  <c r="P780" i="1" s="1"/>
  <c r="E781" i="1"/>
  <c r="P781" i="1" s="1"/>
  <c r="E782" i="1"/>
  <c r="P782" i="1" s="1"/>
  <c r="E783" i="1"/>
  <c r="P783" i="1" s="1"/>
  <c r="E784" i="1"/>
  <c r="P784" i="1" s="1"/>
  <c r="E785" i="1"/>
  <c r="P785" i="1" s="1"/>
  <c r="E786" i="1"/>
  <c r="P786" i="1" s="1"/>
  <c r="E787" i="1"/>
  <c r="P787" i="1" s="1"/>
  <c r="E788" i="1"/>
  <c r="P788" i="1" s="1"/>
  <c r="E789" i="1"/>
  <c r="P789" i="1" s="1"/>
  <c r="E790" i="1"/>
  <c r="P790" i="1" s="1"/>
  <c r="E791" i="1"/>
  <c r="P791" i="1" s="1"/>
  <c r="E792" i="1"/>
  <c r="P792" i="1" s="1"/>
  <c r="E793" i="1"/>
  <c r="P793" i="1" s="1"/>
  <c r="E794" i="1"/>
  <c r="P794" i="1" s="1"/>
  <c r="E795" i="1"/>
  <c r="P795" i="1" s="1"/>
  <c r="E796" i="1"/>
  <c r="P796" i="1" s="1"/>
  <c r="E797" i="1"/>
  <c r="P797" i="1" s="1"/>
  <c r="E798" i="1"/>
  <c r="P798" i="1" s="1"/>
  <c r="E799" i="1"/>
  <c r="P799" i="1" s="1"/>
  <c r="E800" i="1"/>
  <c r="P800" i="1" s="1"/>
  <c r="E801" i="1"/>
  <c r="P801" i="1" s="1"/>
  <c r="E802" i="1"/>
  <c r="P802" i="1" s="1"/>
  <c r="E803" i="1"/>
  <c r="P803" i="1" s="1"/>
  <c r="E804" i="1"/>
  <c r="P804" i="1" s="1"/>
  <c r="E805" i="1"/>
  <c r="P805" i="1" s="1"/>
  <c r="E806" i="1"/>
  <c r="P806" i="1" s="1"/>
  <c r="E807" i="1"/>
  <c r="P807" i="1" s="1"/>
  <c r="E808" i="1"/>
  <c r="P808" i="1" s="1"/>
  <c r="E809" i="1"/>
  <c r="P809" i="1" s="1"/>
  <c r="E810" i="1"/>
  <c r="P810" i="1" s="1"/>
  <c r="E811" i="1"/>
  <c r="P811" i="1" s="1"/>
  <c r="E812" i="1"/>
  <c r="P812" i="1" s="1"/>
  <c r="E813" i="1"/>
  <c r="P813" i="1" s="1"/>
  <c r="E814" i="1"/>
  <c r="P814" i="1" s="1"/>
  <c r="E815" i="1"/>
  <c r="P815" i="1" s="1"/>
  <c r="E816" i="1"/>
  <c r="P816" i="1" s="1"/>
  <c r="E817" i="1"/>
  <c r="P817" i="1" s="1"/>
  <c r="E818" i="1"/>
  <c r="P818" i="1" s="1"/>
  <c r="E819" i="1"/>
  <c r="P819" i="1" s="1"/>
  <c r="E820" i="1"/>
  <c r="P820" i="1" s="1"/>
  <c r="E821" i="1"/>
  <c r="P821" i="1" s="1"/>
  <c r="E822" i="1"/>
  <c r="P822" i="1" s="1"/>
  <c r="E823" i="1"/>
  <c r="P823" i="1" s="1"/>
  <c r="E824" i="1"/>
  <c r="P824" i="1" s="1"/>
  <c r="E825" i="1"/>
  <c r="P825" i="1" s="1"/>
  <c r="E826" i="1"/>
  <c r="P826" i="1" s="1"/>
  <c r="E827" i="1"/>
  <c r="P827" i="1" s="1"/>
  <c r="E828" i="1"/>
  <c r="P828" i="1" s="1"/>
  <c r="E829" i="1"/>
  <c r="P829" i="1" s="1"/>
  <c r="E830" i="1"/>
  <c r="P830" i="1" s="1"/>
  <c r="E831" i="1"/>
  <c r="P831" i="1" s="1"/>
  <c r="E832" i="1"/>
  <c r="P832" i="1" s="1"/>
  <c r="E833" i="1"/>
  <c r="P833" i="1" s="1"/>
  <c r="E834" i="1"/>
  <c r="P834" i="1" s="1"/>
  <c r="E835" i="1"/>
  <c r="P835" i="1" s="1"/>
  <c r="E836" i="1"/>
  <c r="P836" i="1" s="1"/>
  <c r="E837" i="1"/>
  <c r="P837" i="1" s="1"/>
  <c r="E838" i="1"/>
  <c r="P838" i="1" s="1"/>
  <c r="E839" i="1"/>
  <c r="P839" i="1" s="1"/>
  <c r="E840" i="1"/>
  <c r="P840" i="1" s="1"/>
  <c r="E841" i="1"/>
  <c r="P841" i="1" s="1"/>
  <c r="E842" i="1"/>
  <c r="P842" i="1" s="1"/>
  <c r="E843" i="1"/>
  <c r="P843" i="1" s="1"/>
  <c r="E844" i="1"/>
  <c r="P844" i="1" s="1"/>
  <c r="E845" i="1"/>
  <c r="P845" i="1" s="1"/>
  <c r="E846" i="1"/>
  <c r="P846" i="1" s="1"/>
  <c r="E847" i="1"/>
  <c r="P847" i="1" s="1"/>
  <c r="E848" i="1"/>
  <c r="P848" i="1" s="1"/>
  <c r="E850" i="1"/>
  <c r="P850" i="1" s="1"/>
  <c r="E851" i="1"/>
  <c r="P851" i="1" s="1"/>
  <c r="E852" i="1"/>
  <c r="P852" i="1" s="1"/>
  <c r="E853" i="1"/>
  <c r="P853" i="1" s="1"/>
  <c r="E854" i="1"/>
  <c r="P854" i="1" s="1"/>
  <c r="E855" i="1"/>
  <c r="P855" i="1" s="1"/>
  <c r="E856" i="1"/>
  <c r="P856" i="1" s="1"/>
  <c r="E857" i="1"/>
  <c r="P857" i="1" s="1"/>
  <c r="E858" i="1"/>
  <c r="P858" i="1" s="1"/>
  <c r="E859" i="1"/>
  <c r="P859" i="1" s="1"/>
  <c r="E860" i="1"/>
  <c r="P860" i="1" s="1"/>
  <c r="E861" i="1"/>
  <c r="P861" i="1" s="1"/>
  <c r="E862" i="1"/>
  <c r="P862" i="1" s="1"/>
  <c r="E863" i="1"/>
  <c r="P863" i="1" s="1"/>
  <c r="E864" i="1"/>
  <c r="P864" i="1" s="1"/>
  <c r="E865" i="1"/>
  <c r="P865" i="1" s="1"/>
  <c r="E866" i="1"/>
  <c r="P866" i="1" s="1"/>
  <c r="E867" i="1"/>
  <c r="P867" i="1" s="1"/>
  <c r="E869" i="1"/>
  <c r="P869" i="1" s="1"/>
  <c r="E870" i="1"/>
  <c r="P870" i="1" s="1"/>
  <c r="E871" i="1"/>
  <c r="P871" i="1" s="1"/>
  <c r="E872" i="1"/>
  <c r="P872" i="1" s="1"/>
  <c r="E873" i="1"/>
  <c r="P873" i="1" s="1"/>
  <c r="E874" i="1"/>
  <c r="P874" i="1" s="1"/>
  <c r="E875" i="1"/>
  <c r="P875" i="1" s="1"/>
  <c r="E876" i="1"/>
  <c r="P876" i="1" s="1"/>
  <c r="E877" i="1"/>
  <c r="P877" i="1" s="1"/>
  <c r="E878" i="1"/>
  <c r="P878" i="1" s="1"/>
  <c r="E880" i="1"/>
  <c r="P880" i="1" s="1"/>
  <c r="E881" i="1"/>
  <c r="P881" i="1" s="1"/>
  <c r="E882" i="1"/>
  <c r="P882" i="1" s="1"/>
  <c r="E883" i="1"/>
  <c r="P883" i="1" s="1"/>
  <c r="E884" i="1"/>
  <c r="P884" i="1" s="1"/>
  <c r="E885" i="1"/>
  <c r="P885" i="1" s="1"/>
  <c r="E886" i="1"/>
  <c r="P886" i="1" s="1"/>
  <c r="E887" i="1"/>
  <c r="P887" i="1" s="1"/>
  <c r="E888" i="1"/>
  <c r="P888" i="1" s="1"/>
  <c r="E889" i="1"/>
  <c r="P889" i="1" s="1"/>
  <c r="E890" i="1"/>
  <c r="P890" i="1" s="1"/>
  <c r="E891" i="1"/>
  <c r="P891" i="1" s="1"/>
  <c r="E892" i="1"/>
  <c r="P892" i="1" s="1"/>
  <c r="E893" i="1"/>
  <c r="P893" i="1" s="1"/>
  <c r="E894" i="1"/>
  <c r="P894" i="1" s="1"/>
  <c r="E895" i="1"/>
  <c r="P895" i="1" s="1"/>
  <c r="E896" i="1"/>
  <c r="P896" i="1" s="1"/>
  <c r="E897" i="1"/>
  <c r="P897" i="1" s="1"/>
  <c r="E898" i="1"/>
  <c r="P898" i="1" s="1"/>
  <c r="E899" i="1"/>
  <c r="P899" i="1" s="1"/>
  <c r="E900" i="1"/>
  <c r="P900" i="1" s="1"/>
  <c r="E901" i="1"/>
  <c r="P901" i="1" s="1"/>
  <c r="E902" i="1"/>
  <c r="P902" i="1" s="1"/>
  <c r="E903" i="1"/>
  <c r="P903" i="1" s="1"/>
  <c r="E904" i="1"/>
  <c r="P904" i="1" s="1"/>
  <c r="E905" i="1"/>
  <c r="P905" i="1" s="1"/>
  <c r="E906" i="1"/>
  <c r="P906" i="1" s="1"/>
  <c r="E907" i="1"/>
  <c r="P907" i="1" s="1"/>
  <c r="E908" i="1"/>
  <c r="P908" i="1" s="1"/>
  <c r="E909" i="1"/>
  <c r="P909" i="1" s="1"/>
  <c r="E910" i="1"/>
  <c r="P910" i="1" s="1"/>
  <c r="E911" i="1"/>
  <c r="P911" i="1" s="1"/>
  <c r="E912" i="1"/>
  <c r="P912" i="1" s="1"/>
  <c r="E913" i="1"/>
  <c r="P913" i="1" s="1"/>
  <c r="E914" i="1"/>
  <c r="P914" i="1" s="1"/>
  <c r="E915" i="1"/>
  <c r="P915" i="1" s="1"/>
  <c r="E916" i="1"/>
  <c r="P916" i="1" s="1"/>
  <c r="E917" i="1"/>
  <c r="P917" i="1" s="1"/>
  <c r="E918" i="1"/>
  <c r="P918" i="1" s="1"/>
  <c r="E919" i="1"/>
  <c r="P919" i="1" s="1"/>
  <c r="E920" i="1"/>
  <c r="P920" i="1" s="1"/>
  <c r="E921" i="1"/>
  <c r="P921" i="1" s="1"/>
  <c r="E922" i="1"/>
  <c r="P922" i="1" s="1"/>
  <c r="E923" i="1"/>
  <c r="P923" i="1" s="1"/>
  <c r="E924" i="1"/>
  <c r="P924" i="1" s="1"/>
  <c r="E925" i="1"/>
  <c r="P925" i="1" s="1"/>
  <c r="E926" i="1"/>
  <c r="P926" i="1" s="1"/>
  <c r="E927" i="1"/>
  <c r="P927" i="1" s="1"/>
  <c r="E928" i="1"/>
  <c r="P928" i="1" s="1"/>
  <c r="E929" i="1"/>
  <c r="P929" i="1" s="1"/>
  <c r="E930" i="1"/>
  <c r="P930" i="1" s="1"/>
  <c r="E931" i="1"/>
  <c r="P931" i="1" s="1"/>
  <c r="E932" i="1"/>
  <c r="P932" i="1" s="1"/>
  <c r="E933" i="1"/>
  <c r="P933" i="1" s="1"/>
  <c r="E934" i="1"/>
  <c r="P934" i="1" s="1"/>
  <c r="E935" i="1"/>
  <c r="P935" i="1" s="1"/>
  <c r="E936" i="1"/>
  <c r="P936" i="1" s="1"/>
  <c r="E937" i="1"/>
  <c r="P937" i="1" s="1"/>
  <c r="E938" i="1"/>
  <c r="P938" i="1" s="1"/>
  <c r="E939" i="1"/>
  <c r="P939" i="1" s="1"/>
  <c r="E940" i="1"/>
  <c r="P940" i="1" s="1"/>
  <c r="E941" i="1"/>
  <c r="P941" i="1" s="1"/>
  <c r="E942" i="1"/>
  <c r="P942" i="1" s="1"/>
  <c r="E943" i="1"/>
  <c r="P943" i="1" s="1"/>
  <c r="E944" i="1"/>
  <c r="P944" i="1" s="1"/>
  <c r="E945" i="1"/>
  <c r="P945" i="1" s="1"/>
  <c r="E946" i="1"/>
  <c r="P946" i="1" s="1"/>
  <c r="E947" i="1"/>
  <c r="P947" i="1" s="1"/>
  <c r="E948" i="1"/>
  <c r="P948" i="1" s="1"/>
  <c r="E949" i="1"/>
  <c r="P949" i="1" s="1"/>
  <c r="E950" i="1"/>
  <c r="P950" i="1" s="1"/>
  <c r="E951" i="1"/>
  <c r="P951" i="1" s="1"/>
  <c r="E952" i="1"/>
  <c r="P952" i="1" s="1"/>
  <c r="E953" i="1"/>
  <c r="P953" i="1" s="1"/>
  <c r="E954" i="1"/>
  <c r="P954" i="1" s="1"/>
  <c r="E955" i="1"/>
  <c r="P955" i="1" s="1"/>
  <c r="E956" i="1"/>
  <c r="P956" i="1" s="1"/>
  <c r="E957" i="1"/>
  <c r="P957" i="1" s="1"/>
  <c r="E958" i="1"/>
  <c r="P958" i="1" s="1"/>
  <c r="E959" i="1"/>
  <c r="P959" i="1" s="1"/>
  <c r="E960" i="1"/>
  <c r="P960" i="1" s="1"/>
  <c r="E961" i="1"/>
  <c r="P961" i="1" s="1"/>
  <c r="E962" i="1"/>
  <c r="P962" i="1" s="1"/>
  <c r="E963" i="1"/>
  <c r="P963" i="1" s="1"/>
  <c r="E964" i="1"/>
  <c r="P964" i="1" s="1"/>
  <c r="E965" i="1"/>
  <c r="P965" i="1" s="1"/>
  <c r="E966" i="1"/>
  <c r="P966" i="1" s="1"/>
  <c r="E967" i="1"/>
  <c r="P967" i="1" s="1"/>
  <c r="E968" i="1"/>
  <c r="P968" i="1" s="1"/>
  <c r="E969" i="1"/>
  <c r="P969" i="1" s="1"/>
  <c r="E970" i="1"/>
  <c r="P970" i="1" s="1"/>
  <c r="E971" i="1"/>
  <c r="P971" i="1" s="1"/>
  <c r="E972" i="1"/>
  <c r="P972" i="1" s="1"/>
  <c r="E973" i="1"/>
  <c r="P973" i="1" s="1"/>
  <c r="E974" i="1"/>
  <c r="P974" i="1" s="1"/>
  <c r="E975" i="1"/>
  <c r="P975" i="1" s="1"/>
  <c r="E976" i="1"/>
  <c r="P976" i="1" s="1"/>
  <c r="E977" i="1"/>
  <c r="P977" i="1" s="1"/>
  <c r="E978" i="1"/>
  <c r="P978" i="1" s="1"/>
  <c r="E979" i="1"/>
  <c r="P979" i="1" s="1"/>
  <c r="E980" i="1"/>
  <c r="P980" i="1" s="1"/>
  <c r="E981" i="1"/>
  <c r="P981" i="1" s="1"/>
  <c r="E982" i="1"/>
  <c r="P982" i="1" s="1"/>
  <c r="E983" i="1"/>
  <c r="P983" i="1" s="1"/>
  <c r="E984" i="1"/>
  <c r="P984" i="1" s="1"/>
  <c r="E985" i="1"/>
  <c r="P985" i="1" s="1"/>
  <c r="E986" i="1"/>
  <c r="P986" i="1" s="1"/>
  <c r="E987" i="1"/>
  <c r="P987" i="1" s="1"/>
  <c r="E988" i="1"/>
  <c r="P988" i="1" s="1"/>
  <c r="E989" i="1"/>
  <c r="P989" i="1" s="1"/>
  <c r="E990" i="1"/>
  <c r="P990" i="1" s="1"/>
  <c r="E991" i="1"/>
  <c r="P991" i="1" s="1"/>
  <c r="E992" i="1"/>
  <c r="P992" i="1" s="1"/>
  <c r="E993" i="1"/>
  <c r="P993" i="1" s="1"/>
  <c r="E994" i="1"/>
  <c r="P994" i="1" s="1"/>
  <c r="E995" i="1"/>
  <c r="P995" i="1" s="1"/>
  <c r="E996" i="1"/>
  <c r="P996" i="1" s="1"/>
  <c r="E997" i="1"/>
  <c r="P997" i="1" s="1"/>
  <c r="E998" i="1"/>
  <c r="P998" i="1" s="1"/>
  <c r="E999" i="1"/>
  <c r="P999" i="1" s="1"/>
  <c r="E1000" i="1"/>
  <c r="P1000" i="1" s="1"/>
  <c r="E1001" i="1"/>
  <c r="P1001" i="1" s="1"/>
  <c r="E528" i="1"/>
  <c r="P528" i="1" s="1"/>
  <c r="E530" i="1"/>
  <c r="P530" i="1" s="1"/>
  <c r="E531" i="1"/>
  <c r="P531" i="1" s="1"/>
  <c r="E532" i="1"/>
  <c r="P532" i="1" s="1"/>
  <c r="E533" i="1"/>
  <c r="P533" i="1" s="1"/>
  <c r="E534" i="1"/>
  <c r="P534" i="1" s="1"/>
  <c r="E535" i="1"/>
  <c r="P535" i="1" s="1"/>
  <c r="E536" i="1"/>
  <c r="P536" i="1" s="1"/>
  <c r="E537" i="1"/>
  <c r="P537" i="1" s="1"/>
  <c r="E538" i="1"/>
  <c r="P538" i="1" s="1"/>
  <c r="E539" i="1"/>
  <c r="P539" i="1" s="1"/>
  <c r="E540" i="1"/>
  <c r="P540" i="1" s="1"/>
  <c r="E541" i="1"/>
  <c r="P541" i="1" s="1"/>
  <c r="E542" i="1"/>
  <c r="P542" i="1" s="1"/>
  <c r="E543" i="1"/>
  <c r="P543" i="1" s="1"/>
  <c r="E544" i="1"/>
  <c r="P544" i="1" s="1"/>
  <c r="E545" i="1"/>
  <c r="P545" i="1" s="1"/>
  <c r="E546" i="1"/>
  <c r="P546" i="1" s="1"/>
  <c r="E547" i="1"/>
  <c r="P547" i="1" s="1"/>
  <c r="E548" i="1"/>
  <c r="P548" i="1" s="1"/>
  <c r="E549" i="1"/>
  <c r="P549" i="1" s="1"/>
  <c r="E550" i="1"/>
  <c r="P550" i="1" s="1"/>
  <c r="E551" i="1"/>
  <c r="P551" i="1" s="1"/>
  <c r="E552" i="1"/>
  <c r="P552" i="1" s="1"/>
  <c r="E553" i="1"/>
  <c r="P553" i="1" s="1"/>
  <c r="E554" i="1"/>
  <c r="P554" i="1" s="1"/>
  <c r="E555" i="1"/>
  <c r="P555" i="1" s="1"/>
  <c r="E556" i="1"/>
  <c r="P556" i="1" s="1"/>
  <c r="E557" i="1"/>
  <c r="P557" i="1" s="1"/>
  <c r="E558" i="1"/>
  <c r="P558" i="1" s="1"/>
  <c r="E559" i="1"/>
  <c r="P559" i="1" s="1"/>
  <c r="E560" i="1"/>
  <c r="P560" i="1" s="1"/>
  <c r="E561" i="1"/>
  <c r="P561" i="1" s="1"/>
  <c r="E562" i="1"/>
  <c r="P562" i="1" s="1"/>
  <c r="E563" i="1"/>
  <c r="P563" i="1" s="1"/>
  <c r="E564" i="1"/>
  <c r="P564" i="1" s="1"/>
  <c r="N314" i="1" a="1"/>
  <c r="N315" i="1" a="1"/>
  <c r="N316" i="1" a="1"/>
  <c r="N317" i="1" a="1"/>
  <c r="N318" i="1" a="1"/>
  <c r="N319" i="1" a="1"/>
  <c r="N320" i="1" a="1"/>
  <c r="N321" i="1" a="1"/>
  <c r="N322" i="1" a="1"/>
  <c r="N323" i="1" a="1"/>
  <c r="N324" i="1" a="1"/>
  <c r="N325" i="1" a="1"/>
  <c r="N326" i="1" a="1"/>
  <c r="N327" i="1" a="1"/>
  <c r="N328" i="1" a="1"/>
  <c r="N329" i="1" a="1"/>
  <c r="N330" i="1" a="1"/>
  <c r="N331" i="1" a="1"/>
  <c r="N332" i="1" a="1"/>
  <c r="N333" i="1" a="1"/>
  <c r="N334" i="1" a="1"/>
  <c r="N335" i="1" a="1"/>
  <c r="N336" i="1" a="1"/>
  <c r="N337" i="1" a="1"/>
  <c r="N338" i="1" a="1"/>
  <c r="N339" i="1" a="1"/>
  <c r="N340" i="1" a="1"/>
  <c r="N341" i="1" a="1"/>
  <c r="N342" i="1" a="1"/>
  <c r="N343" i="1" a="1"/>
  <c r="N344" i="1" a="1"/>
  <c r="N345" i="1" a="1"/>
  <c r="N346" i="1" a="1"/>
  <c r="N347" i="1" a="1"/>
  <c r="N348" i="1" a="1"/>
  <c r="N349" i="1" a="1"/>
  <c r="N350" i="1" a="1"/>
  <c r="N351" i="1" a="1"/>
  <c r="N352" i="1" a="1"/>
  <c r="N353" i="1" a="1"/>
  <c r="N354" i="1" a="1"/>
  <c r="N355" i="1" a="1"/>
  <c r="N356" i="1" a="1"/>
  <c r="N357" i="1" a="1"/>
  <c r="N358" i="1" a="1"/>
  <c r="N359" i="1" a="1"/>
  <c r="N360" i="1" a="1"/>
  <c r="N361" i="1" a="1"/>
  <c r="N362" i="1" a="1"/>
  <c r="N363" i="1" a="1"/>
  <c r="N364" i="1" a="1"/>
  <c r="N365" i="1" a="1"/>
  <c r="N366" i="1" a="1"/>
  <c r="N367" i="1" a="1"/>
  <c r="N368" i="1" a="1"/>
  <c r="N369" i="1" a="1"/>
  <c r="N370" i="1" a="1"/>
  <c r="N371" i="1" a="1"/>
  <c r="N372" i="1" a="1"/>
  <c r="N373" i="1" a="1"/>
  <c r="N374" i="1" a="1"/>
  <c r="N375" i="1" a="1"/>
  <c r="N376" i="1" a="1"/>
  <c r="N377" i="1" a="1"/>
  <c r="N378" i="1" a="1"/>
  <c r="N379" i="1" a="1"/>
  <c r="N380" i="1" a="1"/>
  <c r="N381" i="1" a="1"/>
  <c r="N382" i="1" a="1"/>
  <c r="N383" i="1" a="1"/>
  <c r="N384" i="1" a="1"/>
  <c r="N385" i="1" a="1"/>
  <c r="N386" i="1" a="1"/>
  <c r="N387" i="1" a="1"/>
  <c r="N388" i="1" a="1"/>
  <c r="N389" i="1" a="1"/>
  <c r="N390" i="1" a="1"/>
  <c r="N391" i="1" a="1"/>
  <c r="N392" i="1" a="1"/>
  <c r="N393" i="1" a="1"/>
  <c r="N394" i="1" a="1"/>
  <c r="N395" i="1" a="1"/>
  <c r="N396" i="1" a="1"/>
  <c r="N397" i="1" a="1"/>
  <c r="N398" i="1" a="1"/>
  <c r="N399" i="1" a="1"/>
  <c r="N400" i="1" a="1"/>
  <c r="N401" i="1" a="1"/>
  <c r="N402" i="1" a="1"/>
  <c r="N403" i="1" a="1"/>
  <c r="N404" i="1" a="1"/>
  <c r="N405" i="1" a="1"/>
  <c r="N406" i="1" a="1"/>
  <c r="N407" i="1" a="1"/>
  <c r="N408" i="1" a="1"/>
  <c r="N409" i="1" a="1"/>
  <c r="N410" i="1" a="1"/>
  <c r="N411" i="1" a="1"/>
  <c r="N412" i="1" a="1"/>
  <c r="N413" i="1" a="1"/>
  <c r="N414" i="1" a="1"/>
  <c r="N415" i="1" a="1"/>
  <c r="N416" i="1" a="1"/>
  <c r="N417" i="1" a="1"/>
  <c r="N418" i="1" a="1"/>
  <c r="N419" i="1" a="1"/>
  <c r="N420" i="1" a="1"/>
  <c r="N421" i="1" a="1"/>
  <c r="N422" i="1" a="1"/>
  <c r="N423" i="1" a="1"/>
  <c r="N424" i="1" a="1"/>
  <c r="N425" i="1" a="1"/>
  <c r="N426" i="1" a="1"/>
  <c r="N427" i="1" a="1"/>
  <c r="N428" i="1" a="1"/>
  <c r="N429" i="1" a="1"/>
  <c r="N430" i="1" a="1"/>
  <c r="N431" i="1" a="1"/>
  <c r="N432" i="1" a="1"/>
  <c r="N433" i="1" a="1"/>
  <c r="N434" i="1" a="1"/>
  <c r="N435" i="1" a="1"/>
  <c r="N436" i="1" a="1"/>
  <c r="N437" i="1" a="1"/>
  <c r="N438" i="1" a="1"/>
  <c r="N439" i="1" a="1"/>
  <c r="N440" i="1" a="1"/>
  <c r="N441" i="1" a="1"/>
  <c r="N442" i="1" a="1"/>
  <c r="N443" i="1" a="1"/>
  <c r="N444" i="1" a="1"/>
  <c r="N445" i="1" a="1"/>
  <c r="N446" i="1" a="1"/>
  <c r="N447" i="1" a="1"/>
  <c r="N448" i="1" a="1"/>
  <c r="N449" i="1" a="1"/>
  <c r="N450" i="1" a="1"/>
  <c r="N451" i="1" a="1"/>
  <c r="N452" i="1" a="1"/>
  <c r="N453" i="1" a="1"/>
  <c r="N454" i="1" a="1"/>
  <c r="N455" i="1" a="1"/>
  <c r="N456" i="1" a="1"/>
  <c r="N457" i="1" a="1"/>
  <c r="N458" i="1" a="1"/>
  <c r="N459" i="1" a="1"/>
  <c r="N460" i="1" a="1"/>
  <c r="N461" i="1" a="1"/>
  <c r="N462" i="1" a="1"/>
  <c r="N463" i="1" a="1"/>
  <c r="N464" i="1" a="1"/>
  <c r="N465" i="1" a="1"/>
  <c r="N466" i="1" a="1"/>
  <c r="N467" i="1" a="1"/>
  <c r="N468" i="1" a="1"/>
  <c r="N469" i="1" a="1"/>
  <c r="N470" i="1" a="1"/>
  <c r="N471" i="1" a="1"/>
  <c r="N472" i="1" a="1"/>
  <c r="N473" i="1" a="1"/>
  <c r="N474" i="1" a="1"/>
  <c r="N475" i="1" a="1"/>
  <c r="N476" i="1" a="1"/>
  <c r="N477" i="1" a="1"/>
  <c r="N478" i="1" a="1"/>
  <c r="N479" i="1" a="1"/>
  <c r="N480" i="1" a="1"/>
  <c r="N481" i="1" a="1"/>
  <c r="N482" i="1" a="1"/>
  <c r="N483" i="1" a="1"/>
  <c r="N484" i="1" a="1"/>
  <c r="N485" i="1" a="1"/>
  <c r="N486" i="1" a="1"/>
  <c r="N487" i="1" a="1"/>
  <c r="N488" i="1" a="1"/>
  <c r="N489" i="1" a="1"/>
  <c r="N490" i="1" a="1"/>
  <c r="N491" i="1" a="1"/>
  <c r="N492" i="1" a="1"/>
  <c r="N493" i="1" a="1"/>
  <c r="N494" i="1" a="1"/>
  <c r="N495" i="1" a="1"/>
  <c r="N496" i="1" a="1"/>
  <c r="N497" i="1" a="1"/>
  <c r="N498" i="1" a="1"/>
  <c r="N499" i="1" a="1"/>
  <c r="N500" i="1" a="1"/>
  <c r="N501" i="1" a="1"/>
  <c r="N502" i="1" a="1"/>
  <c r="N503" i="1" a="1"/>
  <c r="N504" i="1" a="1"/>
  <c r="N505" i="1" a="1"/>
  <c r="N506" i="1" a="1"/>
  <c r="N507" i="1" a="1"/>
  <c r="N508" i="1" a="1"/>
  <c r="N509" i="1" a="1"/>
  <c r="N510" i="1" a="1"/>
  <c r="N511" i="1" a="1"/>
  <c r="N512" i="1" a="1"/>
  <c r="N513" i="1" a="1"/>
  <c r="N514" i="1" a="1"/>
  <c r="N515" i="1" a="1"/>
  <c r="N516" i="1" a="1"/>
  <c r="N517" i="1" a="1"/>
  <c r="N518" i="1" a="1"/>
  <c r="N519" i="1" a="1"/>
  <c r="N520" i="1" a="1"/>
  <c r="N521" i="1" a="1"/>
  <c r="N522" i="1" a="1"/>
  <c r="N523" i="1" a="1"/>
  <c r="N524" i="1" a="1"/>
  <c r="N525" i="1" a="1"/>
  <c r="N526" i="1" a="1"/>
  <c r="N527" i="1" a="1"/>
  <c r="N528" i="1" a="1"/>
  <c r="N529" i="1" a="1"/>
  <c r="N530" i="1" a="1"/>
  <c r="N531" i="1" a="1"/>
  <c r="N532" i="1" a="1"/>
  <c r="N533" i="1" a="1"/>
  <c r="N534" i="1" a="1"/>
  <c r="N535" i="1" a="1"/>
  <c r="N536" i="1" a="1"/>
  <c r="N537" i="1" a="1"/>
  <c r="N538" i="1" a="1"/>
  <c r="N539" i="1" a="1"/>
  <c r="N540" i="1" a="1"/>
  <c r="N541" i="1" a="1"/>
  <c r="N542" i="1" a="1"/>
  <c r="N543" i="1" a="1"/>
  <c r="N544" i="1" a="1"/>
  <c r="N545" i="1" a="1"/>
  <c r="N546" i="1" a="1"/>
  <c r="N547" i="1" a="1"/>
  <c r="N548" i="1" a="1"/>
  <c r="N549" i="1" a="1"/>
  <c r="N550" i="1" a="1"/>
  <c r="N551" i="1" a="1"/>
  <c r="N552" i="1" a="1"/>
  <c r="N553" i="1" a="1"/>
  <c r="N554" i="1" a="1"/>
  <c r="N555" i="1" a="1"/>
  <c r="N556" i="1" a="1"/>
  <c r="N557" i="1" a="1"/>
  <c r="N558" i="1" a="1"/>
  <c r="N559" i="1" a="1"/>
  <c r="N560" i="1" a="1"/>
  <c r="N561" i="1" a="1"/>
  <c r="N562" i="1" a="1"/>
  <c r="N563" i="1" a="1"/>
  <c r="N564" i="1" a="1"/>
  <c r="N565" i="1" a="1"/>
  <c r="N566" i="1" a="1"/>
  <c r="N567" i="1" a="1"/>
  <c r="N568" i="1" a="1"/>
  <c r="N569" i="1" a="1"/>
  <c r="N570" i="1" a="1"/>
  <c r="N571" i="1" a="1"/>
  <c r="N572" i="1" a="1"/>
  <c r="N573" i="1" a="1"/>
  <c r="N574" i="1" a="1"/>
  <c r="N575" i="1" a="1"/>
  <c r="N576" i="1" a="1"/>
  <c r="N577" i="1" a="1"/>
  <c r="N578" i="1" a="1"/>
  <c r="N579" i="1" a="1"/>
  <c r="N580" i="1" a="1"/>
  <c r="N581" i="1" a="1"/>
  <c r="N582" i="1" a="1"/>
  <c r="N583" i="1" a="1"/>
  <c r="N584" i="1" a="1"/>
  <c r="N585" i="1" a="1"/>
  <c r="N586" i="1" a="1"/>
  <c r="N587" i="1" a="1"/>
  <c r="N588" i="1" a="1"/>
  <c r="N589" i="1" a="1"/>
  <c r="N590" i="1" a="1"/>
  <c r="N591" i="1" a="1"/>
  <c r="N592" i="1" a="1"/>
  <c r="N593" i="1" a="1"/>
  <c r="N594" i="1" a="1"/>
  <c r="N595" i="1" a="1"/>
  <c r="N596" i="1" a="1"/>
  <c r="N597" i="1" a="1"/>
  <c r="N598" i="1" a="1"/>
  <c r="N599" i="1" a="1"/>
  <c r="N600" i="1" a="1"/>
  <c r="N601" i="1" a="1"/>
  <c r="N602" i="1" a="1"/>
  <c r="N603" i="1" a="1"/>
  <c r="N604" i="1" a="1"/>
  <c r="N605" i="1" a="1"/>
  <c r="N606" i="1" a="1"/>
  <c r="N607" i="1" a="1"/>
  <c r="N608" i="1" a="1"/>
  <c r="N609" i="1" a="1"/>
  <c r="N610" i="1" a="1"/>
  <c r="N611" i="1" a="1"/>
  <c r="N612" i="1" a="1"/>
  <c r="N613" i="1" a="1"/>
  <c r="N614" i="1" a="1"/>
  <c r="N615" i="1" a="1"/>
  <c r="N616" i="1" a="1"/>
  <c r="N617" i="1" a="1"/>
  <c r="N618" i="1" a="1"/>
  <c r="N619" i="1" a="1"/>
  <c r="N620" i="1" a="1"/>
  <c r="N621" i="1" a="1"/>
  <c r="N622" i="1" a="1"/>
  <c r="N623" i="1" a="1"/>
  <c r="N624" i="1" a="1"/>
  <c r="N625" i="1" a="1"/>
  <c r="N626" i="1" a="1"/>
  <c r="N627" i="1" a="1"/>
  <c r="N628" i="1" a="1"/>
  <c r="N629" i="1" a="1"/>
  <c r="N630" i="1" a="1"/>
  <c r="N631" i="1" a="1"/>
  <c r="N632" i="1" a="1"/>
  <c r="N633" i="1" a="1"/>
  <c r="N634" i="1" a="1"/>
  <c r="N635" i="1" a="1"/>
  <c r="N636" i="1" a="1"/>
  <c r="N637" i="1" a="1"/>
  <c r="N638" i="1" a="1"/>
  <c r="N639" i="1" a="1"/>
  <c r="N640" i="1" a="1"/>
  <c r="N641" i="1" a="1"/>
  <c r="N642" i="1" a="1"/>
  <c r="N643" i="1" a="1"/>
  <c r="N644" i="1" a="1"/>
  <c r="N645" i="1" a="1"/>
  <c r="N646" i="1" a="1"/>
  <c r="N647" i="1" a="1"/>
  <c r="N648" i="1" a="1"/>
  <c r="N649" i="1" a="1"/>
  <c r="N650" i="1" a="1"/>
  <c r="N651" i="1" a="1"/>
  <c r="N652" i="1" a="1"/>
  <c r="N653" i="1" a="1"/>
  <c r="N654" i="1" a="1"/>
  <c r="N655" i="1" a="1"/>
  <c r="N656" i="1" a="1"/>
  <c r="N657" i="1" a="1"/>
  <c r="N658" i="1" a="1"/>
  <c r="N659" i="1" a="1"/>
  <c r="N660" i="1" a="1"/>
  <c r="N661" i="1" a="1"/>
  <c r="N662" i="1" a="1"/>
  <c r="N663" i="1" a="1"/>
  <c r="N664" i="1" a="1"/>
  <c r="N665" i="1" a="1"/>
  <c r="N666" i="1" a="1"/>
  <c r="N667" i="1" a="1"/>
  <c r="N668" i="1" a="1"/>
  <c r="N669" i="1" a="1"/>
  <c r="N670" i="1" a="1"/>
  <c r="N671" i="1" a="1"/>
  <c r="N672" i="1" a="1"/>
  <c r="N673" i="1" a="1"/>
  <c r="N674" i="1" a="1"/>
  <c r="N675" i="1" a="1"/>
  <c r="N676" i="1" a="1"/>
  <c r="N677" i="1" a="1"/>
  <c r="N678" i="1" a="1"/>
  <c r="N679" i="1" a="1"/>
  <c r="N680" i="1" a="1"/>
  <c r="N681" i="1" a="1"/>
  <c r="N682" i="1" a="1"/>
  <c r="N683" i="1" a="1"/>
  <c r="N684" i="1" a="1"/>
  <c r="N685" i="1" a="1"/>
  <c r="N686" i="1" a="1"/>
  <c r="N687" i="1" a="1"/>
  <c r="N688" i="1" a="1"/>
  <c r="N689" i="1" a="1"/>
  <c r="N690" i="1" a="1"/>
  <c r="N691" i="1" a="1"/>
  <c r="N692" i="1" a="1"/>
  <c r="N693" i="1" a="1"/>
  <c r="N694" i="1" a="1"/>
  <c r="N695" i="1" a="1"/>
  <c r="N696" i="1" a="1"/>
  <c r="N697" i="1" a="1"/>
  <c r="N698" i="1" a="1"/>
  <c r="N699" i="1" a="1"/>
  <c r="N700" i="1" a="1"/>
  <c r="N701" i="1" a="1"/>
  <c r="N702" i="1" a="1"/>
  <c r="N703" i="1" a="1"/>
  <c r="N704" i="1" a="1"/>
  <c r="N705" i="1" a="1"/>
  <c r="N706" i="1" a="1"/>
  <c r="N707" i="1" a="1"/>
  <c r="N708" i="1" a="1"/>
  <c r="N709" i="1" a="1"/>
  <c r="N710" i="1" a="1"/>
  <c r="N711" i="1" a="1"/>
  <c r="N712" i="1" a="1"/>
  <c r="N713" i="1" a="1"/>
  <c r="N714" i="1" a="1"/>
  <c r="N715" i="1" a="1"/>
  <c r="N716" i="1" a="1"/>
  <c r="N717" i="1" a="1"/>
  <c r="N718" i="1" a="1"/>
  <c r="N719" i="1" a="1"/>
  <c r="N720" i="1" a="1"/>
  <c r="N721" i="1" a="1"/>
  <c r="N722" i="1" a="1"/>
  <c r="N723" i="1" a="1"/>
  <c r="N724" i="1" a="1"/>
  <c r="N725" i="1" a="1"/>
  <c r="N726" i="1" a="1"/>
  <c r="N727" i="1" a="1"/>
  <c r="N728" i="1" a="1"/>
  <c r="N729" i="1" a="1"/>
  <c r="N730" i="1" a="1"/>
  <c r="N731" i="1" a="1"/>
  <c r="N732" i="1" a="1"/>
  <c r="N733" i="1" a="1"/>
  <c r="N734" i="1" a="1"/>
  <c r="N735" i="1" a="1"/>
  <c r="N736" i="1" a="1"/>
  <c r="N737" i="1" a="1"/>
  <c r="N738" i="1" a="1"/>
  <c r="N739" i="1" a="1"/>
  <c r="N740" i="1" a="1"/>
  <c r="N741" i="1" a="1"/>
  <c r="N742" i="1" a="1"/>
  <c r="N743" i="1" a="1"/>
  <c r="N744" i="1" a="1"/>
  <c r="N745" i="1" a="1"/>
  <c r="N746" i="1" a="1"/>
  <c r="N747" i="1" a="1"/>
  <c r="N748" i="1" a="1"/>
  <c r="N749" i="1" a="1"/>
  <c r="N750" i="1" a="1"/>
  <c r="N751" i="1" a="1"/>
  <c r="N752" i="1" a="1"/>
  <c r="N753" i="1" a="1"/>
  <c r="N754" i="1" a="1"/>
  <c r="N755" i="1" a="1"/>
  <c r="N756" i="1" a="1"/>
  <c r="N757" i="1" a="1"/>
  <c r="N758" i="1" a="1"/>
  <c r="N759" i="1" a="1"/>
  <c r="N760" i="1" a="1"/>
  <c r="N761" i="1" a="1"/>
  <c r="N762" i="1" a="1"/>
  <c r="N763" i="1" a="1"/>
  <c r="N764" i="1" a="1"/>
  <c r="N765" i="1" a="1"/>
  <c r="N766" i="1" a="1"/>
  <c r="N767" i="1" a="1"/>
  <c r="N768" i="1" a="1"/>
  <c r="N769" i="1" a="1"/>
  <c r="N770" i="1" a="1"/>
  <c r="N771" i="1" a="1"/>
  <c r="N772" i="1" a="1"/>
  <c r="N773" i="1" a="1"/>
  <c r="N774" i="1" a="1"/>
  <c r="N775" i="1" a="1"/>
  <c r="N776" i="1" a="1"/>
  <c r="N777" i="1" a="1"/>
  <c r="N778" i="1" a="1"/>
  <c r="N779" i="1" a="1"/>
  <c r="N780" i="1" a="1"/>
  <c r="N781" i="1" a="1"/>
  <c r="N782" i="1" a="1"/>
  <c r="N783" i="1" a="1"/>
  <c r="N784" i="1" a="1"/>
  <c r="N785" i="1" a="1"/>
  <c r="N786" i="1" a="1"/>
  <c r="N787" i="1" a="1"/>
  <c r="N788" i="1" a="1"/>
  <c r="N789" i="1" a="1"/>
  <c r="N790" i="1" a="1"/>
  <c r="N791" i="1" a="1"/>
  <c r="N792" i="1" a="1"/>
  <c r="N793" i="1" a="1"/>
  <c r="N794" i="1" a="1"/>
  <c r="N795" i="1" a="1"/>
  <c r="N796" i="1" a="1"/>
  <c r="N797" i="1" a="1"/>
  <c r="N798" i="1" a="1"/>
  <c r="N799" i="1" a="1"/>
  <c r="N800" i="1" a="1"/>
  <c r="N801" i="1" a="1"/>
  <c r="N802" i="1" a="1"/>
  <c r="N803" i="1" a="1"/>
  <c r="N804" i="1" a="1"/>
  <c r="N805" i="1" a="1"/>
  <c r="N806" i="1" a="1"/>
  <c r="N807" i="1" a="1"/>
  <c r="N808" i="1" a="1"/>
  <c r="N809" i="1" a="1"/>
  <c r="N810" i="1" a="1"/>
  <c r="N811" i="1" a="1"/>
  <c r="N812" i="1" a="1"/>
  <c r="N813" i="1" a="1"/>
  <c r="N814" i="1" a="1"/>
  <c r="N815" i="1" a="1"/>
  <c r="N816" i="1" a="1"/>
  <c r="N817" i="1" a="1"/>
  <c r="N818" i="1" a="1"/>
  <c r="N819" i="1" a="1"/>
  <c r="N820" i="1" a="1"/>
  <c r="N821" i="1" a="1"/>
  <c r="N822" i="1" a="1"/>
  <c r="N823" i="1" a="1"/>
  <c r="N824" i="1" a="1"/>
  <c r="N825" i="1" a="1"/>
  <c r="N826" i="1" a="1"/>
  <c r="N827" i="1" a="1"/>
  <c r="N828" i="1" a="1"/>
  <c r="N829" i="1" a="1"/>
  <c r="N830" i="1" a="1"/>
  <c r="N831" i="1" a="1"/>
  <c r="N832" i="1" a="1"/>
  <c r="N833" i="1" a="1"/>
  <c r="N834" i="1" a="1"/>
  <c r="N835" i="1" a="1"/>
  <c r="N836" i="1" a="1"/>
  <c r="N837" i="1" a="1"/>
  <c r="N838" i="1" a="1"/>
  <c r="N839" i="1" a="1"/>
  <c r="N840" i="1" a="1"/>
  <c r="N841" i="1" a="1"/>
  <c r="N842" i="1" a="1"/>
  <c r="N843" i="1" a="1"/>
  <c r="N844" i="1" a="1"/>
  <c r="N845" i="1" a="1"/>
  <c r="N846" i="1" a="1"/>
  <c r="N847" i="1" a="1"/>
  <c r="N848" i="1" a="1"/>
  <c r="N849" i="1" a="1"/>
  <c r="N850" i="1" a="1"/>
  <c r="N851" i="1" a="1"/>
  <c r="N852" i="1" a="1"/>
  <c r="N853" i="1" a="1"/>
  <c r="N854" i="1" a="1"/>
  <c r="N855" i="1" a="1"/>
  <c r="N856" i="1" a="1"/>
  <c r="N857" i="1" a="1"/>
  <c r="N858" i="1" a="1"/>
  <c r="N859" i="1" a="1"/>
  <c r="N860" i="1" a="1"/>
  <c r="N861" i="1" a="1"/>
  <c r="N862" i="1" a="1"/>
  <c r="N863" i="1" a="1"/>
  <c r="N864" i="1" a="1"/>
  <c r="N865" i="1" a="1"/>
  <c r="N866" i="1" a="1"/>
  <c r="N867" i="1" a="1"/>
  <c r="N868" i="1" a="1"/>
  <c r="N869" i="1" a="1"/>
  <c r="N870" i="1" a="1"/>
  <c r="N871" i="1" a="1"/>
  <c r="N872" i="1" a="1"/>
  <c r="N873" i="1" a="1"/>
  <c r="N874" i="1" a="1"/>
  <c r="N875" i="1" a="1"/>
  <c r="N876" i="1" a="1"/>
  <c r="N877" i="1" a="1"/>
  <c r="N878" i="1" a="1"/>
  <c r="N879" i="1" a="1"/>
  <c r="N880" i="1" a="1"/>
  <c r="N881" i="1" a="1"/>
  <c r="N882" i="1" a="1"/>
  <c r="N883" i="1" a="1"/>
  <c r="N884" i="1" a="1"/>
  <c r="N885" i="1" a="1"/>
  <c r="N886" i="1" a="1"/>
  <c r="N887" i="1" a="1"/>
  <c r="N888" i="1" a="1"/>
  <c r="N889" i="1" a="1"/>
  <c r="N890" i="1" a="1"/>
  <c r="N891" i="1" a="1"/>
  <c r="N892" i="1" a="1"/>
  <c r="N893" i="1" a="1"/>
  <c r="N894" i="1" a="1"/>
  <c r="N895" i="1" a="1"/>
  <c r="N896" i="1" a="1"/>
  <c r="N897" i="1" a="1"/>
  <c r="N898" i="1" a="1"/>
  <c r="N899" i="1" a="1"/>
  <c r="N900" i="1" a="1"/>
  <c r="N901" i="1" a="1"/>
  <c r="N902" i="1" a="1"/>
  <c r="N903" i="1" a="1"/>
  <c r="N904" i="1" a="1"/>
  <c r="N905" i="1" a="1"/>
  <c r="N906" i="1" a="1"/>
  <c r="N907" i="1" a="1"/>
  <c r="N908" i="1" a="1"/>
  <c r="N909" i="1" a="1"/>
  <c r="N910" i="1" a="1"/>
  <c r="N911" i="1" a="1"/>
  <c r="N912" i="1" a="1"/>
  <c r="N913" i="1" a="1"/>
  <c r="N914" i="1" a="1"/>
  <c r="N915" i="1" a="1"/>
  <c r="N916" i="1" a="1"/>
  <c r="N917" i="1" a="1"/>
  <c r="N918" i="1" a="1"/>
  <c r="N919" i="1" a="1"/>
  <c r="N920" i="1" a="1"/>
  <c r="N921" i="1" a="1"/>
  <c r="N922" i="1" a="1"/>
  <c r="N923" i="1" a="1"/>
  <c r="N924" i="1" a="1"/>
  <c r="N925" i="1" a="1"/>
  <c r="N926" i="1" a="1"/>
  <c r="N927" i="1" a="1"/>
  <c r="N928" i="1" a="1"/>
  <c r="N929" i="1" a="1"/>
  <c r="N930" i="1" a="1"/>
  <c r="N931" i="1" a="1"/>
  <c r="N932" i="1" a="1"/>
  <c r="N933" i="1" a="1"/>
  <c r="N934" i="1" a="1"/>
  <c r="N935" i="1" a="1"/>
  <c r="N936" i="1" a="1"/>
  <c r="N937" i="1" a="1"/>
  <c r="N938" i="1" a="1"/>
  <c r="N939" i="1" a="1"/>
  <c r="N940" i="1" a="1"/>
  <c r="N941" i="1" a="1"/>
  <c r="N942" i="1" a="1"/>
  <c r="N943" i="1" a="1"/>
  <c r="N944" i="1" a="1"/>
  <c r="N945" i="1" a="1"/>
  <c r="N946" i="1" a="1"/>
  <c r="N947" i="1" a="1"/>
  <c r="N948" i="1" a="1"/>
  <c r="N949" i="1" a="1"/>
  <c r="N950" i="1" a="1"/>
  <c r="N951" i="1" a="1"/>
  <c r="N952" i="1" a="1"/>
  <c r="N953" i="1" a="1"/>
  <c r="N954" i="1" a="1"/>
  <c r="N955" i="1" a="1"/>
  <c r="N956" i="1" a="1"/>
  <c r="N957" i="1" a="1"/>
  <c r="N958" i="1" a="1"/>
  <c r="N959" i="1" a="1"/>
  <c r="N960" i="1" a="1"/>
  <c r="N961" i="1" a="1"/>
  <c r="N962" i="1" a="1"/>
  <c r="N963" i="1" a="1"/>
  <c r="N964" i="1" a="1"/>
  <c r="N965" i="1" a="1"/>
  <c r="N966" i="1" a="1"/>
  <c r="N967" i="1" a="1"/>
  <c r="N968" i="1" a="1"/>
  <c r="N969" i="1" a="1"/>
  <c r="N970" i="1" a="1"/>
  <c r="N971" i="1" a="1"/>
  <c r="N972" i="1" a="1"/>
  <c r="N973" i="1" a="1"/>
  <c r="N974" i="1" a="1"/>
  <c r="N975" i="1" a="1"/>
  <c r="N976" i="1" a="1"/>
  <c r="N977" i="1" a="1"/>
  <c r="N978" i="1" a="1"/>
  <c r="N979" i="1" a="1"/>
  <c r="N980" i="1" a="1"/>
  <c r="N981" i="1" a="1"/>
  <c r="N982" i="1" a="1"/>
  <c r="N983" i="1" a="1"/>
  <c r="N984" i="1" a="1"/>
  <c r="N985" i="1" a="1"/>
  <c r="N986" i="1" a="1"/>
  <c r="N987" i="1" a="1"/>
  <c r="N988" i="1" a="1"/>
  <c r="N989" i="1" a="1"/>
  <c r="N990" i="1" a="1"/>
  <c r="N991" i="1" a="1"/>
  <c r="N992" i="1" a="1"/>
  <c r="N993" i="1" a="1"/>
  <c r="N994" i="1" a="1"/>
  <c r="N995" i="1" a="1"/>
  <c r="N996" i="1" a="1"/>
  <c r="N997" i="1" a="1"/>
  <c r="N998" i="1" a="1"/>
  <c r="N999" i="1" a="1"/>
  <c r="N1000" i="1" a="1"/>
  <c r="N1001" i="1" a="1"/>
  <c r="J45" i="4"/>
  <c r="J46" i="4"/>
  <c r="J47" i="4"/>
  <c r="J39" i="4"/>
  <c r="J38" i="4"/>
  <c r="J34" i="4"/>
  <c r="J35" i="4"/>
  <c r="J36" i="4"/>
  <c r="J37" i="4"/>
  <c r="J33" i="4"/>
  <c r="J28" i="4"/>
  <c r="J29" i="4"/>
  <c r="J30" i="4"/>
  <c r="J31" i="4"/>
  <c r="J32" i="4"/>
  <c r="J27" i="4"/>
  <c r="K28" i="4" s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L205" i="1" l="1"/>
  <c r="L209" i="1"/>
  <c r="L210" i="1"/>
  <c r="L211" i="1"/>
  <c r="L212" i="1"/>
  <c r="L215" i="1"/>
  <c r="L216" i="1"/>
  <c r="L217" i="1"/>
  <c r="L287" i="1"/>
  <c r="L23" i="1"/>
  <c r="L218" i="1"/>
  <c r="L288" i="1"/>
  <c r="L289" i="1"/>
  <c r="L307" i="1"/>
  <c r="L201" i="1"/>
  <c r="L202" i="1"/>
  <c r="L203" i="1"/>
  <c r="L204" i="1"/>
  <c r="L206" i="1"/>
  <c r="L207" i="1"/>
  <c r="L208" i="1"/>
  <c r="L213" i="1"/>
  <c r="L214" i="1"/>
  <c r="L75" i="1"/>
  <c r="L22" i="1"/>
  <c r="L149" i="1"/>
  <c r="L286" i="1"/>
  <c r="L284" i="1"/>
  <c r="L199" i="1"/>
  <c r="L285" i="1"/>
  <c r="L200" i="1"/>
  <c r="L114" i="1"/>
  <c r="L115" i="1"/>
  <c r="L117" i="1"/>
  <c r="L118" i="1"/>
  <c r="L120" i="1"/>
  <c r="L123" i="1"/>
  <c r="L125" i="1"/>
  <c r="L128" i="1"/>
  <c r="L130" i="1"/>
  <c r="L113" i="1"/>
  <c r="L116" i="1"/>
  <c r="L119" i="1"/>
  <c r="L121" i="1"/>
  <c r="L122" i="1"/>
  <c r="L124" i="1"/>
  <c r="L126" i="1"/>
  <c r="L127" i="1"/>
  <c r="L129" i="1"/>
  <c r="L131" i="1"/>
  <c r="L219" i="1"/>
  <c r="L220" i="1"/>
  <c r="L283" i="1"/>
  <c r="L280" i="1"/>
  <c r="L281" i="1"/>
  <c r="L282" i="1"/>
  <c r="L198" i="1"/>
  <c r="L293" i="1"/>
  <c r="L294" i="1"/>
  <c r="L295" i="1"/>
  <c r="L298" i="1"/>
  <c r="L306" i="1"/>
  <c r="L308" i="1"/>
  <c r="L309" i="1"/>
  <c r="L310" i="1"/>
  <c r="L311" i="1"/>
  <c r="L197" i="1"/>
  <c r="L291" i="1"/>
  <c r="L292" i="1"/>
  <c r="L297" i="1"/>
  <c r="L300" i="1"/>
  <c r="L301" i="1"/>
  <c r="L302" i="1"/>
  <c r="L305" i="1"/>
  <c r="L296" i="1"/>
  <c r="L304" i="1"/>
  <c r="L290" i="1"/>
  <c r="L299" i="1"/>
  <c r="L303" i="1"/>
  <c r="L312" i="1"/>
  <c r="L313" i="1"/>
  <c r="L106" i="1"/>
  <c r="L108" i="1"/>
  <c r="L110" i="1"/>
  <c r="L112" i="1"/>
  <c r="L184" i="1"/>
  <c r="L187" i="1"/>
  <c r="L189" i="1"/>
  <c r="L192" i="1"/>
  <c r="L194" i="1"/>
  <c r="L261" i="1"/>
  <c r="L264" i="1"/>
  <c r="L267" i="1"/>
  <c r="L272" i="1"/>
  <c r="L276" i="1"/>
  <c r="L105" i="1"/>
  <c r="L107" i="1"/>
  <c r="L109" i="1"/>
  <c r="L111" i="1"/>
  <c r="L183" i="1"/>
  <c r="L188" i="1"/>
  <c r="L190" i="1"/>
  <c r="L193" i="1"/>
  <c r="L196" i="1"/>
  <c r="L262" i="1"/>
  <c r="L265" i="1"/>
  <c r="L266" i="1"/>
  <c r="L268" i="1"/>
  <c r="L269" i="1"/>
  <c r="L270" i="1"/>
  <c r="L271" i="1"/>
  <c r="L274" i="1"/>
  <c r="L275" i="1"/>
  <c r="L277" i="1"/>
  <c r="L278" i="1"/>
  <c r="L185" i="1"/>
  <c r="L186" i="1"/>
  <c r="L191" i="1"/>
  <c r="L195" i="1"/>
  <c r="L263" i="1"/>
  <c r="L273" i="1"/>
  <c r="L279" i="1"/>
  <c r="L30" i="1"/>
  <c r="L32" i="1"/>
  <c r="L35" i="1"/>
  <c r="L36" i="1"/>
  <c r="L38" i="1"/>
  <c r="L40" i="1"/>
  <c r="L42" i="1"/>
  <c r="L44" i="1"/>
  <c r="L46" i="1"/>
  <c r="L48" i="1"/>
  <c r="L50" i="1"/>
  <c r="L52" i="1"/>
  <c r="L54" i="1"/>
  <c r="L56" i="1"/>
  <c r="L59" i="1"/>
  <c r="L60" i="1"/>
  <c r="L62" i="1"/>
  <c r="L64" i="1"/>
  <c r="L66" i="1"/>
  <c r="L68" i="1"/>
  <c r="L70" i="1"/>
  <c r="L72" i="1"/>
  <c r="L74" i="1"/>
  <c r="L76" i="1"/>
  <c r="L78" i="1"/>
  <c r="L80" i="1"/>
  <c r="L82" i="1"/>
  <c r="L84" i="1"/>
  <c r="L86" i="1"/>
  <c r="L88" i="1"/>
  <c r="L91" i="1"/>
  <c r="L93" i="1"/>
  <c r="L95" i="1"/>
  <c r="L97" i="1"/>
  <c r="L99" i="1"/>
  <c r="L101" i="1"/>
  <c r="L103" i="1"/>
  <c r="L132" i="1"/>
  <c r="L134" i="1"/>
  <c r="L138" i="1"/>
  <c r="L145" i="1"/>
  <c r="L154" i="1"/>
  <c r="L156" i="1"/>
  <c r="L163" i="1"/>
  <c r="L165" i="1"/>
  <c r="L170" i="1"/>
  <c r="L176" i="1"/>
  <c r="L178" i="1"/>
  <c r="L181" i="1"/>
  <c r="L226" i="1"/>
  <c r="L227" i="1"/>
  <c r="L229" i="1"/>
  <c r="L233" i="1"/>
  <c r="L239" i="1"/>
  <c r="L246" i="1"/>
  <c r="L249" i="1"/>
  <c r="L252" i="1"/>
  <c r="L258" i="1"/>
  <c r="L260" i="1"/>
  <c r="L27" i="1"/>
  <c r="L28" i="1"/>
  <c r="L29" i="1"/>
  <c r="L31" i="1"/>
  <c r="L33" i="1"/>
  <c r="L34" i="1"/>
  <c r="L37" i="1"/>
  <c r="L39" i="1"/>
  <c r="L41" i="1"/>
  <c r="L43" i="1"/>
  <c r="L45" i="1"/>
  <c r="L47" i="1"/>
  <c r="L49" i="1"/>
  <c r="L51" i="1"/>
  <c r="L53" i="1"/>
  <c r="L55" i="1"/>
  <c r="L57" i="1"/>
  <c r="L58" i="1"/>
  <c r="L61" i="1"/>
  <c r="L63" i="1"/>
  <c r="L65" i="1"/>
  <c r="L67" i="1"/>
  <c r="L69" i="1"/>
  <c r="L71" i="1"/>
  <c r="L73" i="1"/>
  <c r="L77" i="1"/>
  <c r="L79" i="1"/>
  <c r="L81" i="1"/>
  <c r="L83" i="1"/>
  <c r="L85" i="1"/>
  <c r="L87" i="1"/>
  <c r="L89" i="1"/>
  <c r="L90" i="1"/>
  <c r="L92" i="1"/>
  <c r="L94" i="1"/>
  <c r="L96" i="1"/>
  <c r="L98" i="1"/>
  <c r="L100" i="1"/>
  <c r="L102" i="1"/>
  <c r="L133" i="1"/>
  <c r="L136" i="1"/>
  <c r="L137" i="1"/>
  <c r="L139" i="1"/>
  <c r="L144" i="1"/>
  <c r="L146" i="1"/>
  <c r="L151" i="1"/>
  <c r="L152" i="1"/>
  <c r="L155" i="1"/>
  <c r="L157" i="1"/>
  <c r="L162" i="1"/>
  <c r="L164" i="1"/>
  <c r="L169" i="1"/>
  <c r="L171" i="1"/>
  <c r="L172" i="1"/>
  <c r="L175" i="1"/>
  <c r="L177" i="1"/>
  <c r="L182" i="1"/>
  <c r="L228" i="1"/>
  <c r="L231" i="1"/>
  <c r="L232" i="1"/>
  <c r="L234" i="1"/>
  <c r="L238" i="1"/>
  <c r="L240" i="1"/>
  <c r="L241" i="1"/>
  <c r="L244" i="1"/>
  <c r="L245" i="1"/>
  <c r="L251" i="1"/>
  <c r="L253" i="1"/>
  <c r="L257" i="1"/>
  <c r="L259" i="1"/>
  <c r="L104" i="1"/>
  <c r="L135" i="1"/>
  <c r="L140" i="1"/>
  <c r="L141" i="1"/>
  <c r="L142" i="1"/>
  <c r="L143" i="1"/>
  <c r="L147" i="1"/>
  <c r="L148" i="1"/>
  <c r="L150" i="1"/>
  <c r="L153" i="1"/>
  <c r="L158" i="1"/>
  <c r="L159" i="1"/>
  <c r="L160" i="1"/>
  <c r="L161" i="1"/>
  <c r="L166" i="1"/>
  <c r="L167" i="1"/>
  <c r="L168" i="1"/>
  <c r="L173" i="1"/>
  <c r="L174" i="1"/>
  <c r="L179" i="1"/>
  <c r="L180" i="1"/>
  <c r="L224" i="1"/>
  <c r="L236" i="1"/>
  <c r="L237" i="1"/>
  <c r="L242" i="1"/>
  <c r="L243" i="1"/>
  <c r="L248" i="1"/>
  <c r="L250" i="1"/>
  <c r="L221" i="1"/>
  <c r="L222" i="1"/>
  <c r="L223" i="1"/>
  <c r="L225" i="1"/>
  <c r="L230" i="1"/>
  <c r="L235" i="1"/>
  <c r="L247" i="1"/>
  <c r="L254" i="1"/>
  <c r="L255" i="1"/>
  <c r="L256" i="1"/>
  <c r="B10" i="5"/>
  <c r="B11" i="5"/>
  <c r="B13" i="5"/>
  <c r="B12" i="5"/>
  <c r="E11" i="5"/>
  <c r="F11" i="5"/>
  <c r="C12" i="5"/>
  <c r="D12" i="5"/>
  <c r="E12" i="5"/>
  <c r="F12" i="5"/>
  <c r="C13" i="5"/>
  <c r="D13" i="5"/>
  <c r="E13" i="5"/>
  <c r="F10" i="5"/>
  <c r="E10" i="5"/>
  <c r="D10" i="5"/>
  <c r="C4" i="5"/>
  <c r="C2" i="5"/>
  <c r="D4" i="5"/>
  <c r="C11" i="5"/>
  <c r="D5" i="5"/>
  <c r="D11" i="5"/>
  <c r="F13" i="5"/>
  <c r="C10" i="5"/>
  <c r="C3" i="5"/>
  <c r="C5" i="5"/>
  <c r="D3" i="5"/>
  <c r="D2" i="5"/>
  <c r="O3" i="5"/>
  <c r="N3" i="5"/>
  <c r="O4" i="5"/>
  <c r="N4" i="5"/>
  <c r="O5" i="5"/>
  <c r="N5" i="5"/>
  <c r="O6" i="5"/>
  <c r="N6" i="5"/>
  <c r="O2" i="5"/>
  <c r="N2" i="5"/>
  <c r="L680" i="1"/>
  <c r="L681" i="1"/>
  <c r="L684" i="1"/>
  <c r="L685" i="1"/>
  <c r="L689" i="1"/>
  <c r="L679" i="1"/>
  <c r="L682" i="1"/>
  <c r="L688" i="1"/>
  <c r="L691" i="1"/>
  <c r="L677" i="1"/>
  <c r="L683" i="1"/>
  <c r="L687" i="1"/>
  <c r="L690" i="1"/>
  <c r="L678" i="1"/>
  <c r="L686" i="1"/>
  <c r="E758" i="1"/>
  <c r="P758" i="1" s="1"/>
  <c r="E849" i="1"/>
  <c r="P849" i="1" s="1"/>
  <c r="E868" i="1"/>
  <c r="P868" i="1" s="1"/>
  <c r="E879" i="1"/>
  <c r="P879" i="1" s="1"/>
  <c r="E339" i="1"/>
  <c r="P339" i="1" s="1"/>
  <c r="E363" i="1"/>
  <c r="P363" i="1" s="1"/>
  <c r="E437" i="1"/>
  <c r="P437" i="1" s="1"/>
  <c r="E485" i="1"/>
  <c r="P485" i="1" s="1"/>
  <c r="E517" i="1"/>
  <c r="P517" i="1" s="1"/>
  <c r="E529" i="1"/>
  <c r="P529" i="1" s="1"/>
  <c r="L935" i="1"/>
  <c r="L940" i="1"/>
  <c r="L945" i="1"/>
  <c r="L949" i="1"/>
  <c r="L954" i="1"/>
  <c r="L958" i="1"/>
  <c r="L962" i="1"/>
  <c r="L938" i="1"/>
  <c r="L941" i="1"/>
  <c r="L943" i="1"/>
  <c r="L947" i="1"/>
  <c r="L951" i="1"/>
  <c r="L955" i="1"/>
  <c r="L959" i="1"/>
  <c r="L963" i="1"/>
  <c r="L937" i="1"/>
  <c r="L939" i="1"/>
  <c r="L944" i="1"/>
  <c r="L948" i="1"/>
  <c r="L952" i="1"/>
  <c r="L956" i="1"/>
  <c r="L960" i="1"/>
  <c r="L964" i="1"/>
  <c r="L936" i="1"/>
  <c r="L942" i="1"/>
  <c r="L946" i="1"/>
  <c r="L950" i="1"/>
  <c r="L953" i="1"/>
  <c r="L957" i="1"/>
  <c r="L961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317" i="1"/>
  <c r="L321" i="1"/>
  <c r="L325" i="1"/>
  <c r="L329" i="1"/>
  <c r="L332" i="1"/>
  <c r="L336" i="1"/>
  <c r="L340" i="1"/>
  <c r="L344" i="1"/>
  <c r="L347" i="1"/>
  <c r="L354" i="1"/>
  <c r="L359" i="1"/>
  <c r="L363" i="1"/>
  <c r="L366" i="1"/>
  <c r="L371" i="1"/>
  <c r="L374" i="1"/>
  <c r="L379" i="1"/>
  <c r="L383" i="1"/>
  <c r="L387" i="1"/>
  <c r="L391" i="1"/>
  <c r="L395" i="1"/>
  <c r="L399" i="1"/>
  <c r="L403" i="1"/>
  <c r="L406" i="1"/>
  <c r="L410" i="1"/>
  <c r="L413" i="1"/>
  <c r="L416" i="1"/>
  <c r="L421" i="1"/>
  <c r="L425" i="1"/>
  <c r="L429" i="1"/>
  <c r="L434" i="1"/>
  <c r="L439" i="1"/>
  <c r="L443" i="1"/>
  <c r="L445" i="1"/>
  <c r="L450" i="1"/>
  <c r="L454" i="1"/>
  <c r="L460" i="1"/>
  <c r="L466" i="1"/>
  <c r="L471" i="1"/>
  <c r="L478" i="1"/>
  <c r="L482" i="1"/>
  <c r="L491" i="1"/>
  <c r="L495" i="1"/>
  <c r="L500" i="1"/>
  <c r="L506" i="1"/>
  <c r="L511" i="1"/>
  <c r="L516" i="1"/>
  <c r="L521" i="1"/>
  <c r="L528" i="1"/>
  <c r="L533" i="1"/>
  <c r="L538" i="1"/>
  <c r="L544" i="1"/>
  <c r="L549" i="1"/>
  <c r="L555" i="1"/>
  <c r="L561" i="1"/>
  <c r="L567" i="1"/>
  <c r="L573" i="1"/>
  <c r="L579" i="1"/>
  <c r="L585" i="1"/>
  <c r="L590" i="1"/>
  <c r="L595" i="1"/>
  <c r="L599" i="1"/>
  <c r="L605" i="1"/>
  <c r="L611" i="1"/>
  <c r="L618" i="1"/>
  <c r="L623" i="1"/>
  <c r="L629" i="1"/>
  <c r="L314" i="1"/>
  <c r="L315" i="1"/>
  <c r="L316" i="1"/>
  <c r="L320" i="1"/>
  <c r="L323" i="1"/>
  <c r="L327" i="1"/>
  <c r="L330" i="1"/>
  <c r="L334" i="1"/>
  <c r="L337" i="1"/>
  <c r="L341" i="1"/>
  <c r="L345" i="1"/>
  <c r="L349" i="1"/>
  <c r="L352" i="1"/>
  <c r="L355" i="1"/>
  <c r="L358" i="1"/>
  <c r="L361" i="1"/>
  <c r="L365" i="1"/>
  <c r="L370" i="1"/>
  <c r="L373" i="1"/>
  <c r="L377" i="1"/>
  <c r="L380" i="1"/>
  <c r="L384" i="1"/>
  <c r="L388" i="1"/>
  <c r="L390" i="1"/>
  <c r="L394" i="1"/>
  <c r="L397" i="1"/>
  <c r="L401" i="1"/>
  <c r="L404" i="1"/>
  <c r="L408" i="1"/>
  <c r="L411" i="1"/>
  <c r="L414" i="1"/>
  <c r="L417" i="1"/>
  <c r="L420" i="1"/>
  <c r="L424" i="1"/>
  <c r="L426" i="1"/>
  <c r="L430" i="1"/>
  <c r="L435" i="1"/>
  <c r="L437" i="1"/>
  <c r="L442" i="1"/>
  <c r="L446" i="1"/>
  <c r="L451" i="1"/>
  <c r="L455" i="1"/>
  <c r="L461" i="1"/>
  <c r="L467" i="1"/>
  <c r="L473" i="1"/>
  <c r="L479" i="1"/>
  <c r="L485" i="1"/>
  <c r="L488" i="1"/>
  <c r="L492" i="1"/>
  <c r="L498" i="1"/>
  <c r="L502" i="1"/>
  <c r="L507" i="1"/>
  <c r="L513" i="1"/>
  <c r="L519" i="1"/>
  <c r="L523" i="1"/>
  <c r="L526" i="1"/>
  <c r="L530" i="1"/>
  <c r="L535" i="1"/>
  <c r="L541" i="1"/>
  <c r="L547" i="1"/>
  <c r="L551" i="1"/>
  <c r="L556" i="1"/>
  <c r="L560" i="1"/>
  <c r="L566" i="1"/>
  <c r="L572" i="1"/>
  <c r="L577" i="1"/>
  <c r="L580" i="1"/>
  <c r="L586" i="1"/>
  <c r="L589" i="1"/>
  <c r="L594" i="1"/>
  <c r="L603" i="1"/>
  <c r="L607" i="1"/>
  <c r="L612" i="1"/>
  <c r="L616" i="1"/>
  <c r="L622" i="1"/>
  <c r="L628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444" i="1"/>
  <c r="L458" i="1"/>
  <c r="L465" i="1"/>
  <c r="L472" i="1"/>
  <c r="L477" i="1"/>
  <c r="L484" i="1"/>
  <c r="L489" i="1"/>
  <c r="L496" i="1"/>
  <c r="L503" i="1"/>
  <c r="L509" i="1"/>
  <c r="L515" i="1"/>
  <c r="L522" i="1"/>
  <c r="L527" i="1"/>
  <c r="L534" i="1"/>
  <c r="L540" i="1"/>
  <c r="L546" i="1"/>
  <c r="L550" i="1"/>
  <c r="L557" i="1"/>
  <c r="L564" i="1"/>
  <c r="L570" i="1"/>
  <c r="L576" i="1"/>
  <c r="L581" i="1"/>
  <c r="L587" i="1"/>
  <c r="L596" i="1"/>
  <c r="L601" i="1"/>
  <c r="L606" i="1"/>
  <c r="L613" i="1"/>
  <c r="L620" i="1"/>
  <c r="L627" i="1"/>
  <c r="L318" i="1"/>
  <c r="L322" i="1"/>
  <c r="L326" i="1"/>
  <c r="L331" i="1"/>
  <c r="L335" i="1"/>
  <c r="L339" i="1"/>
  <c r="L343" i="1"/>
  <c r="L348" i="1"/>
  <c r="L351" i="1"/>
  <c r="L356" i="1"/>
  <c r="L360" i="1"/>
  <c r="L364" i="1"/>
  <c r="L369" i="1"/>
  <c r="L375" i="1"/>
  <c r="L378" i="1"/>
  <c r="L382" i="1"/>
  <c r="L386" i="1"/>
  <c r="L392" i="1"/>
  <c r="L396" i="1"/>
  <c r="L400" i="1"/>
  <c r="L405" i="1"/>
  <c r="L409" i="1"/>
  <c r="L418" i="1"/>
  <c r="L422" i="1"/>
  <c r="L427" i="1"/>
  <c r="L431" i="1"/>
  <c r="L436" i="1"/>
  <c r="L440" i="1"/>
  <c r="L447" i="1"/>
  <c r="L452" i="1"/>
  <c r="L456" i="1"/>
  <c r="L462" i="1"/>
  <c r="L468" i="1"/>
  <c r="L474" i="1"/>
  <c r="L480" i="1"/>
  <c r="L486" i="1"/>
  <c r="L493" i="1"/>
  <c r="L499" i="1"/>
  <c r="L505" i="1"/>
  <c r="L512" i="1"/>
  <c r="L518" i="1"/>
  <c r="L525" i="1"/>
  <c r="L531" i="1"/>
  <c r="L537" i="1"/>
  <c r="L543" i="1"/>
  <c r="L553" i="1"/>
  <c r="L559" i="1"/>
  <c r="L565" i="1"/>
  <c r="L571" i="1"/>
  <c r="L578" i="1"/>
  <c r="L584" i="1"/>
  <c r="L592" i="1"/>
  <c r="L598" i="1"/>
  <c r="L602" i="1"/>
  <c r="L609" i="1"/>
  <c r="L614" i="1"/>
  <c r="L619" i="1"/>
  <c r="L625" i="1"/>
  <c r="L319" i="1"/>
  <c r="L324" i="1"/>
  <c r="L328" i="1"/>
  <c r="L333" i="1"/>
  <c r="L338" i="1"/>
  <c r="L342" i="1"/>
  <c r="L346" i="1"/>
  <c r="L350" i="1"/>
  <c r="L353" i="1"/>
  <c r="L357" i="1"/>
  <c r="L362" i="1"/>
  <c r="L367" i="1"/>
  <c r="L372" i="1"/>
  <c r="L376" i="1"/>
  <c r="L381" i="1"/>
  <c r="L385" i="1"/>
  <c r="L389" i="1"/>
  <c r="L393" i="1"/>
  <c r="L398" i="1"/>
  <c r="L402" i="1"/>
  <c r="L407" i="1"/>
  <c r="L412" i="1"/>
  <c r="L415" i="1"/>
  <c r="L419" i="1"/>
  <c r="L423" i="1"/>
  <c r="L428" i="1"/>
  <c r="L433" i="1"/>
  <c r="L438" i="1"/>
  <c r="L441" i="1"/>
  <c r="L448" i="1"/>
  <c r="L453" i="1"/>
  <c r="L457" i="1"/>
  <c r="L463" i="1"/>
  <c r="L469" i="1"/>
  <c r="L476" i="1"/>
  <c r="L481" i="1"/>
  <c r="L487" i="1"/>
  <c r="L494" i="1"/>
  <c r="L501" i="1"/>
  <c r="L508" i="1"/>
  <c r="L514" i="1"/>
  <c r="L520" i="1"/>
  <c r="L532" i="1"/>
  <c r="L539" i="1"/>
  <c r="L545" i="1"/>
  <c r="L552" i="1"/>
  <c r="L558" i="1"/>
  <c r="L563" i="1"/>
  <c r="L569" i="1"/>
  <c r="L574" i="1"/>
  <c r="L582" i="1"/>
  <c r="L588" i="1"/>
  <c r="L593" i="1"/>
  <c r="L600" i="1"/>
  <c r="L608" i="1"/>
  <c r="L615" i="1"/>
  <c r="L621" i="1"/>
  <c r="L626" i="1"/>
  <c r="L368" i="1"/>
  <c r="L432" i="1"/>
  <c r="L449" i="1"/>
  <c r="L459" i="1"/>
  <c r="L464" i="1"/>
  <c r="L470" i="1"/>
  <c r="L475" i="1"/>
  <c r="L483" i="1"/>
  <c r="L490" i="1"/>
  <c r="L497" i="1"/>
  <c r="L504" i="1"/>
  <c r="L510" i="1"/>
  <c r="L517" i="1"/>
  <c r="L524" i="1"/>
  <c r="L529" i="1"/>
  <c r="L536" i="1"/>
  <c r="L542" i="1"/>
  <c r="L548" i="1"/>
  <c r="L554" i="1"/>
  <c r="L562" i="1"/>
  <c r="L568" i="1"/>
  <c r="L575" i="1"/>
  <c r="L583" i="1"/>
  <c r="L591" i="1"/>
  <c r="L597" i="1"/>
  <c r="L604" i="1"/>
  <c r="L610" i="1"/>
  <c r="L617" i="1"/>
  <c r="L624" i="1"/>
  <c r="L630" i="1"/>
  <c r="K29" i="4"/>
  <c r="K30" i="4" s="1"/>
  <c r="K31" i="4" s="1"/>
  <c r="K32" i="4" s="1"/>
  <c r="K33" i="4" s="1"/>
  <c r="K34" i="4" s="1"/>
  <c r="K35" i="4" s="1"/>
  <c r="K36" i="4" s="1"/>
  <c r="K37" i="4" s="1"/>
  <c r="G2" i="5" l="1"/>
  <c r="H2" i="5" s="1"/>
  <c r="G3" i="5"/>
  <c r="H3" i="5" s="1"/>
  <c r="G4" i="5"/>
  <c r="H4" i="5" s="1"/>
  <c r="G5" i="5"/>
  <c r="H5" i="5" s="1"/>
  <c r="E4" i="5"/>
  <c r="F4" i="5" s="1"/>
  <c r="E5" i="5"/>
  <c r="F5" i="5" s="1"/>
  <c r="E3" i="5"/>
  <c r="F3" i="5" s="1"/>
  <c r="E2" i="5"/>
  <c r="F2" i="5" s="1"/>
  <c r="G12" i="5"/>
  <c r="G11" i="5"/>
  <c r="G13" i="5"/>
  <c r="G10" i="5"/>
  <c r="C14" i="5"/>
  <c r="F14" i="5"/>
  <c r="E14" i="5"/>
  <c r="D14" i="5"/>
  <c r="B14" i="5"/>
  <c r="K38" i="4"/>
  <c r="K39" i="4" s="1"/>
  <c r="K40" i="4" s="1"/>
  <c r="K41" i="4" s="1"/>
  <c r="K42" i="4" s="1"/>
  <c r="K43" i="4" s="1"/>
  <c r="K44" i="4" s="1"/>
  <c r="G14" i="5" l="1"/>
  <c r="K45" i="4"/>
  <c r="K46" i="4" s="1"/>
  <c r="K4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<sst xmlns="http://schemas.openxmlformats.org/spreadsheetml/2006/main" count="9822" uniqueCount="2012">
  <si>
    <t>ID CLIENTE</t>
  </si>
  <si>
    <t>Estado</t>
  </si>
  <si>
    <t>POL-0001</t>
  </si>
  <si>
    <t>CLI-277</t>
  </si>
  <si>
    <t>CLI-205</t>
  </si>
  <si>
    <t>CLI-241</t>
  </si>
  <si>
    <t>CLI-064</t>
  </si>
  <si>
    <t>CLI-063</t>
  </si>
  <si>
    <t>CLI-269</t>
  </si>
  <si>
    <t>CLI-119</t>
  </si>
  <si>
    <t>CLI-070</t>
  </si>
  <si>
    <t>CLI-210</t>
  </si>
  <si>
    <t>CLI-204</t>
  </si>
  <si>
    <t>CLI-082</t>
  </si>
  <si>
    <t>CLI-146</t>
  </si>
  <si>
    <t>CLI-144</t>
  </si>
  <si>
    <t>CLI-095</t>
  </si>
  <si>
    <t>CLI-253</t>
  </si>
  <si>
    <t>CLI-115</t>
  </si>
  <si>
    <t>CLI-270</t>
  </si>
  <si>
    <t>CLI-276</t>
  </si>
  <si>
    <t>CLI-223</t>
  </si>
  <si>
    <t>CLI-107</t>
  </si>
  <si>
    <t>CLI-279</t>
  </si>
  <si>
    <t>CLI-108</t>
  </si>
  <si>
    <t>CLI-170</t>
  </si>
  <si>
    <t>CLI-166</t>
  </si>
  <si>
    <t>CLI-037</t>
  </si>
  <si>
    <t>CLI-236</t>
  </si>
  <si>
    <t>CLI-143</t>
  </si>
  <si>
    <t>CLI-156</t>
  </si>
  <si>
    <t>CLI-216</t>
  </si>
  <si>
    <t>CLI-091</t>
  </si>
  <si>
    <t>CLI-116</t>
  </si>
  <si>
    <t>CLI-247</t>
  </si>
  <si>
    <t>CLI-093</t>
  </si>
  <si>
    <t>CLI-284</t>
  </si>
  <si>
    <t>CLI-018</t>
  </si>
  <si>
    <t>CLI-072</t>
  </si>
  <si>
    <t>CLI-188</t>
  </si>
  <si>
    <t>CLI-250</t>
  </si>
  <si>
    <t>CLI-075</t>
  </si>
  <si>
    <t>CLI-061</t>
  </si>
  <si>
    <t>CLI-102</t>
  </si>
  <si>
    <t>CLI-004</t>
  </si>
  <si>
    <t>CLI-229</t>
  </si>
  <si>
    <t>CLI-203</t>
  </si>
  <si>
    <t>CLI-074</t>
  </si>
  <si>
    <t>CLI-020</t>
  </si>
  <si>
    <t>CLI-191</t>
  </si>
  <si>
    <t>CLI-197</t>
  </si>
  <si>
    <t>CLI-027</t>
  </si>
  <si>
    <t>CLI-244</t>
  </si>
  <si>
    <t>CLI-005</t>
  </si>
  <si>
    <t>CLI-172</t>
  </si>
  <si>
    <t>CLI-262</t>
  </si>
  <si>
    <t>CLI-058</t>
  </si>
  <si>
    <t>CLI-009</t>
  </si>
  <si>
    <t>CLI-044</t>
  </si>
  <si>
    <t>CLI-217</t>
  </si>
  <si>
    <t>CLI-287</t>
  </si>
  <si>
    <t>CLI-090</t>
  </si>
  <si>
    <t>CLI-015</t>
  </si>
  <si>
    <t>CLI-219</t>
  </si>
  <si>
    <t>CLI-246</t>
  </si>
  <si>
    <t>CLI-122</t>
  </si>
  <si>
    <t>CLI-056</t>
  </si>
  <si>
    <t>CLI-162</t>
  </si>
  <si>
    <t>CLI-187</t>
  </si>
  <si>
    <t>CLI-211</t>
  </si>
  <si>
    <t>CLI-153</t>
  </si>
  <si>
    <t>CLI-024</t>
  </si>
  <si>
    <t>CLI-081</t>
  </si>
  <si>
    <t>CLI-184</t>
  </si>
  <si>
    <t>CLI-242</t>
  </si>
  <si>
    <t>CLI-200</t>
  </si>
  <si>
    <t>CLI-003</t>
  </si>
  <si>
    <t>CLI-019</t>
  </si>
  <si>
    <t>CLI-079</t>
  </si>
  <si>
    <t>CLI-077</t>
  </si>
  <si>
    <t>CLI-038</t>
  </si>
  <si>
    <t>CLI-207</t>
  </si>
  <si>
    <t>CLI-299</t>
  </si>
  <si>
    <t>CLI-128</t>
  </si>
  <si>
    <t>CLI-105</t>
  </si>
  <si>
    <t>CLI-233</t>
  </si>
  <si>
    <t>CLI-076</t>
  </si>
  <si>
    <t>CLI-101</t>
  </si>
  <si>
    <t>CLI-142</t>
  </si>
  <si>
    <t>CLI-016</t>
  </si>
  <si>
    <t>CLI-198</t>
  </si>
  <si>
    <t>CLI-168</t>
  </si>
  <si>
    <t>CLI-252</t>
  </si>
  <si>
    <t>CLI-208</t>
  </si>
  <si>
    <t>CLI-109</t>
  </si>
  <si>
    <t>CLI-089</t>
  </si>
  <si>
    <t>CLI-125</t>
  </si>
  <si>
    <t>CLI-267</t>
  </si>
  <si>
    <t>CLI-226</t>
  </si>
  <si>
    <t>CLI-239</t>
  </si>
  <si>
    <t>CLI-065</t>
  </si>
  <si>
    <t>CLI-175</t>
  </si>
  <si>
    <t>CLI-147</t>
  </si>
  <si>
    <t>CLI-022</t>
  </si>
  <si>
    <t>CLI-096</t>
  </si>
  <si>
    <t>CLI-280</t>
  </si>
  <si>
    <t>CLI-161</t>
  </si>
  <si>
    <t>CLI-028</t>
  </si>
  <si>
    <t>CLI-041</t>
  </si>
  <si>
    <t>CLI-273</t>
  </si>
  <si>
    <t>CLI-220</t>
  </si>
  <si>
    <t>CLI-164</t>
  </si>
  <si>
    <t>CLI-100</t>
  </si>
  <si>
    <t>CLI-110</t>
  </si>
  <si>
    <t>CLI-296</t>
  </si>
  <si>
    <t>CLI-007</t>
  </si>
  <si>
    <t>CLI-259</t>
  </si>
  <si>
    <t>CLI-243</t>
  </si>
  <si>
    <t>CLI-014</t>
  </si>
  <si>
    <t>CLI-001</t>
  </si>
  <si>
    <t>CLI-289</t>
  </si>
  <si>
    <t>CLI-261</t>
  </si>
  <si>
    <t>CLI-179</t>
  </si>
  <si>
    <t>CLI-263</t>
  </si>
  <si>
    <t>CLI-165</t>
  </si>
  <si>
    <t>CLI-151</t>
  </si>
  <si>
    <t>CLI-060</t>
  </si>
  <si>
    <t>CLI-059</t>
  </si>
  <si>
    <t>CLI-123</t>
  </si>
  <si>
    <t>CLI-154</t>
  </si>
  <si>
    <t>CLI-258</t>
  </si>
  <si>
    <t>CLI-173</t>
  </si>
  <si>
    <t>CLI-185</t>
  </si>
  <si>
    <t>CLI-251</t>
  </si>
  <si>
    <t>CLI-094</t>
  </si>
  <si>
    <t>CLI-160</t>
  </si>
  <si>
    <t>CLI-080</t>
  </si>
  <si>
    <t>CLI-098</t>
  </si>
  <si>
    <t>CLI-104</t>
  </si>
  <si>
    <t>CLI-135</t>
  </si>
  <si>
    <t>CLI-046</t>
  </si>
  <si>
    <t>CLI-255</t>
  </si>
  <si>
    <t>CLI-083</t>
  </si>
  <si>
    <t>CLI-152</t>
  </si>
  <si>
    <t>CLI-103</t>
  </si>
  <si>
    <t>CLI-131</t>
  </si>
  <si>
    <t>CLI-286</t>
  </si>
  <si>
    <t>CLI-196</t>
  </si>
  <si>
    <t>CLI-159</t>
  </si>
  <si>
    <t>CLI-282</t>
  </si>
  <si>
    <t>CLI-234</t>
  </si>
  <si>
    <t>CLI-068</t>
  </si>
  <si>
    <t>CLI-202</t>
  </si>
  <si>
    <t>CLI-231</t>
  </si>
  <si>
    <t>CLI-042</t>
  </si>
  <si>
    <t>CLI-112</t>
  </si>
  <si>
    <t>CLI-036</t>
  </si>
  <si>
    <t>CLI-008</t>
  </si>
  <si>
    <t>CLI-171</t>
  </si>
  <si>
    <t>CLI-025</t>
  </si>
  <si>
    <t>CLI-139</t>
  </si>
  <si>
    <t>CLI-213</t>
  </si>
  <si>
    <t>CLI-237</t>
  </si>
  <si>
    <t>CLI-026</t>
  </si>
  <si>
    <t>CLI-182</t>
  </si>
  <si>
    <t>CLI-092</t>
  </si>
  <si>
    <t>CLI-215</t>
  </si>
  <si>
    <t>CLI-199</t>
  </si>
  <si>
    <t>CLI-264</t>
  </si>
  <si>
    <t>CLI-013</t>
  </si>
  <si>
    <t>CLI-221</t>
  </si>
  <si>
    <t>CLI-265</t>
  </si>
  <si>
    <t>CLI-073</t>
  </si>
  <si>
    <t>CLI-120</t>
  </si>
  <si>
    <t>CLI-149</t>
  </si>
  <si>
    <t>CLI-232</t>
  </si>
  <si>
    <t>CLI-260</t>
  </si>
  <si>
    <t>CLI-130</t>
  </si>
  <si>
    <t>CLI-257</t>
  </si>
  <si>
    <t>CLI-050</t>
  </si>
  <si>
    <t>CLI-097</t>
  </si>
  <si>
    <t>CLI-006</t>
  </si>
  <si>
    <t>CLI-240</t>
  </si>
  <si>
    <t>CLI-225</t>
  </si>
  <si>
    <t>CLI-034</t>
  </si>
  <si>
    <t>CLI-292</t>
  </si>
  <si>
    <t>CLI-278</t>
  </si>
  <si>
    <t>CLI-180</t>
  </si>
  <si>
    <t>CLI-012</t>
  </si>
  <si>
    <t>CLI-033</t>
  </si>
  <si>
    <t>CLI-117</t>
  </si>
  <si>
    <t>CLI-099</t>
  </si>
  <si>
    <t>CLI-238</t>
  </si>
  <si>
    <t>CLI-017</t>
  </si>
  <si>
    <t>CLI-145</t>
  </si>
  <si>
    <t>CLI-127</t>
  </si>
  <si>
    <t>CLI-157</t>
  </si>
  <si>
    <t>CLI-218</t>
  </si>
  <si>
    <t>CLI-248</t>
  </si>
  <si>
    <t>CLI-021</t>
  </si>
  <si>
    <t>CLI-271</t>
  </si>
  <si>
    <t>CLI-209</t>
  </si>
  <si>
    <t>CLI-114</t>
  </si>
  <si>
    <t>CLI-121</t>
  </si>
  <si>
    <t>CLI-071</t>
  </si>
  <si>
    <t>CLI-078</t>
  </si>
  <si>
    <t>CLI-189</t>
  </si>
  <si>
    <t>CLI-228</t>
  </si>
  <si>
    <t>CLI-297</t>
  </si>
  <si>
    <t>CLI-129</t>
  </si>
  <si>
    <t>CLI-190</t>
  </si>
  <si>
    <t>CLI-186</t>
  </si>
  <si>
    <t>CLI-206</t>
  </si>
  <si>
    <t>CLI-085</t>
  </si>
  <si>
    <t>CLI-031</t>
  </si>
  <si>
    <t>CLI-057</t>
  </si>
  <si>
    <t>CLI-137</t>
  </si>
  <si>
    <t>CLI-053</t>
  </si>
  <si>
    <t>CLI-134</t>
  </si>
  <si>
    <t>CLI-201</t>
  </si>
  <si>
    <t>CLI-285</t>
  </si>
  <si>
    <t>CLI-124</t>
  </si>
  <si>
    <t>CLI-052</t>
  </si>
  <si>
    <t>CLI-069</t>
  </si>
  <si>
    <t>CLI-294</t>
  </si>
  <si>
    <t>CLI-222</t>
  </si>
  <si>
    <t>CLI-118</t>
  </si>
  <si>
    <t>CLI-254</t>
  </si>
  <si>
    <t>CLI-035</t>
  </si>
  <si>
    <t>CLI-055</t>
  </si>
  <si>
    <t>CLI-047</t>
  </si>
  <si>
    <t>CLI-183</t>
  </si>
  <si>
    <t>CLI-249</t>
  </si>
  <si>
    <t>CLI-133</t>
  </si>
  <si>
    <t>CLI-272</t>
  </si>
  <si>
    <t>CLI-169</t>
  </si>
  <si>
    <t>CLI-158</t>
  </si>
  <si>
    <t>CLI-227</t>
  </si>
  <si>
    <t>CLI-084</t>
  </si>
  <si>
    <t>CLI-291</t>
  </si>
  <si>
    <t>CLI-283</t>
  </si>
  <si>
    <t>CLI-040</t>
  </si>
  <si>
    <t>CLI-275</t>
  </si>
  <si>
    <t>CLI-087</t>
  </si>
  <si>
    <t>CLI-067</t>
  </si>
  <si>
    <t>CLI-214</t>
  </si>
  <si>
    <t>CLI-256</t>
  </si>
  <si>
    <t>CLI-212</t>
  </si>
  <si>
    <t>CLI-113</t>
  </si>
  <si>
    <t>CLI-177</t>
  </si>
  <si>
    <t>CLI-245</t>
  </si>
  <si>
    <t>CLI-178</t>
  </si>
  <si>
    <t>CLI-163</t>
  </si>
  <si>
    <t>CLI-288</t>
  </si>
  <si>
    <t>CLI-194</t>
  </si>
  <si>
    <t>CLI-086</t>
  </si>
  <si>
    <t>CLI-088</t>
  </si>
  <si>
    <t>CLI-290</t>
  </si>
  <si>
    <t>CLI-235</t>
  </si>
  <si>
    <t>CLI-066</t>
  </si>
  <si>
    <t>CLI-043</t>
  </si>
  <si>
    <t>CLI-048</t>
  </si>
  <si>
    <t>CLI-023</t>
  </si>
  <si>
    <t>CLI-029</t>
  </si>
  <si>
    <t>CLI-167</t>
  </si>
  <si>
    <t>CLI-002</t>
  </si>
  <si>
    <t>CLI-230</t>
  </si>
  <si>
    <t>CLI-039</t>
  </si>
  <si>
    <t>CLI-140</t>
  </si>
  <si>
    <t>CLI-181</t>
  </si>
  <si>
    <t>CLI-111</t>
  </si>
  <si>
    <t>CLI-266</t>
  </si>
  <si>
    <t>CLI-049</t>
  </si>
  <si>
    <t>CLI-193</t>
  </si>
  <si>
    <t>CLI-300</t>
  </si>
  <si>
    <t>CLI-176</t>
  </si>
  <si>
    <t>CLI-224</t>
  </si>
  <si>
    <t>CLI-148</t>
  </si>
  <si>
    <t>CLI-281</t>
  </si>
  <si>
    <t>CLI-054</t>
  </si>
  <si>
    <t>CLI-192</t>
  </si>
  <si>
    <t>CLI-268</t>
  </si>
  <si>
    <t>CLI-195</t>
  </si>
  <si>
    <t>CLI-174</t>
  </si>
  <si>
    <t>CLI-126</t>
  </si>
  <si>
    <t>CLI-010</t>
  </si>
  <si>
    <t>CLI-141</t>
  </si>
  <si>
    <t>CLI-293</t>
  </si>
  <si>
    <t>CLI-150</t>
  </si>
  <si>
    <t>CLI-045</t>
  </si>
  <si>
    <t>CLI-132</t>
  </si>
  <si>
    <t>CLI-032</t>
  </si>
  <si>
    <t>CLI-136</t>
  </si>
  <si>
    <t>POL-0002</t>
  </si>
  <si>
    <t>POL-0003</t>
  </si>
  <si>
    <t>POL-0004</t>
  </si>
  <si>
    <t>POL-0005</t>
  </si>
  <si>
    <t>POL-0006</t>
  </si>
  <si>
    <t>POL-0007</t>
  </si>
  <si>
    <t>POL-0008</t>
  </si>
  <si>
    <t>POL-0009</t>
  </si>
  <si>
    <t>POL-0010</t>
  </si>
  <si>
    <t>POL-0011</t>
  </si>
  <si>
    <t>POL-0012</t>
  </si>
  <si>
    <t>POL-0013</t>
  </si>
  <si>
    <t>POL-0014</t>
  </si>
  <si>
    <t>POL-0015</t>
  </si>
  <si>
    <t>POL-0016</t>
  </si>
  <si>
    <t>POL-0017</t>
  </si>
  <si>
    <t>POL-0018</t>
  </si>
  <si>
    <t>POL-0019</t>
  </si>
  <si>
    <t>POL-0020</t>
  </si>
  <si>
    <t>POL-0021</t>
  </si>
  <si>
    <t>POL-0022</t>
  </si>
  <si>
    <t>POL-0023</t>
  </si>
  <si>
    <t>POL-0024</t>
  </si>
  <si>
    <t>POL-0025</t>
  </si>
  <si>
    <t>POL-0026</t>
  </si>
  <si>
    <t>POL-0027</t>
  </si>
  <si>
    <t>POL-0028</t>
  </si>
  <si>
    <t>POL-0029</t>
  </si>
  <si>
    <t>POL-0030</t>
  </si>
  <si>
    <t>POL-0031</t>
  </si>
  <si>
    <t>POL-0032</t>
  </si>
  <si>
    <t>POL-0033</t>
  </si>
  <si>
    <t>POL-0034</t>
  </si>
  <si>
    <t>POL-0035</t>
  </si>
  <si>
    <t>POL-0036</t>
  </si>
  <si>
    <t>POL-0037</t>
  </si>
  <si>
    <t>POL-0038</t>
  </si>
  <si>
    <t>POL-0039</t>
  </si>
  <si>
    <t>POL-0040</t>
  </si>
  <si>
    <t>POL-0041</t>
  </si>
  <si>
    <t>POL-0042</t>
  </si>
  <si>
    <t>POL-0043</t>
  </si>
  <si>
    <t>POL-0044</t>
  </si>
  <si>
    <t>POL-0045</t>
  </si>
  <si>
    <t>POL-0046</t>
  </si>
  <si>
    <t>POL-0047</t>
  </si>
  <si>
    <t>POL-0048</t>
  </si>
  <si>
    <t>POL-0049</t>
  </si>
  <si>
    <t>POL-0050</t>
  </si>
  <si>
    <t>POL-0051</t>
  </si>
  <si>
    <t>POL-0052</t>
  </si>
  <si>
    <t>POL-0053</t>
  </si>
  <si>
    <t>POL-0054</t>
  </si>
  <si>
    <t>POL-0055</t>
  </si>
  <si>
    <t>POL-0056</t>
  </si>
  <si>
    <t>POL-0057</t>
  </si>
  <si>
    <t>POL-0058</t>
  </si>
  <si>
    <t>POL-0059</t>
  </si>
  <si>
    <t>POL-0060</t>
  </si>
  <si>
    <t>POL-0061</t>
  </si>
  <si>
    <t>POL-0062</t>
  </si>
  <si>
    <t>POL-0063</t>
  </si>
  <si>
    <t>POL-0064</t>
  </si>
  <si>
    <t>POL-0065</t>
  </si>
  <si>
    <t>POL-0066</t>
  </si>
  <si>
    <t>POL-0067</t>
  </si>
  <si>
    <t>POL-0068</t>
  </si>
  <si>
    <t>POL-0069</t>
  </si>
  <si>
    <t>POL-0070</t>
  </si>
  <si>
    <t>POL-0071</t>
  </si>
  <si>
    <t>POL-0072</t>
  </si>
  <si>
    <t>POL-0073</t>
  </si>
  <si>
    <t>POL-0074</t>
  </si>
  <si>
    <t>POL-0075</t>
  </si>
  <si>
    <t>POL-0076</t>
  </si>
  <si>
    <t>POL-0077</t>
  </si>
  <si>
    <t>POL-0078</t>
  </si>
  <si>
    <t>POL-0079</t>
  </si>
  <si>
    <t>POL-0080</t>
  </si>
  <si>
    <t>POL-0081</t>
  </si>
  <si>
    <t>POL-0082</t>
  </si>
  <si>
    <t>POL-0083</t>
  </si>
  <si>
    <t>POL-0084</t>
  </si>
  <si>
    <t>POL-0085</t>
  </si>
  <si>
    <t>POL-0086</t>
  </si>
  <si>
    <t>POL-0087</t>
  </si>
  <si>
    <t>POL-0088</t>
  </si>
  <si>
    <t>POL-0089</t>
  </si>
  <si>
    <t>POL-0090</t>
  </si>
  <si>
    <t>POL-0091</t>
  </si>
  <si>
    <t>POL-0092</t>
  </si>
  <si>
    <t>POL-0093</t>
  </si>
  <si>
    <t>POL-0094</t>
  </si>
  <si>
    <t>POL-0095</t>
  </si>
  <si>
    <t>POL-0096</t>
  </si>
  <si>
    <t>POL-0097</t>
  </si>
  <si>
    <t>POL-0098</t>
  </si>
  <si>
    <t>POL-0099</t>
  </si>
  <si>
    <t>POL-0100</t>
  </si>
  <si>
    <t>POL-0101</t>
  </si>
  <si>
    <t>POL-0102</t>
  </si>
  <si>
    <t>POL-0103</t>
  </si>
  <si>
    <t>POL-0104</t>
  </si>
  <si>
    <t>POL-0105</t>
  </si>
  <si>
    <t>POL-0106</t>
  </si>
  <si>
    <t>POL-0107</t>
  </si>
  <si>
    <t>POL-0108</t>
  </si>
  <si>
    <t>POL-0109</t>
  </si>
  <si>
    <t>POL-0110</t>
  </si>
  <si>
    <t>POL-0111</t>
  </si>
  <si>
    <t>POL-0112</t>
  </si>
  <si>
    <t>POL-0113</t>
  </si>
  <si>
    <t>POL-0114</t>
  </si>
  <si>
    <t>POL-0115</t>
  </si>
  <si>
    <t>POL-0116</t>
  </si>
  <si>
    <t>POL-0117</t>
  </si>
  <si>
    <t>POL-0118</t>
  </si>
  <si>
    <t>POL-0119</t>
  </si>
  <si>
    <t>POL-0120</t>
  </si>
  <si>
    <t>POL-0121</t>
  </si>
  <si>
    <t>POL-0122</t>
  </si>
  <si>
    <t>POL-0123</t>
  </si>
  <si>
    <t>POL-0124</t>
  </si>
  <si>
    <t>POL-0125</t>
  </si>
  <si>
    <t>POL-0126</t>
  </si>
  <si>
    <t>POL-0127</t>
  </si>
  <si>
    <t>POL-0128</t>
  </si>
  <si>
    <t>POL-0129</t>
  </si>
  <si>
    <t>POL-0130</t>
  </si>
  <si>
    <t>POL-0131</t>
  </si>
  <si>
    <t>POL-0132</t>
  </si>
  <si>
    <t>POL-0133</t>
  </si>
  <si>
    <t>POL-0134</t>
  </si>
  <si>
    <t>POL-0135</t>
  </si>
  <si>
    <t>POL-0136</t>
  </si>
  <si>
    <t>POL-0137</t>
  </si>
  <si>
    <t>POL-0138</t>
  </si>
  <si>
    <t>POL-0139</t>
  </si>
  <si>
    <t>POL-0140</t>
  </si>
  <si>
    <t>POL-0141</t>
  </si>
  <si>
    <t>POL-0142</t>
  </si>
  <si>
    <t>POL-0143</t>
  </si>
  <si>
    <t>POL-0144</t>
  </si>
  <si>
    <t>POL-0145</t>
  </si>
  <si>
    <t>POL-0146</t>
  </si>
  <si>
    <t>POL-0147</t>
  </si>
  <si>
    <t>POL-0148</t>
  </si>
  <si>
    <t>POL-0149</t>
  </si>
  <si>
    <t>POL-0150</t>
  </si>
  <si>
    <t>POL-0151</t>
  </si>
  <si>
    <t>POL-0152</t>
  </si>
  <si>
    <t>POL-0153</t>
  </si>
  <si>
    <t>POL-0154</t>
  </si>
  <si>
    <t>POL-0155</t>
  </si>
  <si>
    <t>POL-0156</t>
  </si>
  <si>
    <t>POL-0157</t>
  </si>
  <si>
    <t>POL-0158</t>
  </si>
  <si>
    <t>POL-0159</t>
  </si>
  <si>
    <t>POL-0160</t>
  </si>
  <si>
    <t>POL-0161</t>
  </si>
  <si>
    <t>POL-0162</t>
  </si>
  <si>
    <t>POL-0163</t>
  </si>
  <si>
    <t>POL-0164</t>
  </si>
  <si>
    <t>POL-0165</t>
  </si>
  <si>
    <t>POL-0166</t>
  </si>
  <si>
    <t>POL-0167</t>
  </si>
  <si>
    <t>POL-0168</t>
  </si>
  <si>
    <t>POL-0169</t>
  </si>
  <si>
    <t>POL-0170</t>
  </si>
  <si>
    <t>POL-0171</t>
  </si>
  <si>
    <t>POL-0172</t>
  </si>
  <si>
    <t>POL-0173</t>
  </si>
  <si>
    <t>POL-0174</t>
  </si>
  <si>
    <t>POL-0175</t>
  </si>
  <si>
    <t>POL-0176</t>
  </si>
  <si>
    <t>POL-0177</t>
  </si>
  <si>
    <t>POL-0178</t>
  </si>
  <si>
    <t>POL-0179</t>
  </si>
  <si>
    <t>POL-0180</t>
  </si>
  <si>
    <t>POL-0181</t>
  </si>
  <si>
    <t>POL-0182</t>
  </si>
  <si>
    <t>POL-0183</t>
  </si>
  <si>
    <t>POL-0184</t>
  </si>
  <si>
    <t>POL-0185</t>
  </si>
  <si>
    <t>POL-0186</t>
  </si>
  <si>
    <t>POL-0187</t>
  </si>
  <si>
    <t>POL-0188</t>
  </si>
  <si>
    <t>POL-0189</t>
  </si>
  <si>
    <t>POL-0190</t>
  </si>
  <si>
    <t>POL-0191</t>
  </si>
  <si>
    <t>POL-0192</t>
  </si>
  <si>
    <t>POL-0193</t>
  </si>
  <si>
    <t>POL-0194</t>
  </si>
  <si>
    <t>POL-0195</t>
  </si>
  <si>
    <t>POL-0196</t>
  </si>
  <si>
    <t>POL-0197</t>
  </si>
  <si>
    <t>POL-0198</t>
  </si>
  <si>
    <t>POL-0199</t>
  </si>
  <si>
    <t>POL-0200</t>
  </si>
  <si>
    <t>POL-0201</t>
  </si>
  <si>
    <t>POL-0202</t>
  </si>
  <si>
    <t>POL-0203</t>
  </si>
  <si>
    <t>POL-0204</t>
  </si>
  <si>
    <t>POL-0205</t>
  </si>
  <si>
    <t>POL-0206</t>
  </si>
  <si>
    <t>POL-0207</t>
  </si>
  <si>
    <t>POL-0208</t>
  </si>
  <si>
    <t>POL-0209</t>
  </si>
  <si>
    <t>POL-0210</t>
  </si>
  <si>
    <t>POL-0211</t>
  </si>
  <si>
    <t>POL-0212</t>
  </si>
  <si>
    <t>POL-0213</t>
  </si>
  <si>
    <t>POL-0214</t>
  </si>
  <si>
    <t>POL-0215</t>
  </si>
  <si>
    <t>POL-0216</t>
  </si>
  <si>
    <t>POL-0217</t>
  </si>
  <si>
    <t>POL-0218</t>
  </si>
  <si>
    <t>POL-0219</t>
  </si>
  <si>
    <t>POL-0220</t>
  </si>
  <si>
    <t>POL-0221</t>
  </si>
  <si>
    <t>POL-0222</t>
  </si>
  <si>
    <t>POL-0223</t>
  </si>
  <si>
    <t>POL-0224</t>
  </si>
  <si>
    <t>POL-0225</t>
  </si>
  <si>
    <t>POL-0226</t>
  </si>
  <si>
    <t>POL-0227</t>
  </si>
  <si>
    <t>POL-0228</t>
  </si>
  <si>
    <t>POL-0229</t>
  </si>
  <si>
    <t>POL-0230</t>
  </si>
  <si>
    <t>POL-0231</t>
  </si>
  <si>
    <t>POL-0232</t>
  </si>
  <si>
    <t>POL-0233</t>
  </si>
  <si>
    <t>POL-0234</t>
  </si>
  <si>
    <t>POL-0235</t>
  </si>
  <si>
    <t>POL-0236</t>
  </si>
  <si>
    <t>POL-0237</t>
  </si>
  <si>
    <t>POL-0238</t>
  </si>
  <si>
    <t>POL-0239</t>
  </si>
  <si>
    <t>POL-0240</t>
  </si>
  <si>
    <t>POL-0241</t>
  </si>
  <si>
    <t>POL-0242</t>
  </si>
  <si>
    <t>POL-0243</t>
  </si>
  <si>
    <t>POL-0244</t>
  </si>
  <si>
    <t>POL-0245</t>
  </si>
  <si>
    <t>POL-0246</t>
  </si>
  <si>
    <t>POL-0247</t>
  </si>
  <si>
    <t>POL-0248</t>
  </si>
  <si>
    <t>POL-0249</t>
  </si>
  <si>
    <t>POL-0250</t>
  </si>
  <si>
    <t>POL-0251</t>
  </si>
  <si>
    <t>POL-0252</t>
  </si>
  <si>
    <t>POL-0253</t>
  </si>
  <si>
    <t>POL-0254</t>
  </si>
  <si>
    <t>POL-0255</t>
  </si>
  <si>
    <t>POL-0256</t>
  </si>
  <si>
    <t>POL-0257</t>
  </si>
  <si>
    <t>POL-0258</t>
  </si>
  <si>
    <t>POL-0259</t>
  </si>
  <si>
    <t>POL-0260</t>
  </si>
  <si>
    <t>POL-0261</t>
  </si>
  <si>
    <t>POL-0262</t>
  </si>
  <si>
    <t>POL-0263</t>
  </si>
  <si>
    <t>POL-0264</t>
  </si>
  <si>
    <t>POL-0265</t>
  </si>
  <si>
    <t>POL-0266</t>
  </si>
  <si>
    <t>POL-0267</t>
  </si>
  <si>
    <t>POL-0268</t>
  </si>
  <si>
    <t>POL-0269</t>
  </si>
  <si>
    <t>POL-0270</t>
  </si>
  <si>
    <t>POL-0271</t>
  </si>
  <si>
    <t>POL-0272</t>
  </si>
  <si>
    <t>POL-0273</t>
  </si>
  <si>
    <t>POL-0274</t>
  </si>
  <si>
    <t>POL-0275</t>
  </si>
  <si>
    <t>POL-0276</t>
  </si>
  <si>
    <t>POL-0277</t>
  </si>
  <si>
    <t>POL-0278</t>
  </si>
  <si>
    <t>POL-0279</t>
  </si>
  <si>
    <t>POL-0280</t>
  </si>
  <si>
    <t>POL-0281</t>
  </si>
  <si>
    <t>POL-0282</t>
  </si>
  <si>
    <t>POL-0283</t>
  </si>
  <si>
    <t>POL-0284</t>
  </si>
  <si>
    <t>POL-0285</t>
  </si>
  <si>
    <t>POL-0286</t>
  </si>
  <si>
    <t>POL-0287</t>
  </si>
  <si>
    <t>POL-0288</t>
  </si>
  <si>
    <t>POL-0289</t>
  </si>
  <si>
    <t>POL-0290</t>
  </si>
  <si>
    <t>POL-0291</t>
  </si>
  <si>
    <t>POL-0292</t>
  </si>
  <si>
    <t>POL-0293</t>
  </si>
  <si>
    <t>POL-0294</t>
  </si>
  <si>
    <t>POL-0295</t>
  </si>
  <si>
    <t>POL-0296</t>
  </si>
  <si>
    <t>POL-0297</t>
  </si>
  <si>
    <t>POL-0298</t>
  </si>
  <si>
    <t>POL-0299</t>
  </si>
  <si>
    <t>POL-0300</t>
  </si>
  <si>
    <t>POL-0301</t>
  </si>
  <si>
    <t>POL-0302</t>
  </si>
  <si>
    <t>POL-0303</t>
  </si>
  <si>
    <t>POL-0304</t>
  </si>
  <si>
    <t>POL-0305</t>
  </si>
  <si>
    <t>POL-0306</t>
  </si>
  <si>
    <t>POL-0307</t>
  </si>
  <si>
    <t>POL-0308</t>
  </si>
  <si>
    <t>POL-0309</t>
  </si>
  <si>
    <t>POL-0310</t>
  </si>
  <si>
    <t>POL-0311</t>
  </si>
  <si>
    <t>POL-0312</t>
  </si>
  <si>
    <t>POL-0313</t>
  </si>
  <si>
    <t>POL-0314</t>
  </si>
  <si>
    <t>POL-0315</t>
  </si>
  <si>
    <t>POL-0316</t>
  </si>
  <si>
    <t>POL-0317</t>
  </si>
  <si>
    <t>POL-0318</t>
  </si>
  <si>
    <t>POL-0319</t>
  </si>
  <si>
    <t>POL-0320</t>
  </si>
  <si>
    <t>POL-0321</t>
  </si>
  <si>
    <t>POL-0322</t>
  </si>
  <si>
    <t>POL-0323</t>
  </si>
  <si>
    <t>POL-0324</t>
  </si>
  <si>
    <t>POL-0325</t>
  </si>
  <si>
    <t>POL-0326</t>
  </si>
  <si>
    <t>POL-0327</t>
  </si>
  <si>
    <t>POL-0328</t>
  </si>
  <si>
    <t>POL-0329</t>
  </si>
  <si>
    <t>POL-0330</t>
  </si>
  <si>
    <t>POL-0331</t>
  </si>
  <si>
    <t>POL-0332</t>
  </si>
  <si>
    <t>POL-0333</t>
  </si>
  <si>
    <t>POL-0334</t>
  </si>
  <si>
    <t>POL-0335</t>
  </si>
  <si>
    <t>POL-0336</t>
  </si>
  <si>
    <t>POL-0337</t>
  </si>
  <si>
    <t>POL-0338</t>
  </si>
  <si>
    <t>POL-0339</t>
  </si>
  <si>
    <t>POL-0340</t>
  </si>
  <si>
    <t>POL-0341</t>
  </si>
  <si>
    <t>POL-0342</t>
  </si>
  <si>
    <t>POL-0343</t>
  </si>
  <si>
    <t>POL-0344</t>
  </si>
  <si>
    <t>POL-0345</t>
  </si>
  <si>
    <t>POL-0346</t>
  </si>
  <si>
    <t>POL-0347</t>
  </si>
  <si>
    <t>POL-0348</t>
  </si>
  <si>
    <t>POL-0349</t>
  </si>
  <si>
    <t>POL-0350</t>
  </si>
  <si>
    <t>POL-0351</t>
  </si>
  <si>
    <t>POL-0352</t>
  </si>
  <si>
    <t>POL-0353</t>
  </si>
  <si>
    <t>POL-0354</t>
  </si>
  <si>
    <t>POL-0355</t>
  </si>
  <si>
    <t>POL-0356</t>
  </si>
  <si>
    <t>POL-0357</t>
  </si>
  <si>
    <t>POL-0358</t>
  </si>
  <si>
    <t>POL-0359</t>
  </si>
  <si>
    <t>POL-0360</t>
  </si>
  <si>
    <t>POL-0361</t>
  </si>
  <si>
    <t>POL-0362</t>
  </si>
  <si>
    <t>POL-0363</t>
  </si>
  <si>
    <t>POL-0364</t>
  </si>
  <si>
    <t>POL-0365</t>
  </si>
  <si>
    <t>POL-0366</t>
  </si>
  <si>
    <t>POL-0367</t>
  </si>
  <si>
    <t>POL-0368</t>
  </si>
  <si>
    <t>POL-0369</t>
  </si>
  <si>
    <t>POL-0370</t>
  </si>
  <si>
    <t>POL-0371</t>
  </si>
  <si>
    <t>POL-0372</t>
  </si>
  <si>
    <t>POL-0373</t>
  </si>
  <si>
    <t>POL-0374</t>
  </si>
  <si>
    <t>POL-0375</t>
  </si>
  <si>
    <t>POL-0376</t>
  </si>
  <si>
    <t>POL-0377</t>
  </si>
  <si>
    <t>POL-0378</t>
  </si>
  <si>
    <t>POL-0379</t>
  </si>
  <si>
    <t>POL-0380</t>
  </si>
  <si>
    <t>POL-0381</t>
  </si>
  <si>
    <t>POL-0382</t>
  </si>
  <si>
    <t>POL-0383</t>
  </si>
  <si>
    <t>POL-0384</t>
  </si>
  <si>
    <t>POL-0385</t>
  </si>
  <si>
    <t>POL-0386</t>
  </si>
  <si>
    <t>POL-0387</t>
  </si>
  <si>
    <t>POL-0388</t>
  </si>
  <si>
    <t>POL-0389</t>
  </si>
  <si>
    <t>POL-0390</t>
  </si>
  <si>
    <t>POL-0391</t>
  </si>
  <si>
    <t>POL-0392</t>
  </si>
  <si>
    <t>POL-0393</t>
  </si>
  <si>
    <t>POL-0394</t>
  </si>
  <si>
    <t>POL-0395</t>
  </si>
  <si>
    <t>POL-0396</t>
  </si>
  <si>
    <t>POL-0397</t>
  </si>
  <si>
    <t>POL-0398</t>
  </si>
  <si>
    <t>POL-0399</t>
  </si>
  <si>
    <t>POL-0400</t>
  </si>
  <si>
    <t>POL-0401</t>
  </si>
  <si>
    <t>POL-0402</t>
  </si>
  <si>
    <t>POL-0403</t>
  </si>
  <si>
    <t>POL-0404</t>
  </si>
  <si>
    <t>POL-0405</t>
  </si>
  <si>
    <t>POL-0406</t>
  </si>
  <si>
    <t>POL-0407</t>
  </si>
  <si>
    <t>POL-0408</t>
  </si>
  <si>
    <t>POL-0409</t>
  </si>
  <si>
    <t>POL-0410</t>
  </si>
  <si>
    <t>POL-0411</t>
  </si>
  <si>
    <t>POL-0412</t>
  </si>
  <si>
    <t>POL-0413</t>
  </si>
  <si>
    <t>POL-0414</t>
  </si>
  <si>
    <t>POL-0415</t>
  </si>
  <si>
    <t>POL-0416</t>
  </si>
  <si>
    <t>POL-0417</t>
  </si>
  <si>
    <t>POL-0418</t>
  </si>
  <si>
    <t>POL-0419</t>
  </si>
  <si>
    <t>POL-0420</t>
  </si>
  <si>
    <t>POL-0421</t>
  </si>
  <si>
    <t>POL-0422</t>
  </si>
  <si>
    <t>POL-0423</t>
  </si>
  <si>
    <t>POL-0424</t>
  </si>
  <si>
    <t>POL-0425</t>
  </si>
  <si>
    <t>POL-0426</t>
  </si>
  <si>
    <t>POL-0427</t>
  </si>
  <si>
    <t>POL-0428</t>
  </si>
  <si>
    <t>POL-0429</t>
  </si>
  <si>
    <t>POL-0430</t>
  </si>
  <si>
    <t>POL-0431</t>
  </si>
  <si>
    <t>POL-0432</t>
  </si>
  <si>
    <t>POL-0433</t>
  </si>
  <si>
    <t>POL-0434</t>
  </si>
  <si>
    <t>POL-0435</t>
  </si>
  <si>
    <t>POL-0436</t>
  </si>
  <si>
    <t>POL-0437</t>
  </si>
  <si>
    <t>POL-0438</t>
  </si>
  <si>
    <t>POL-0439</t>
  </si>
  <si>
    <t>POL-0440</t>
  </si>
  <si>
    <t>POL-0441</t>
  </si>
  <si>
    <t>POL-0442</t>
  </si>
  <si>
    <t>POL-0443</t>
  </si>
  <si>
    <t>POL-0444</t>
  </si>
  <si>
    <t>POL-0445</t>
  </si>
  <si>
    <t>POL-0446</t>
  </si>
  <si>
    <t>POL-0447</t>
  </si>
  <si>
    <t>POL-0448</t>
  </si>
  <si>
    <t>POL-0449</t>
  </si>
  <si>
    <t>POL-0450</t>
  </si>
  <si>
    <t>POL-0451</t>
  </si>
  <si>
    <t>POL-0452</t>
  </si>
  <si>
    <t>POL-0453</t>
  </si>
  <si>
    <t>POL-0454</t>
  </si>
  <si>
    <t>POL-0455</t>
  </si>
  <si>
    <t>POL-0456</t>
  </si>
  <si>
    <t>POL-0457</t>
  </si>
  <si>
    <t>POL-0458</t>
  </si>
  <si>
    <t>POL-0459</t>
  </si>
  <si>
    <t>POL-0460</t>
  </si>
  <si>
    <t>POL-0461</t>
  </si>
  <si>
    <t>POL-0462</t>
  </si>
  <si>
    <t>POL-0463</t>
  </si>
  <si>
    <t>POL-0464</t>
  </si>
  <si>
    <t>POL-0465</t>
  </si>
  <si>
    <t>POL-0466</t>
  </si>
  <si>
    <t>POL-0467</t>
  </si>
  <si>
    <t>POL-0468</t>
  </si>
  <si>
    <t>POL-0469</t>
  </si>
  <si>
    <t>POL-0470</t>
  </si>
  <si>
    <t>POL-0471</t>
  </si>
  <si>
    <t>POL-0472</t>
  </si>
  <si>
    <t>POL-0473</t>
  </si>
  <si>
    <t>POL-0474</t>
  </si>
  <si>
    <t>POL-0475</t>
  </si>
  <si>
    <t>POL-0476</t>
  </si>
  <si>
    <t>POL-0477</t>
  </si>
  <si>
    <t>POL-0478</t>
  </si>
  <si>
    <t>POL-0479</t>
  </si>
  <si>
    <t>POL-0480</t>
  </si>
  <si>
    <t>POL-0481</t>
  </si>
  <si>
    <t>POL-0482</t>
  </si>
  <si>
    <t>POL-0483</t>
  </si>
  <si>
    <t>POL-0484</t>
  </si>
  <si>
    <t>POL-0485</t>
  </si>
  <si>
    <t>POL-0486</t>
  </si>
  <si>
    <t>POL-0487</t>
  </si>
  <si>
    <t>POL-0488</t>
  </si>
  <si>
    <t>POL-0489</t>
  </si>
  <si>
    <t>POL-0490</t>
  </si>
  <si>
    <t>POL-0491</t>
  </si>
  <si>
    <t>POL-0492</t>
  </si>
  <si>
    <t>POL-0493</t>
  </si>
  <si>
    <t>POL-0494</t>
  </si>
  <si>
    <t>POL-0495</t>
  </si>
  <si>
    <t>POL-0496</t>
  </si>
  <si>
    <t>POL-0497</t>
  </si>
  <si>
    <t>POL-0498</t>
  </si>
  <si>
    <t>POL-0499</t>
  </si>
  <si>
    <t>POL-0500</t>
  </si>
  <si>
    <t>POL-0501</t>
  </si>
  <si>
    <t>POL-0502</t>
  </si>
  <si>
    <t>POL-0503</t>
  </si>
  <si>
    <t>POL-0504</t>
  </si>
  <si>
    <t>POL-0505</t>
  </si>
  <si>
    <t>POL-0506</t>
  </si>
  <si>
    <t>POL-0507</t>
  </si>
  <si>
    <t>POL-0508</t>
  </si>
  <si>
    <t>POL-0509</t>
  </si>
  <si>
    <t>POL-0510</t>
  </si>
  <si>
    <t>POL-0511</t>
  </si>
  <si>
    <t>POL-0512</t>
  </si>
  <si>
    <t>POL-0513</t>
  </si>
  <si>
    <t>POL-0514</t>
  </si>
  <si>
    <t>POL-0515</t>
  </si>
  <si>
    <t>POL-0516</t>
  </si>
  <si>
    <t>POL-0517</t>
  </si>
  <si>
    <t>POL-0518</t>
  </si>
  <si>
    <t>POL-0519</t>
  </si>
  <si>
    <t>POL-0520</t>
  </si>
  <si>
    <t>POL-0521</t>
  </si>
  <si>
    <t>POL-0522</t>
  </si>
  <si>
    <t>POL-0523</t>
  </si>
  <si>
    <t>POL-0524</t>
  </si>
  <si>
    <t>POL-0525</t>
  </si>
  <si>
    <t>POL-0526</t>
  </si>
  <si>
    <t>POL-0527</t>
  </si>
  <si>
    <t>POL-0528</t>
  </si>
  <si>
    <t>POL-0529</t>
  </si>
  <si>
    <t>POL-0530</t>
  </si>
  <si>
    <t>POL-0531</t>
  </si>
  <si>
    <t>POL-0532</t>
  </si>
  <si>
    <t>POL-0533</t>
  </si>
  <si>
    <t>POL-0534</t>
  </si>
  <si>
    <t>POL-0535</t>
  </si>
  <si>
    <t>POL-0536</t>
  </si>
  <si>
    <t>POL-0537</t>
  </si>
  <si>
    <t>POL-0538</t>
  </si>
  <si>
    <t>POL-0539</t>
  </si>
  <si>
    <t>POL-0540</t>
  </si>
  <si>
    <t>POL-0541</t>
  </si>
  <si>
    <t>POL-0542</t>
  </si>
  <si>
    <t>POL-0543</t>
  </si>
  <si>
    <t>POL-0544</t>
  </si>
  <si>
    <t>POL-0545</t>
  </si>
  <si>
    <t>POL-0546</t>
  </si>
  <si>
    <t>POL-0547</t>
  </si>
  <si>
    <t>POL-0548</t>
  </si>
  <si>
    <t>POL-0549</t>
  </si>
  <si>
    <t>POL-0550</t>
  </si>
  <si>
    <t>POL-0551</t>
  </si>
  <si>
    <t>POL-0552</t>
  </si>
  <si>
    <t>POL-0553</t>
  </si>
  <si>
    <t>POL-0554</t>
  </si>
  <si>
    <t>POL-0555</t>
  </si>
  <si>
    <t>POL-0556</t>
  </si>
  <si>
    <t>POL-0557</t>
  </si>
  <si>
    <t>POL-0558</t>
  </si>
  <si>
    <t>POL-0559</t>
  </si>
  <si>
    <t>POL-0560</t>
  </si>
  <si>
    <t>POL-0561</t>
  </si>
  <si>
    <t>POL-0562</t>
  </si>
  <si>
    <t>POL-0563</t>
  </si>
  <si>
    <t>POL-0564</t>
  </si>
  <si>
    <t>POL-0565</t>
  </si>
  <si>
    <t>POL-0566</t>
  </si>
  <si>
    <t>POL-0567</t>
  </si>
  <si>
    <t>POL-0568</t>
  </si>
  <si>
    <t>POL-0569</t>
  </si>
  <si>
    <t>POL-0570</t>
  </si>
  <si>
    <t>POL-0571</t>
  </si>
  <si>
    <t>POL-0572</t>
  </si>
  <si>
    <t>POL-0573</t>
  </si>
  <si>
    <t>POL-0574</t>
  </si>
  <si>
    <t>POL-0575</t>
  </si>
  <si>
    <t>POL-0576</t>
  </si>
  <si>
    <t>POL-0577</t>
  </si>
  <si>
    <t>POL-0578</t>
  </si>
  <si>
    <t>POL-0579</t>
  </si>
  <si>
    <t>POL-0580</t>
  </si>
  <si>
    <t>POL-0581</t>
  </si>
  <si>
    <t>POL-0582</t>
  </si>
  <si>
    <t>POL-0583</t>
  </si>
  <si>
    <t>POL-0584</t>
  </si>
  <si>
    <t>POL-0585</t>
  </si>
  <si>
    <t>POL-0586</t>
  </si>
  <si>
    <t>POL-0587</t>
  </si>
  <si>
    <t>POL-0588</t>
  </si>
  <si>
    <t>POL-0589</t>
  </si>
  <si>
    <t>POL-0590</t>
  </si>
  <si>
    <t>POL-0591</t>
  </si>
  <si>
    <t>POL-0592</t>
  </si>
  <si>
    <t>POL-0593</t>
  </si>
  <si>
    <t>POL-0594</t>
  </si>
  <si>
    <t>POL-0595</t>
  </si>
  <si>
    <t>POL-0596</t>
  </si>
  <si>
    <t>POL-0597</t>
  </si>
  <si>
    <t>POL-0598</t>
  </si>
  <si>
    <t>POL-0599</t>
  </si>
  <si>
    <t>POL-0600</t>
  </si>
  <si>
    <t>POL-0601</t>
  </si>
  <si>
    <t>POL-0602</t>
  </si>
  <si>
    <t>POL-0603</t>
  </si>
  <si>
    <t>POL-0604</t>
  </si>
  <si>
    <t>POL-0605</t>
  </si>
  <si>
    <t>POL-0606</t>
  </si>
  <si>
    <t>POL-0607</t>
  </si>
  <si>
    <t>POL-0608</t>
  </si>
  <si>
    <t>POL-0609</t>
  </si>
  <si>
    <t>POL-0610</t>
  </si>
  <si>
    <t>POL-0611</t>
  </si>
  <si>
    <t>POL-0612</t>
  </si>
  <si>
    <t>POL-0613</t>
  </si>
  <si>
    <t>POL-0614</t>
  </si>
  <si>
    <t>POL-0615</t>
  </si>
  <si>
    <t>POL-0616</t>
  </si>
  <si>
    <t>POL-0617</t>
  </si>
  <si>
    <t>POL-0618</t>
  </si>
  <si>
    <t>POL-0619</t>
  </si>
  <si>
    <t>POL-0620</t>
  </si>
  <si>
    <t>POL-0621</t>
  </si>
  <si>
    <t>POL-0622</t>
  </si>
  <si>
    <t>POL-0623</t>
  </si>
  <si>
    <t>POL-0624</t>
  </si>
  <si>
    <t>POL-0625</t>
  </si>
  <si>
    <t>POL-0626</t>
  </si>
  <si>
    <t>POL-0627</t>
  </si>
  <si>
    <t>POL-0628</t>
  </si>
  <si>
    <t>POL-0629</t>
  </si>
  <si>
    <t>POL-0630</t>
  </si>
  <si>
    <t>POL-0631</t>
  </si>
  <si>
    <t>POL-0632</t>
  </si>
  <si>
    <t>POL-0633</t>
  </si>
  <si>
    <t>POL-0634</t>
  </si>
  <si>
    <t>POL-0635</t>
  </si>
  <si>
    <t>POL-0636</t>
  </si>
  <si>
    <t>POL-0637</t>
  </si>
  <si>
    <t>POL-0638</t>
  </si>
  <si>
    <t>POL-0639</t>
  </si>
  <si>
    <t>POL-0640</t>
  </si>
  <si>
    <t>POL-0641</t>
  </si>
  <si>
    <t>POL-0642</t>
  </si>
  <si>
    <t>POL-0643</t>
  </si>
  <si>
    <t>POL-0644</t>
  </si>
  <si>
    <t>POL-0645</t>
  </si>
  <si>
    <t>POL-0646</t>
  </si>
  <si>
    <t>POL-0647</t>
  </si>
  <si>
    <t>POL-0648</t>
  </si>
  <si>
    <t>POL-0649</t>
  </si>
  <si>
    <t>POL-0650</t>
  </si>
  <si>
    <t>POL-0651</t>
  </si>
  <si>
    <t>POL-0652</t>
  </si>
  <si>
    <t>POL-0653</t>
  </si>
  <si>
    <t>POL-0654</t>
  </si>
  <si>
    <t>POL-0655</t>
  </si>
  <si>
    <t>POL-0656</t>
  </si>
  <si>
    <t>POL-0657</t>
  </si>
  <si>
    <t>POL-0658</t>
  </si>
  <si>
    <t>POL-0659</t>
  </si>
  <si>
    <t>POL-0660</t>
  </si>
  <si>
    <t>POL-0661</t>
  </si>
  <si>
    <t>POL-0662</t>
  </si>
  <si>
    <t>POL-0663</t>
  </si>
  <si>
    <t>POL-0664</t>
  </si>
  <si>
    <t>POL-0665</t>
  </si>
  <si>
    <t>POL-0666</t>
  </si>
  <si>
    <t>POL-0667</t>
  </si>
  <si>
    <t>POL-0668</t>
  </si>
  <si>
    <t>POL-0669</t>
  </si>
  <si>
    <t>POL-0670</t>
  </si>
  <si>
    <t>POL-0671</t>
  </si>
  <si>
    <t>POL-0672</t>
  </si>
  <si>
    <t>POL-0673</t>
  </si>
  <si>
    <t>POL-0674</t>
  </si>
  <si>
    <t>POL-0675</t>
  </si>
  <si>
    <t>POL-0676</t>
  </si>
  <si>
    <t>POL-0677</t>
  </si>
  <si>
    <t>POL-0678</t>
  </si>
  <si>
    <t>POL-0679</t>
  </si>
  <si>
    <t>POL-0680</t>
  </si>
  <si>
    <t>POL-0681</t>
  </si>
  <si>
    <t>POL-0682</t>
  </si>
  <si>
    <t>POL-0683</t>
  </si>
  <si>
    <t>POL-0684</t>
  </si>
  <si>
    <t>POL-0685</t>
  </si>
  <si>
    <t>POL-0686</t>
  </si>
  <si>
    <t>POL-0687</t>
  </si>
  <si>
    <t>POL-0688</t>
  </si>
  <si>
    <t>POL-0689</t>
  </si>
  <si>
    <t>POL-0690</t>
  </si>
  <si>
    <t>POL-0691</t>
  </si>
  <si>
    <t>POL-0692</t>
  </si>
  <si>
    <t>POL-0693</t>
  </si>
  <si>
    <t>POL-0694</t>
  </si>
  <si>
    <t>POL-0695</t>
  </si>
  <si>
    <t>POL-0696</t>
  </si>
  <si>
    <t>POL-0697</t>
  </si>
  <si>
    <t>POL-0698</t>
  </si>
  <si>
    <t>POL-0699</t>
  </si>
  <si>
    <t>POL-0700</t>
  </si>
  <si>
    <t>POL-0701</t>
  </si>
  <si>
    <t>POL-0702</t>
  </si>
  <si>
    <t>POL-0703</t>
  </si>
  <si>
    <t>POL-0704</t>
  </si>
  <si>
    <t>POL-0705</t>
  </si>
  <si>
    <t>POL-0706</t>
  </si>
  <si>
    <t>POL-0707</t>
  </si>
  <si>
    <t>POL-0708</t>
  </si>
  <si>
    <t>POL-0709</t>
  </si>
  <si>
    <t>POL-0710</t>
  </si>
  <si>
    <t>POL-0711</t>
  </si>
  <si>
    <t>POL-0712</t>
  </si>
  <si>
    <t>POL-0713</t>
  </si>
  <si>
    <t>POL-0714</t>
  </si>
  <si>
    <t>POL-0715</t>
  </si>
  <si>
    <t>POL-0716</t>
  </si>
  <si>
    <t>POL-0717</t>
  </si>
  <si>
    <t>POL-0718</t>
  </si>
  <si>
    <t>POL-0719</t>
  </si>
  <si>
    <t>POL-0720</t>
  </si>
  <si>
    <t>POL-0721</t>
  </si>
  <si>
    <t>POL-0722</t>
  </si>
  <si>
    <t>POL-0723</t>
  </si>
  <si>
    <t>POL-0724</t>
  </si>
  <si>
    <t>POL-0725</t>
  </si>
  <si>
    <t>POL-0726</t>
  </si>
  <si>
    <t>POL-0727</t>
  </si>
  <si>
    <t>POL-0728</t>
  </si>
  <si>
    <t>POL-0729</t>
  </si>
  <si>
    <t>POL-0730</t>
  </si>
  <si>
    <t>POL-0731</t>
  </si>
  <si>
    <t>POL-0732</t>
  </si>
  <si>
    <t>POL-0733</t>
  </si>
  <si>
    <t>POL-0734</t>
  </si>
  <si>
    <t>POL-0735</t>
  </si>
  <si>
    <t>POL-0736</t>
  </si>
  <si>
    <t>POL-0737</t>
  </si>
  <si>
    <t>POL-0738</t>
  </si>
  <si>
    <t>POL-0739</t>
  </si>
  <si>
    <t>POL-0740</t>
  </si>
  <si>
    <t>POL-0741</t>
  </si>
  <si>
    <t>POL-0742</t>
  </si>
  <si>
    <t>POL-0743</t>
  </si>
  <si>
    <t>POL-0744</t>
  </si>
  <si>
    <t>POL-0745</t>
  </si>
  <si>
    <t>POL-0746</t>
  </si>
  <si>
    <t>POL-0747</t>
  </si>
  <si>
    <t>POL-0748</t>
  </si>
  <si>
    <t>POL-0749</t>
  </si>
  <si>
    <t>POL-0750</t>
  </si>
  <si>
    <t>POL-0751</t>
  </si>
  <si>
    <t>POL-0752</t>
  </si>
  <si>
    <t>POL-0753</t>
  </si>
  <si>
    <t>POL-0754</t>
  </si>
  <si>
    <t>POL-0755</t>
  </si>
  <si>
    <t>POL-0756</t>
  </si>
  <si>
    <t>POL-0757</t>
  </si>
  <si>
    <t>POL-0758</t>
  </si>
  <si>
    <t>POL-0759</t>
  </si>
  <si>
    <t>POL-0760</t>
  </si>
  <si>
    <t>POL-0761</t>
  </si>
  <si>
    <t>POL-0762</t>
  </si>
  <si>
    <t>POL-0763</t>
  </si>
  <si>
    <t>POL-0764</t>
  </si>
  <si>
    <t>POL-0765</t>
  </si>
  <si>
    <t>POL-0766</t>
  </si>
  <si>
    <t>POL-0767</t>
  </si>
  <si>
    <t>POL-0768</t>
  </si>
  <si>
    <t>POL-0769</t>
  </si>
  <si>
    <t>POL-0770</t>
  </si>
  <si>
    <t>POL-0771</t>
  </si>
  <si>
    <t>POL-0772</t>
  </si>
  <si>
    <t>POL-0773</t>
  </si>
  <si>
    <t>POL-0774</t>
  </si>
  <si>
    <t>POL-0775</t>
  </si>
  <si>
    <t>POL-0776</t>
  </si>
  <si>
    <t>POL-0777</t>
  </si>
  <si>
    <t>POL-0778</t>
  </si>
  <si>
    <t>POL-0779</t>
  </si>
  <si>
    <t>POL-0780</t>
  </si>
  <si>
    <t>POL-0781</t>
  </si>
  <si>
    <t>POL-0782</t>
  </si>
  <si>
    <t>POL-0783</t>
  </si>
  <si>
    <t>POL-0784</t>
  </si>
  <si>
    <t>POL-0785</t>
  </si>
  <si>
    <t>POL-0786</t>
  </si>
  <si>
    <t>POL-0787</t>
  </si>
  <si>
    <t>POL-0788</t>
  </si>
  <si>
    <t>POL-0789</t>
  </si>
  <si>
    <t>POL-0790</t>
  </si>
  <si>
    <t>POL-0791</t>
  </si>
  <si>
    <t>POL-0792</t>
  </si>
  <si>
    <t>POL-0793</t>
  </si>
  <si>
    <t>POL-0794</t>
  </si>
  <si>
    <t>POL-0795</t>
  </si>
  <si>
    <t>POL-0796</t>
  </si>
  <si>
    <t>POL-0797</t>
  </si>
  <si>
    <t>POL-0798</t>
  </si>
  <si>
    <t>POL-0799</t>
  </si>
  <si>
    <t>POL-0800</t>
  </si>
  <si>
    <t>POL-0801</t>
  </si>
  <si>
    <t>POL-0802</t>
  </si>
  <si>
    <t>POL-0803</t>
  </si>
  <si>
    <t>POL-0804</t>
  </si>
  <si>
    <t>POL-0805</t>
  </si>
  <si>
    <t>POL-0806</t>
  </si>
  <si>
    <t>POL-0807</t>
  </si>
  <si>
    <t>POL-0808</t>
  </si>
  <si>
    <t>POL-0809</t>
  </si>
  <si>
    <t>POL-0810</t>
  </si>
  <si>
    <t>POL-0811</t>
  </si>
  <si>
    <t>POL-0812</t>
  </si>
  <si>
    <t>POL-0813</t>
  </si>
  <si>
    <t>POL-0814</t>
  </si>
  <si>
    <t>POL-0815</t>
  </si>
  <si>
    <t>POL-0816</t>
  </si>
  <si>
    <t>POL-0817</t>
  </si>
  <si>
    <t>POL-0818</t>
  </si>
  <si>
    <t>POL-0819</t>
  </si>
  <si>
    <t>POL-0820</t>
  </si>
  <si>
    <t>POL-0821</t>
  </si>
  <si>
    <t>POL-0822</t>
  </si>
  <si>
    <t>POL-0823</t>
  </si>
  <si>
    <t>POL-0824</t>
  </si>
  <si>
    <t>POL-0825</t>
  </si>
  <si>
    <t>POL-0826</t>
  </si>
  <si>
    <t>POL-0827</t>
  </si>
  <si>
    <t>POL-0828</t>
  </si>
  <si>
    <t>POL-0829</t>
  </si>
  <si>
    <t>POL-0830</t>
  </si>
  <si>
    <t>POL-0831</t>
  </si>
  <si>
    <t>POL-0832</t>
  </si>
  <si>
    <t>POL-0833</t>
  </si>
  <si>
    <t>POL-0834</t>
  </si>
  <si>
    <t>POL-0835</t>
  </si>
  <si>
    <t>POL-0836</t>
  </si>
  <si>
    <t>POL-0837</t>
  </si>
  <si>
    <t>POL-0838</t>
  </si>
  <si>
    <t>POL-0839</t>
  </si>
  <si>
    <t>POL-0840</t>
  </si>
  <si>
    <t>POL-0841</t>
  </si>
  <si>
    <t>POL-0842</t>
  </si>
  <si>
    <t>POL-0843</t>
  </si>
  <si>
    <t>POL-0844</t>
  </si>
  <si>
    <t>POL-0845</t>
  </si>
  <si>
    <t>POL-0846</t>
  </si>
  <si>
    <t>POL-0847</t>
  </si>
  <si>
    <t>POL-0848</t>
  </si>
  <si>
    <t>POL-0849</t>
  </si>
  <si>
    <t>POL-0850</t>
  </si>
  <si>
    <t>POL-0851</t>
  </si>
  <si>
    <t>POL-0852</t>
  </si>
  <si>
    <t>POL-0853</t>
  </si>
  <si>
    <t>POL-0854</t>
  </si>
  <si>
    <t>POL-0855</t>
  </si>
  <si>
    <t>POL-0856</t>
  </si>
  <si>
    <t>POL-0857</t>
  </si>
  <si>
    <t>POL-0858</t>
  </si>
  <si>
    <t>POL-0859</t>
  </si>
  <si>
    <t>POL-0860</t>
  </si>
  <si>
    <t>POL-0861</t>
  </si>
  <si>
    <t>POL-0862</t>
  </si>
  <si>
    <t>POL-0863</t>
  </si>
  <si>
    <t>POL-0864</t>
  </si>
  <si>
    <t>POL-0865</t>
  </si>
  <si>
    <t>POL-0866</t>
  </si>
  <si>
    <t>POL-0867</t>
  </si>
  <si>
    <t>POL-0868</t>
  </si>
  <si>
    <t>POL-0869</t>
  </si>
  <si>
    <t>POL-0870</t>
  </si>
  <si>
    <t>POL-0871</t>
  </si>
  <si>
    <t>POL-0872</t>
  </si>
  <si>
    <t>POL-0873</t>
  </si>
  <si>
    <t>POL-0874</t>
  </si>
  <si>
    <t>POL-0875</t>
  </si>
  <si>
    <t>POL-0876</t>
  </si>
  <si>
    <t>POL-0877</t>
  </si>
  <si>
    <t>POL-0878</t>
  </si>
  <si>
    <t>POL-0879</t>
  </si>
  <si>
    <t>POL-0880</t>
  </si>
  <si>
    <t>POL-0881</t>
  </si>
  <si>
    <t>POL-0882</t>
  </si>
  <si>
    <t>POL-0883</t>
  </si>
  <si>
    <t>POL-0884</t>
  </si>
  <si>
    <t>POL-0885</t>
  </si>
  <si>
    <t>POL-0886</t>
  </si>
  <si>
    <t>POL-0887</t>
  </si>
  <si>
    <t>POL-0888</t>
  </si>
  <si>
    <t>POL-0889</t>
  </si>
  <si>
    <t>POL-0890</t>
  </si>
  <si>
    <t>POL-0891</t>
  </si>
  <si>
    <t>POL-0892</t>
  </si>
  <si>
    <t>POL-0893</t>
  </si>
  <si>
    <t>POL-0894</t>
  </si>
  <si>
    <t>POL-0895</t>
  </si>
  <si>
    <t>POL-0896</t>
  </si>
  <si>
    <t>POL-0897</t>
  </si>
  <si>
    <t>POL-0898</t>
  </si>
  <si>
    <t>POL-0899</t>
  </si>
  <si>
    <t>POL-0900</t>
  </si>
  <si>
    <t>POL-0901</t>
  </si>
  <si>
    <t>POL-0902</t>
  </si>
  <si>
    <t>POL-0903</t>
  </si>
  <si>
    <t>POL-0904</t>
  </si>
  <si>
    <t>POL-0905</t>
  </si>
  <si>
    <t>POL-0906</t>
  </si>
  <si>
    <t>POL-0907</t>
  </si>
  <si>
    <t>POL-0908</t>
  </si>
  <si>
    <t>POL-0909</t>
  </si>
  <si>
    <t>POL-0910</t>
  </si>
  <si>
    <t>POL-0911</t>
  </si>
  <si>
    <t>POL-0912</t>
  </si>
  <si>
    <t>POL-0913</t>
  </si>
  <si>
    <t>POL-0914</t>
  </si>
  <si>
    <t>POL-0915</t>
  </si>
  <si>
    <t>POL-0916</t>
  </si>
  <si>
    <t>POL-0917</t>
  </si>
  <si>
    <t>POL-0918</t>
  </si>
  <si>
    <t>POL-0919</t>
  </si>
  <si>
    <t>POL-0920</t>
  </si>
  <si>
    <t>POL-0921</t>
  </si>
  <si>
    <t>POL-0922</t>
  </si>
  <si>
    <t>POL-0923</t>
  </si>
  <si>
    <t>POL-0924</t>
  </si>
  <si>
    <t>POL-0925</t>
  </si>
  <si>
    <t>POL-0926</t>
  </si>
  <si>
    <t>POL-0927</t>
  </si>
  <si>
    <t>POL-0928</t>
  </si>
  <si>
    <t>POL-0929</t>
  </si>
  <si>
    <t>POL-0930</t>
  </si>
  <si>
    <t>POL-0931</t>
  </si>
  <si>
    <t>POL-0932</t>
  </si>
  <si>
    <t>POL-0933</t>
  </si>
  <si>
    <t>POL-0934</t>
  </si>
  <si>
    <t>POL-0935</t>
  </si>
  <si>
    <t>POL-0936</t>
  </si>
  <si>
    <t>POL-0937</t>
  </si>
  <si>
    <t>POL-0938</t>
  </si>
  <si>
    <t>POL-0939</t>
  </si>
  <si>
    <t>POL-0940</t>
  </si>
  <si>
    <t>POL-0941</t>
  </si>
  <si>
    <t>POL-0942</t>
  </si>
  <si>
    <t>POL-0943</t>
  </si>
  <si>
    <t>POL-0944</t>
  </si>
  <si>
    <t>POL-0945</t>
  </si>
  <si>
    <t>POL-0946</t>
  </si>
  <si>
    <t>POL-0947</t>
  </si>
  <si>
    <t>POL-0948</t>
  </si>
  <si>
    <t>POL-0949</t>
  </si>
  <si>
    <t>POL-0950</t>
  </si>
  <si>
    <t>POL-0951</t>
  </si>
  <si>
    <t>POL-0952</t>
  </si>
  <si>
    <t>POL-0953</t>
  </si>
  <si>
    <t>POL-0954</t>
  </si>
  <si>
    <t>POL-0955</t>
  </si>
  <si>
    <t>POL-0956</t>
  </si>
  <si>
    <t>POL-0957</t>
  </si>
  <si>
    <t>POL-0958</t>
  </si>
  <si>
    <t>POL-0959</t>
  </si>
  <si>
    <t>POL-0960</t>
  </si>
  <si>
    <t>POL-0961</t>
  </si>
  <si>
    <t>POL-0962</t>
  </si>
  <si>
    <t>POL-0963</t>
  </si>
  <si>
    <t>POL-0964</t>
  </si>
  <si>
    <t>POL-0965</t>
  </si>
  <si>
    <t>POL-0966</t>
  </si>
  <si>
    <t>POL-0967</t>
  </si>
  <si>
    <t>POL-0968</t>
  </si>
  <si>
    <t>POL-0969</t>
  </si>
  <si>
    <t>POL-0970</t>
  </si>
  <si>
    <t>POL-0971</t>
  </si>
  <si>
    <t>POL-0972</t>
  </si>
  <si>
    <t>POL-0973</t>
  </si>
  <si>
    <t>POL-0974</t>
  </si>
  <si>
    <t>POL-0975</t>
  </si>
  <si>
    <t>POL-0976</t>
  </si>
  <si>
    <t>POL-0977</t>
  </si>
  <si>
    <t>POL-0978</t>
  </si>
  <si>
    <t>POL-0979</t>
  </si>
  <si>
    <t>POL-0980</t>
  </si>
  <si>
    <t>POL-0981</t>
  </si>
  <si>
    <t>POL-0982</t>
  </si>
  <si>
    <t>POL-0983</t>
  </si>
  <si>
    <t>POL-0984</t>
  </si>
  <si>
    <t>POL-0985</t>
  </si>
  <si>
    <t>POL-0986</t>
  </si>
  <si>
    <t>POL-0987</t>
  </si>
  <si>
    <t>POL-0988</t>
  </si>
  <si>
    <t>POL-0989</t>
  </si>
  <si>
    <t>POL-0990</t>
  </si>
  <si>
    <t>POL-0991</t>
  </si>
  <si>
    <t>POL-0992</t>
  </si>
  <si>
    <t>POL-0993</t>
  </si>
  <si>
    <t>POL-0994</t>
  </si>
  <si>
    <t>POL-0995</t>
  </si>
  <si>
    <t>POL-0996</t>
  </si>
  <si>
    <t>POL-0997</t>
  </si>
  <si>
    <t>POL-0998</t>
  </si>
  <si>
    <t>POL-0999</t>
  </si>
  <si>
    <t>POL-1000</t>
  </si>
  <si>
    <t>NOMBRE ASEGURADO</t>
  </si>
  <si>
    <t>Juan Gómez</t>
  </si>
  <si>
    <t>Pedro Fernández</t>
  </si>
  <si>
    <t>Lucas Rodríguez</t>
  </si>
  <si>
    <t>Mateo López</t>
  </si>
  <si>
    <t>Santiago Martínez</t>
  </si>
  <si>
    <t>Nicolás González</t>
  </si>
  <si>
    <t>Martín Pérez</t>
  </si>
  <si>
    <t>Tomás Sánchez</t>
  </si>
  <si>
    <t>Facundo Romero</t>
  </si>
  <si>
    <t>Agustín Díaz</t>
  </si>
  <si>
    <t>Franco Álvarez</t>
  </si>
  <si>
    <t>Diego Torres</t>
  </si>
  <si>
    <t>Pablo Ruiz</t>
  </si>
  <si>
    <t>Joaquín Ramírez</t>
  </si>
  <si>
    <t>Federico Flores</t>
  </si>
  <si>
    <t>Gonzalo Acosta</t>
  </si>
  <si>
    <t>Maximiliano Benítez</t>
  </si>
  <si>
    <t>Sebastián Medina</t>
  </si>
  <si>
    <t>Matías Suárez</t>
  </si>
  <si>
    <t>Alejandro Herrera</t>
  </si>
  <si>
    <t>Daniel Aguirre</t>
  </si>
  <si>
    <t>Gabriel Pereyra</t>
  </si>
  <si>
    <t>Andrés Gutiérrez</t>
  </si>
  <si>
    <t>Fernando Molina</t>
  </si>
  <si>
    <t>Rodrigo Castro</t>
  </si>
  <si>
    <t>Mariano Ortiz</t>
  </si>
  <si>
    <t>Ignacio Silva</t>
  </si>
  <si>
    <t>Emiliano Rojas</t>
  </si>
  <si>
    <t>Bruno Núñez</t>
  </si>
  <si>
    <t>Lautaro Luna</t>
  </si>
  <si>
    <t>Sofía Cabrera</t>
  </si>
  <si>
    <t>Martina Domínguez</t>
  </si>
  <si>
    <t>Valentina Navarro</t>
  </si>
  <si>
    <t>Camila Vega</t>
  </si>
  <si>
    <t>Lucía Campos</t>
  </si>
  <si>
    <t>Victoria Méndez</t>
  </si>
  <si>
    <t>Agustina Vera</t>
  </si>
  <si>
    <t>Julieta Arias</t>
  </si>
  <si>
    <t>Carolina Mansilla</t>
  </si>
  <si>
    <t>Florencia Correa</t>
  </si>
  <si>
    <t>Paula Ponce</t>
  </si>
  <si>
    <t>Mariana Sosa</t>
  </si>
  <si>
    <t>Daniela Quiroga</t>
  </si>
  <si>
    <t>Gabriela Ferreyra</t>
  </si>
  <si>
    <t>Natalia Bravo</t>
  </si>
  <si>
    <t>Micaela Vázquez</t>
  </si>
  <si>
    <t>Clara Roldán</t>
  </si>
  <si>
    <t>Malena Peralta</t>
  </si>
  <si>
    <t>Catalina Miranda</t>
  </si>
  <si>
    <t>Pedro Gómez</t>
  </si>
  <si>
    <t>Lucas Fernández</t>
  </si>
  <si>
    <t>Mateo Rodríguez</t>
  </si>
  <si>
    <t>Santiago López</t>
  </si>
  <si>
    <t>Nicolás Martínez</t>
  </si>
  <si>
    <t>Martín González</t>
  </si>
  <si>
    <t>Tomás Pérez</t>
  </si>
  <si>
    <t>Facundo Sánchez</t>
  </si>
  <si>
    <t>Agustín Romero</t>
  </si>
  <si>
    <t>Franco Díaz</t>
  </si>
  <si>
    <t>Diego Álvarez</t>
  </si>
  <si>
    <t>Pablo Torres</t>
  </si>
  <si>
    <t>Joaquín Ruiz</t>
  </si>
  <si>
    <t>Federico Ramírez</t>
  </si>
  <si>
    <t>Gonzalo Flores</t>
  </si>
  <si>
    <t>Maximiliano Acosta</t>
  </si>
  <si>
    <t>Sebastián Benítez</t>
  </si>
  <si>
    <t>Matías Medina</t>
  </si>
  <si>
    <t>Alejandro Suárez</t>
  </si>
  <si>
    <t>Daniel Herrera</t>
  </si>
  <si>
    <t>Gabriel Aguirre</t>
  </si>
  <si>
    <t>Andrés Pereyra</t>
  </si>
  <si>
    <t>Fernando Gutiérrez</t>
  </si>
  <si>
    <t>Rodrigo Molina</t>
  </si>
  <si>
    <t>Mariano Castro</t>
  </si>
  <si>
    <t>Ignacio Ortiz</t>
  </si>
  <si>
    <t>Emiliano Silva</t>
  </si>
  <si>
    <t>Bruno Rojas</t>
  </si>
  <si>
    <t>Lautaro Núñez</t>
  </si>
  <si>
    <t>Sofía Luna</t>
  </si>
  <si>
    <t>Martina Cabrera</t>
  </si>
  <si>
    <t>Valentina Domínguez</t>
  </si>
  <si>
    <t>Camila Navarro</t>
  </si>
  <si>
    <t>Lucía Vega</t>
  </si>
  <si>
    <t>Victoria Campos</t>
  </si>
  <si>
    <t>Agustina Méndez</t>
  </si>
  <si>
    <t>Julieta Vera</t>
  </si>
  <si>
    <t>Carolina Arias</t>
  </si>
  <si>
    <t>Florencia Mansilla</t>
  </si>
  <si>
    <t>Paula Correa</t>
  </si>
  <si>
    <t>Mariana Ponce</t>
  </si>
  <si>
    <t>Daniela Sosa</t>
  </si>
  <si>
    <t>Gabriela Quiroga</t>
  </si>
  <si>
    <t>Natalia Ferreyra</t>
  </si>
  <si>
    <t>Micaela Bravo</t>
  </si>
  <si>
    <t>Clara Vázquez</t>
  </si>
  <si>
    <t>Malena Roldán</t>
  </si>
  <si>
    <t>Catalina Peralta</t>
  </si>
  <si>
    <t>Lucas Gómez</t>
  </si>
  <si>
    <t>Mateo Fernández</t>
  </si>
  <si>
    <t>Santiago Rodríguez</t>
  </si>
  <si>
    <t>Nicolás López</t>
  </si>
  <si>
    <t>Martín Martínez</t>
  </si>
  <si>
    <t>Tomás González</t>
  </si>
  <si>
    <t>Facundo Pérez</t>
  </si>
  <si>
    <t>Agustín Sánchez</t>
  </si>
  <si>
    <t>Franco Romero</t>
  </si>
  <si>
    <t>Diego Díaz</t>
  </si>
  <si>
    <t>Pablo Álvarez</t>
  </si>
  <si>
    <t>Joaquín Torres</t>
  </si>
  <si>
    <t>Federico Ruiz</t>
  </si>
  <si>
    <t>Gonzalo Ramírez</t>
  </si>
  <si>
    <t>Maximiliano Flores</t>
  </si>
  <si>
    <t>Sebastián Acosta</t>
  </si>
  <si>
    <t>Matías Benítez</t>
  </si>
  <si>
    <t>Alejandro Medina</t>
  </si>
  <si>
    <t>Daniel Suárez</t>
  </si>
  <si>
    <t>Gabriel Herrera</t>
  </si>
  <si>
    <t>Andrés Aguirre</t>
  </si>
  <si>
    <t>Fernando Pereyra</t>
  </si>
  <si>
    <t>Rodrigo Gutiérrez</t>
  </si>
  <si>
    <t>Mariano Molina</t>
  </si>
  <si>
    <t>Ignacio Castro</t>
  </si>
  <si>
    <t>Emiliano Ortiz</t>
  </si>
  <si>
    <t>Bruno Silva</t>
  </si>
  <si>
    <t>Lautaro Rojas</t>
  </si>
  <si>
    <t>Sofía Núñez</t>
  </si>
  <si>
    <t>Martina Luna</t>
  </si>
  <si>
    <t>Valentina Cabrera</t>
  </si>
  <si>
    <t>Camila Domínguez</t>
  </si>
  <si>
    <t>Lucía Navarro</t>
  </si>
  <si>
    <t>Victoria Vega</t>
  </si>
  <si>
    <t>Agustina Campos</t>
  </si>
  <si>
    <t>Julieta Méndez</t>
  </si>
  <si>
    <t>Carolina Vera</t>
  </si>
  <si>
    <t>Florencia Arias</t>
  </si>
  <si>
    <t>Paula Mansilla</t>
  </si>
  <si>
    <t>Mariana Correa</t>
  </si>
  <si>
    <t>Daniela Ponce</t>
  </si>
  <si>
    <t>Gabriela Sosa</t>
  </si>
  <si>
    <t>Natalia Quiroga</t>
  </si>
  <si>
    <t>Micaela Ferreyra</t>
  </si>
  <si>
    <t>Clara Bravo</t>
  </si>
  <si>
    <t>Malena Vázquez</t>
  </si>
  <si>
    <t>Catalina Roldán</t>
  </si>
  <si>
    <t>Juan Pérez</t>
  </si>
  <si>
    <t>Pedro Sánchez</t>
  </si>
  <si>
    <t>Lucas Romero</t>
  </si>
  <si>
    <t>Mateo Díaz</t>
  </si>
  <si>
    <t>Santiago Álvarez</t>
  </si>
  <si>
    <t>Nicolás Torres</t>
  </si>
  <si>
    <t>Martín Ruiz</t>
  </si>
  <si>
    <t>Tomás Ramírez</t>
  </si>
  <si>
    <t>Facundo Flores</t>
  </si>
  <si>
    <t>Agustín Acosta</t>
  </si>
  <si>
    <t>Franco Benítez</t>
  </si>
  <si>
    <t>Diego Medina</t>
  </si>
  <si>
    <t>Pablo Suárez</t>
  </si>
  <si>
    <t>Joaquín Herrera</t>
  </si>
  <si>
    <t>Federico Aguirre</t>
  </si>
  <si>
    <t>Gonzalo Pereyra</t>
  </si>
  <si>
    <t>Maximiliano Gutiérrez</t>
  </si>
  <si>
    <t>Sebastián Molina</t>
  </si>
  <si>
    <t>Matías Castro</t>
  </si>
  <si>
    <t>Alejandro Ortiz</t>
  </si>
  <si>
    <t>Daniel Silva</t>
  </si>
  <si>
    <t>Gabriel Rojas</t>
  </si>
  <si>
    <t>Andrés Núñez</t>
  </si>
  <si>
    <t>Fernando Luna</t>
  </si>
  <si>
    <t>Rodrigo Cabrera</t>
  </si>
  <si>
    <t>Mariano Domínguez</t>
  </si>
  <si>
    <t>Ignacio Navarro</t>
  </si>
  <si>
    <t>Emiliano Vega</t>
  </si>
  <si>
    <t>Bruno Campos</t>
  </si>
  <si>
    <t>Lautaro Méndez</t>
  </si>
  <si>
    <t>Sofía Vera</t>
  </si>
  <si>
    <t>Martina Arias</t>
  </si>
  <si>
    <t>Valentina Mansilla</t>
  </si>
  <si>
    <t>Camila Correa</t>
  </si>
  <si>
    <t>Lucía Ponce</t>
  </si>
  <si>
    <t>Victoria Sosa</t>
  </si>
  <si>
    <t>Agustina Quiroga</t>
  </si>
  <si>
    <t>Julieta Ferreyra</t>
  </si>
  <si>
    <t>Carolina Bravo</t>
  </si>
  <si>
    <t>Florencia Vázquez</t>
  </si>
  <si>
    <t>Paula Roldán</t>
  </si>
  <si>
    <t>Mariana Peralta</t>
  </si>
  <si>
    <t>Daniela Miranda</t>
  </si>
  <si>
    <t>Juan Romero</t>
  </si>
  <si>
    <t>Pedro Díaz</t>
  </si>
  <si>
    <t>Lucas Álvarez</t>
  </si>
  <si>
    <t>Mateo Torres</t>
  </si>
  <si>
    <t>Santiago Ruiz</t>
  </si>
  <si>
    <t>Nicolás Ramírez</t>
  </si>
  <si>
    <t>Martín Flores</t>
  </si>
  <si>
    <t>Tomás Acosta</t>
  </si>
  <si>
    <t>Facundo Benítez</t>
  </si>
  <si>
    <t>Agustín Medina</t>
  </si>
  <si>
    <t>Franco Suárez</t>
  </si>
  <si>
    <t>Diego Herrera</t>
  </si>
  <si>
    <t>Pablo Aguirre</t>
  </si>
  <si>
    <t>Joaquín Pereyra</t>
  </si>
  <si>
    <t>Federico Gutiérrez</t>
  </si>
  <si>
    <t>Gonzalo Molina</t>
  </si>
  <si>
    <t>Maximiliano Castro</t>
  </si>
  <si>
    <t>Sebastián Ortiz</t>
  </si>
  <si>
    <t>Matías Silva</t>
  </si>
  <si>
    <t>Alejandro Rojas</t>
  </si>
  <si>
    <t>Daniel Núñez</t>
  </si>
  <si>
    <t>Gabriel Luna</t>
  </si>
  <si>
    <t>Andrés Cabrera</t>
  </si>
  <si>
    <t>Fernando Domínguez</t>
  </si>
  <si>
    <t>Rodrigo Navarro</t>
  </si>
  <si>
    <t>Mariano Vega</t>
  </si>
  <si>
    <t>Ignacio Campos</t>
  </si>
  <si>
    <t>Emiliano Méndez</t>
  </si>
  <si>
    <t>Bruno Vera</t>
  </si>
  <si>
    <t>Lautaro Arias</t>
  </si>
  <si>
    <t>Sofía Mansilla</t>
  </si>
  <si>
    <t>Martina Correa</t>
  </si>
  <si>
    <t>Valentina Ponce</t>
  </si>
  <si>
    <t>Camila Sosa</t>
  </si>
  <si>
    <t>Lucía Quiroga</t>
  </si>
  <si>
    <t>Victoria Ferreyra</t>
  </si>
  <si>
    <t>Agustina Bravo</t>
  </si>
  <si>
    <t>Julieta Vázquez</t>
  </si>
  <si>
    <t>Carolina Roldán</t>
  </si>
  <si>
    <t>Florencia Peralta</t>
  </si>
  <si>
    <t>Juan Acosta</t>
  </si>
  <si>
    <t>Pedro Aguirre</t>
  </si>
  <si>
    <t>Mateo Arias</t>
  </si>
  <si>
    <t>Santiago Benítez</t>
  </si>
  <si>
    <t>Nicolás Bravo</t>
  </si>
  <si>
    <t>Martín Cabrera</t>
  </si>
  <si>
    <t>Tomás Campos</t>
  </si>
  <si>
    <t>Facundo Castro</t>
  </si>
  <si>
    <t>Agustín Correa</t>
  </si>
  <si>
    <t>Diego Domínguez</t>
  </si>
  <si>
    <t>Pablo Fernández</t>
  </si>
  <si>
    <t>Joaquín Ferreyra</t>
  </si>
  <si>
    <t>Gonzalo Gómez</t>
  </si>
  <si>
    <t>Maximiliano González</t>
  </si>
  <si>
    <t>Sebastián Gutiérrez</t>
  </si>
  <si>
    <t>Matías Herrera</t>
  </si>
  <si>
    <t>Alejandro López</t>
  </si>
  <si>
    <t>Daniel Luna</t>
  </si>
  <si>
    <t>Gabriel Mansilla</t>
  </si>
  <si>
    <t>Andrés Martínez</t>
  </si>
  <si>
    <t>Fernando Medina</t>
  </si>
  <si>
    <t>Rodrigo Méndez</t>
  </si>
  <si>
    <t>Mariano Miranda</t>
  </si>
  <si>
    <t>Ignacio Molina</t>
  </si>
  <si>
    <t>Emiliano Navarro</t>
  </si>
  <si>
    <t>Lautaro Ortiz</t>
  </si>
  <si>
    <t>Sofía Peralta</t>
  </si>
  <si>
    <t>Martina Pereyra</t>
  </si>
  <si>
    <t>Valentina Pérez</t>
  </si>
  <si>
    <t>Camila Ponce</t>
  </si>
  <si>
    <t>Victoria Ramírez</t>
  </si>
  <si>
    <t>Agustina Rodríguez</t>
  </si>
  <si>
    <t>Julieta Rojas</t>
  </si>
  <si>
    <t>Florencia Romero</t>
  </si>
  <si>
    <t>Paula Ruiz</t>
  </si>
  <si>
    <t>Mariana Sánchez</t>
  </si>
  <si>
    <t>Daniela Silva</t>
  </si>
  <si>
    <t>Natalia Suárez</t>
  </si>
  <si>
    <t>Micaela Torres</t>
  </si>
  <si>
    <t>Malena Vega</t>
  </si>
  <si>
    <t>Catalina Vera</t>
  </si>
  <si>
    <t>Victoria Acosta</t>
  </si>
  <si>
    <t>Valentina Aguirre</t>
  </si>
  <si>
    <t>Tomás Álvarez</t>
  </si>
  <si>
    <t>Sofía Arias</t>
  </si>
  <si>
    <t>Santiago Bravo</t>
  </si>
  <si>
    <t>Pedro Campos</t>
  </si>
  <si>
    <t>Paula Castro</t>
  </si>
  <si>
    <t>Pablo Correa</t>
  </si>
  <si>
    <t>Nicolás Díaz</t>
  </si>
  <si>
    <t>Natalia Domínguez</t>
  </si>
  <si>
    <t>Micaela Fernández</t>
  </si>
  <si>
    <t>Maximiliano Ferreyra</t>
  </si>
  <si>
    <t>Matías Flores</t>
  </si>
  <si>
    <t>Mateo Gómez</t>
  </si>
  <si>
    <t>Martina González</t>
  </si>
  <si>
    <t>Martín Gutiérrez</t>
  </si>
  <si>
    <t>Mariano Herrera</t>
  </si>
  <si>
    <t>Mariana López</t>
  </si>
  <si>
    <t>Malena Luna</t>
  </si>
  <si>
    <t>Lucía Mansilla</t>
  </si>
  <si>
    <t>Lucas Martínez</t>
  </si>
  <si>
    <t>Lautaro Medina</t>
  </si>
  <si>
    <t>CLI-011</t>
  </si>
  <si>
    <t>CLI-030</t>
  </si>
  <si>
    <t>CLI-051</t>
  </si>
  <si>
    <t>CLI-062</t>
  </si>
  <si>
    <t>CLI-106</t>
  </si>
  <si>
    <t>CLI-138</t>
  </si>
  <si>
    <t>CLI-155</t>
  </si>
  <si>
    <t>CLI-274</t>
  </si>
  <si>
    <t>CLI-295</t>
  </si>
  <si>
    <t>CLI-298</t>
  </si>
  <si>
    <t>TIPO DE SEGURO</t>
  </si>
  <si>
    <t>PROVINCIA</t>
  </si>
  <si>
    <t>Responsabilidad Civil</t>
  </si>
  <si>
    <t>Terceros Completo</t>
  </si>
  <si>
    <t>Todo Riesgo con Franquicia</t>
  </si>
  <si>
    <t>Todo Riesgo sin Franquicia</t>
  </si>
  <si>
    <t>Buenos Aires</t>
  </si>
  <si>
    <t>Córdoba</t>
  </si>
  <si>
    <t>Santa Fe</t>
  </si>
  <si>
    <t>Mendoza</t>
  </si>
  <si>
    <t>Río Negro</t>
  </si>
  <si>
    <t>Neuquén</t>
  </si>
  <si>
    <t>Chubut</t>
  </si>
  <si>
    <t>Entre Ríos</t>
  </si>
  <si>
    <t>Tucumán</t>
  </si>
  <si>
    <t>Salta</t>
  </si>
  <si>
    <t>Auto</t>
  </si>
  <si>
    <t>SUV</t>
  </si>
  <si>
    <t>Pickup</t>
  </si>
  <si>
    <t>Utilitario</t>
  </si>
  <si>
    <t>PROBABILIDAD</t>
  </si>
  <si>
    <t>ACUMULADA</t>
  </si>
  <si>
    <t>TASA BASE</t>
  </si>
  <si>
    <t>TASA FINAL</t>
  </si>
  <si>
    <t>FORMA DE PAGO</t>
  </si>
  <si>
    <t>Vigente</t>
  </si>
  <si>
    <t>Vencida</t>
  </si>
  <si>
    <t>Cancelada</t>
  </si>
  <si>
    <t>Pendiente</t>
  </si>
  <si>
    <t>Acumulada</t>
  </si>
  <si>
    <t>Mensual</t>
  </si>
  <si>
    <t>Trimestral</t>
  </si>
  <si>
    <t>Semestral</t>
  </si>
  <si>
    <t>Anual</t>
  </si>
  <si>
    <t>—</t>
  </si>
  <si>
    <t>Colisión</t>
  </si>
  <si>
    <t>Robo</t>
  </si>
  <si>
    <t>Rotura de cristales</t>
  </si>
  <si>
    <t>Incendio</t>
  </si>
  <si>
    <t>Daños por granizo</t>
  </si>
  <si>
    <t>SIN-001</t>
  </si>
  <si>
    <t>SIN-002</t>
  </si>
  <si>
    <t>SIN-003</t>
  </si>
  <si>
    <t>SIN-004</t>
  </si>
  <si>
    <t>SIN-005</t>
  </si>
  <si>
    <t>SIN-006</t>
  </si>
  <si>
    <t>SIN-007</t>
  </si>
  <si>
    <t>SIN-008</t>
  </si>
  <si>
    <t>SIN-009</t>
  </si>
  <si>
    <t>SIN-010</t>
  </si>
  <si>
    <t>SIN-011</t>
  </si>
  <si>
    <t>SIN-012</t>
  </si>
  <si>
    <t>SIN-013</t>
  </si>
  <si>
    <t>SIN-014</t>
  </si>
  <si>
    <t>SIN-015</t>
  </si>
  <si>
    <t>SIN-016</t>
  </si>
  <si>
    <t>SIN-017</t>
  </si>
  <si>
    <t>SIN-018</t>
  </si>
  <si>
    <t>SIN-019</t>
  </si>
  <si>
    <t>SIN-020</t>
  </si>
  <si>
    <t>SIN-021</t>
  </si>
  <si>
    <t>SIN-022</t>
  </si>
  <si>
    <t>SIN-023</t>
  </si>
  <si>
    <t>SIN-024</t>
  </si>
  <si>
    <t>SIN-025</t>
  </si>
  <si>
    <t>SIN-026</t>
  </si>
  <si>
    <t>SIN-027</t>
  </si>
  <si>
    <t>SIN-028</t>
  </si>
  <si>
    <t>SIN-029</t>
  </si>
  <si>
    <t>SIN-030</t>
  </si>
  <si>
    <t>SIN-031</t>
  </si>
  <si>
    <t>SIN-032</t>
  </si>
  <si>
    <t>SIN-033</t>
  </si>
  <si>
    <t>SIN-034</t>
  </si>
  <si>
    <t>SIN-035</t>
  </si>
  <si>
    <t>SIN-036</t>
  </si>
  <si>
    <t>SIN-037</t>
  </si>
  <si>
    <t>SIN-038</t>
  </si>
  <si>
    <t>SIN-039</t>
  </si>
  <si>
    <t>SIN-040</t>
  </si>
  <si>
    <t>SIN-041</t>
  </si>
  <si>
    <t>SIN-042</t>
  </si>
  <si>
    <t>SIN-043</t>
  </si>
  <si>
    <t>SIN-044</t>
  </si>
  <si>
    <t>SIN-045</t>
  </si>
  <si>
    <t>SIN-046</t>
  </si>
  <si>
    <t>SIN-047</t>
  </si>
  <si>
    <t>SIN-048</t>
  </si>
  <si>
    <t>SIN-049</t>
  </si>
  <si>
    <t>SIN-050</t>
  </si>
  <si>
    <t>SIN-051</t>
  </si>
  <si>
    <t>SIN-052</t>
  </si>
  <si>
    <t>SIN-053</t>
  </si>
  <si>
    <t>SIN-054</t>
  </si>
  <si>
    <t>SIN-055</t>
  </si>
  <si>
    <t>SIN-056</t>
  </si>
  <si>
    <t>SIN-057</t>
  </si>
  <si>
    <t>SIN-058</t>
  </si>
  <si>
    <t>SIN-059</t>
  </si>
  <si>
    <t>SIN-060</t>
  </si>
  <si>
    <t>SIN-061</t>
  </si>
  <si>
    <t>SIN-062</t>
  </si>
  <si>
    <t>SIN-063</t>
  </si>
  <si>
    <t>SIN-064</t>
  </si>
  <si>
    <t>SIN-065</t>
  </si>
  <si>
    <t>SIN-066</t>
  </si>
  <si>
    <t>SIN-067</t>
  </si>
  <si>
    <t>SIN-068</t>
  </si>
  <si>
    <t>SIN-069</t>
  </si>
  <si>
    <t>SIN-070</t>
  </si>
  <si>
    <t>SIN-071</t>
  </si>
  <si>
    <t>SIN-072</t>
  </si>
  <si>
    <t>SIN-073</t>
  </si>
  <si>
    <t>SIN-074</t>
  </si>
  <si>
    <t>SIN-075</t>
  </si>
  <si>
    <t>SIN-076</t>
  </si>
  <si>
    <t>SIN-077</t>
  </si>
  <si>
    <t>SIN-078</t>
  </si>
  <si>
    <t>SIN-079</t>
  </si>
  <si>
    <t>SIN-080</t>
  </si>
  <si>
    <t>SIN-081</t>
  </si>
  <si>
    <t>SIN-082</t>
  </si>
  <si>
    <t>SIN-083</t>
  </si>
  <si>
    <t>SIN-084</t>
  </si>
  <si>
    <t>SIN-085</t>
  </si>
  <si>
    <t>SIN-086</t>
  </si>
  <si>
    <t>SIN-087</t>
  </si>
  <si>
    <t>SIN-088</t>
  </si>
  <si>
    <t>SIN-089</t>
  </si>
  <si>
    <t>SIN-090</t>
  </si>
  <si>
    <t>SIN-091</t>
  </si>
  <si>
    <t>SIN-092</t>
  </si>
  <si>
    <t>SIN-093</t>
  </si>
  <si>
    <t>SIN-094</t>
  </si>
  <si>
    <t>SIN-095</t>
  </si>
  <si>
    <t>SIN-096</t>
  </si>
  <si>
    <t>SIN-097</t>
  </si>
  <si>
    <t>SIN-098</t>
  </si>
  <si>
    <t>SIN-099</t>
  </si>
  <si>
    <t>SIN-100</t>
  </si>
  <si>
    <t>SIN-101</t>
  </si>
  <si>
    <t>SIN-102</t>
  </si>
  <si>
    <t>SIN-103</t>
  </si>
  <si>
    <t>SIN-104</t>
  </si>
  <si>
    <t>SIN-105</t>
  </si>
  <si>
    <t>SIN-106</t>
  </si>
  <si>
    <t>SIN-107</t>
  </si>
  <si>
    <t>SIN-108</t>
  </si>
  <si>
    <t>SIN-109</t>
  </si>
  <si>
    <t>SIN-110</t>
  </si>
  <si>
    <t>SIN-111</t>
  </si>
  <si>
    <t>SIN-112</t>
  </si>
  <si>
    <t>SIN-113</t>
  </si>
  <si>
    <t>SIN-114</t>
  </si>
  <si>
    <t>SIN-115</t>
  </si>
  <si>
    <t>SIN-116</t>
  </si>
  <si>
    <t>SIN-117</t>
  </si>
  <si>
    <t>SIN-118</t>
  </si>
  <si>
    <t>SIN-119</t>
  </si>
  <si>
    <t>SIN-120</t>
  </si>
  <si>
    <t>SIN-121</t>
  </si>
  <si>
    <t>SIN-122</t>
  </si>
  <si>
    <t>SIN-123</t>
  </si>
  <si>
    <t>SIN-124</t>
  </si>
  <si>
    <t>SIN-125</t>
  </si>
  <si>
    <t>SIN-126</t>
  </si>
  <si>
    <t>SIN-127</t>
  </si>
  <si>
    <t>SIN-128</t>
  </si>
  <si>
    <t>SIN-129</t>
  </si>
  <si>
    <t>SIN-130</t>
  </si>
  <si>
    <t>SIN-131</t>
  </si>
  <si>
    <t>SIN-132</t>
  </si>
  <si>
    <t>SIN-133</t>
  </si>
  <si>
    <t>SIN-134</t>
  </si>
  <si>
    <t>SIN-135</t>
  </si>
  <si>
    <t>SIN-136</t>
  </si>
  <si>
    <t>SIN-137</t>
  </si>
  <si>
    <t>SIN-138</t>
  </si>
  <si>
    <t>SIN-139</t>
  </si>
  <si>
    <t>SIN-140</t>
  </si>
  <si>
    <t>SIN-141</t>
  </si>
  <si>
    <t>SIN-142</t>
  </si>
  <si>
    <t>SIN-143</t>
  </si>
  <si>
    <t>SIN-144</t>
  </si>
  <si>
    <t>SIN-145</t>
  </si>
  <si>
    <t>SIN-146</t>
  </si>
  <si>
    <t>SIN-147</t>
  </si>
  <si>
    <t>SIN-148</t>
  </si>
  <si>
    <t>SIN-149</t>
  </si>
  <si>
    <t>SIN-150</t>
  </si>
  <si>
    <t>SIN-151</t>
  </si>
  <si>
    <t>SIN-152</t>
  </si>
  <si>
    <t>SIN-153</t>
  </si>
  <si>
    <t>SIN-154</t>
  </si>
  <si>
    <t>SIN-155</t>
  </si>
  <si>
    <t>SIN-156</t>
  </si>
  <si>
    <t>SIN-157</t>
  </si>
  <si>
    <t>SIN-158</t>
  </si>
  <si>
    <t>SIN-159</t>
  </si>
  <si>
    <t>SIN-160</t>
  </si>
  <si>
    <t>SIN-161</t>
  </si>
  <si>
    <t>SIN-162</t>
  </si>
  <si>
    <t>SIN-163</t>
  </si>
  <si>
    <t>SIN-164</t>
  </si>
  <si>
    <t>SIN-165</t>
  </si>
  <si>
    <t>SIN-166</t>
  </si>
  <si>
    <t>SIN-167</t>
  </si>
  <si>
    <t>SIN-168</t>
  </si>
  <si>
    <t>SIN-169</t>
  </si>
  <si>
    <t>SIN-170</t>
  </si>
  <si>
    <t>SIN-171</t>
  </si>
  <si>
    <t>SIN-172</t>
  </si>
  <si>
    <t>SIN-173</t>
  </si>
  <si>
    <t>SIN-174</t>
  </si>
  <si>
    <t>SIN-175</t>
  </si>
  <si>
    <t>SIN-176</t>
  </si>
  <si>
    <t>SIN-177</t>
  </si>
  <si>
    <t>SIN-178</t>
  </si>
  <si>
    <t>SIN-179</t>
  </si>
  <si>
    <t>SIN-180</t>
  </si>
  <si>
    <t>SIN-181</t>
  </si>
  <si>
    <t>SIN-182</t>
  </si>
  <si>
    <t>SIN-183</t>
  </si>
  <si>
    <t>SIN-184</t>
  </si>
  <si>
    <t>SIN-185</t>
  </si>
  <si>
    <t>SIN-186</t>
  </si>
  <si>
    <t>SIN-187</t>
  </si>
  <si>
    <t>SIN-188</t>
  </si>
  <si>
    <t>SIN-189</t>
  </si>
  <si>
    <t>SIN-190</t>
  </si>
  <si>
    <t>SIN-191</t>
  </si>
  <si>
    <t>SIN-192</t>
  </si>
  <si>
    <t>SIN-193</t>
  </si>
  <si>
    <t>SIN-194</t>
  </si>
  <si>
    <t>SIN-195</t>
  </si>
  <si>
    <t>SIN-196</t>
  </si>
  <si>
    <t>SIN-197</t>
  </si>
  <si>
    <t>SIN-198</t>
  </si>
  <si>
    <t>SIN-199</t>
  </si>
  <si>
    <t>SIN-200</t>
  </si>
  <si>
    <t>SIN-201</t>
  </si>
  <si>
    <t>SIN-202</t>
  </si>
  <si>
    <t>SIN-203</t>
  </si>
  <si>
    <t>SIN-204</t>
  </si>
  <si>
    <t>SIN-205</t>
  </si>
  <si>
    <t>SIN-206</t>
  </si>
  <si>
    <t>SIN-207</t>
  </si>
  <si>
    <t>SIN-208</t>
  </si>
  <si>
    <t>SIN-209</t>
  </si>
  <si>
    <t>SIN-210</t>
  </si>
  <si>
    <t>SIN-211</t>
  </si>
  <si>
    <t>SIN-212</t>
  </si>
  <si>
    <t>SIN-213</t>
  </si>
  <si>
    <t>SIN-214</t>
  </si>
  <si>
    <t>SIN-215</t>
  </si>
  <si>
    <t>SIN-216</t>
  </si>
  <si>
    <t>SIN-217</t>
  </si>
  <si>
    <t>SIN-218</t>
  </si>
  <si>
    <t>SIN-219</t>
  </si>
  <si>
    <t>SIN-220</t>
  </si>
  <si>
    <t>SIN-221</t>
  </si>
  <si>
    <t>SIN-222</t>
  </si>
  <si>
    <t>SIN-223</t>
  </si>
  <si>
    <t>SIN-224</t>
  </si>
  <si>
    <t>SIN-225</t>
  </si>
  <si>
    <t>SIN-226</t>
  </si>
  <si>
    <t>SIN-227</t>
  </si>
  <si>
    <t>SIN-228</t>
  </si>
  <si>
    <t>SIN-229</t>
  </si>
  <si>
    <t>SIN-230</t>
  </si>
  <si>
    <t>SIN-231</t>
  </si>
  <si>
    <t>SIN-232</t>
  </si>
  <si>
    <t>SIN-233</t>
  </si>
  <si>
    <t>SIN-234</t>
  </si>
  <si>
    <t>SIN-235</t>
  </si>
  <si>
    <t>SIN-236</t>
  </si>
  <si>
    <t>SIN-237</t>
  </si>
  <si>
    <t>SIN-238</t>
  </si>
  <si>
    <t>SIN-239</t>
  </si>
  <si>
    <t>SIN-240</t>
  </si>
  <si>
    <t>SIN-241</t>
  </si>
  <si>
    <t>SIN-242</t>
  </si>
  <si>
    <t>SIN-243</t>
  </si>
  <si>
    <t>SIN-244</t>
  </si>
  <si>
    <t>SIN-245</t>
  </si>
  <si>
    <t>SIN-246</t>
  </si>
  <si>
    <t>SIN-247</t>
  </si>
  <si>
    <t>SIN-248</t>
  </si>
  <si>
    <t>SIN-249</t>
  </si>
  <si>
    <t>SIN-250</t>
  </si>
  <si>
    <t>SIN-251</t>
  </si>
  <si>
    <t>SIN-252</t>
  </si>
  <si>
    <t>SIN-253</t>
  </si>
  <si>
    <t>SIN-254</t>
  </si>
  <si>
    <t>SIN-255</t>
  </si>
  <si>
    <t>SIN-256</t>
  </si>
  <si>
    <t>SIN-257</t>
  </si>
  <si>
    <t>SIN-258</t>
  </si>
  <si>
    <t>SIN-259</t>
  </si>
  <si>
    <t>SIN-260</t>
  </si>
  <si>
    <t>SIN-261</t>
  </si>
  <si>
    <t>SIN-262</t>
  </si>
  <si>
    <t>SIN-263</t>
  </si>
  <si>
    <t>SIN-264</t>
  </si>
  <si>
    <t>SIN-265</t>
  </si>
  <si>
    <t>SIN-266</t>
  </si>
  <si>
    <t>SIN-267</t>
  </si>
  <si>
    <t>SIN-268</t>
  </si>
  <si>
    <t>SIN-269</t>
  </si>
  <si>
    <t>SIN-270</t>
  </si>
  <si>
    <t>SIN-271</t>
  </si>
  <si>
    <t>SIN-272</t>
  </si>
  <si>
    <t>SIN-273</t>
  </si>
  <si>
    <t>SIN-274</t>
  </si>
  <si>
    <t>SIN-275</t>
  </si>
  <si>
    <t>SIN-276</t>
  </si>
  <si>
    <t>SIN-277</t>
  </si>
  <si>
    <t>SIN-278</t>
  </si>
  <si>
    <t>SIN-279</t>
  </si>
  <si>
    <t>SIN-280</t>
  </si>
  <si>
    <t>SIN-281</t>
  </si>
  <si>
    <t>SIN-282</t>
  </si>
  <si>
    <t>SIN-283</t>
  </si>
  <si>
    <t>SIN-284</t>
  </si>
  <si>
    <t>SIN-285</t>
  </si>
  <si>
    <t>SIN-286</t>
  </si>
  <si>
    <t>SIN-287</t>
  </si>
  <si>
    <t>SIN-288</t>
  </si>
  <si>
    <t>SIN-289</t>
  </si>
  <si>
    <t>SIN-290</t>
  </si>
  <si>
    <t>SIN-291</t>
  </si>
  <si>
    <t>SIN-292</t>
  </si>
  <si>
    <t>SIN-293</t>
  </si>
  <si>
    <t>SIN-294</t>
  </si>
  <si>
    <t>SIN-295</t>
  </si>
  <si>
    <t>SIN-296</t>
  </si>
  <si>
    <t>SIN-297</t>
  </si>
  <si>
    <t>SIN-298</t>
  </si>
  <si>
    <t>SIN-299</t>
  </si>
  <si>
    <t>SIN-300</t>
  </si>
  <si>
    <t>GRAVEDAD</t>
  </si>
  <si>
    <t>Gravedad</t>
  </si>
  <si>
    <t>Leve</t>
  </si>
  <si>
    <t>Moderado</t>
  </si>
  <si>
    <t>Grave</t>
  </si>
  <si>
    <t>Muy grave</t>
  </si>
  <si>
    <t>Significado</t>
  </si>
  <si>
    <t>El siniestro todavía está en proceso</t>
  </si>
  <si>
    <t>Pagado</t>
  </si>
  <si>
    <t>Fue aprobado y se pagó</t>
  </si>
  <si>
    <t>Rechazado</t>
  </si>
  <si>
    <t>No corresponde pagar la indemnización</t>
  </si>
  <si>
    <t>FACTOres</t>
  </si>
  <si>
    <t>Dias Resolución Minimo</t>
  </si>
  <si>
    <t>Días Resolucion Maximo</t>
  </si>
  <si>
    <t>Prob. fraude sospechoso</t>
  </si>
  <si>
    <t>Daños por Granizo + Muy grave</t>
  </si>
  <si>
    <t>NO</t>
  </si>
  <si>
    <t>SÍ</t>
  </si>
  <si>
    <t>MOTIVO</t>
  </si>
  <si>
    <t>FACTOR FRAUDE</t>
  </si>
  <si>
    <t>TOTAL</t>
  </si>
  <si>
    <t>Cobertura vencida</t>
  </si>
  <si>
    <t>No</t>
  </si>
  <si>
    <t>-</t>
  </si>
  <si>
    <t>Cobertura inválida</t>
  </si>
  <si>
    <t>Sí</t>
  </si>
  <si>
    <t>TIPO DE VEHICULO</t>
  </si>
  <si>
    <t>FACTOR PROVINCIAS</t>
  </si>
  <si>
    <t>ESTADO</t>
  </si>
  <si>
    <t>FACTOR EDADES</t>
  </si>
  <si>
    <t>AÑO</t>
  </si>
  <si>
    <t>ANTIGÜEDAD</t>
  </si>
  <si>
    <t>FACTORES</t>
  </si>
  <si>
    <t>SITUACIÓN</t>
  </si>
  <si>
    <t>MÍNIMO</t>
  </si>
  <si>
    <t>MÁXIMO</t>
  </si>
  <si>
    <t>% MÍNIMO</t>
  </si>
  <si>
    <t>% MÁXIMO</t>
  </si>
  <si>
    <t>TIPO DE SINIESTRO</t>
  </si>
  <si>
    <t>FECHA DE INICIO</t>
  </si>
  <si>
    <t>FECHA VTO</t>
  </si>
  <si>
    <t>EDAD ASEGURADO</t>
  </si>
  <si>
    <t>FECHA NACIMIENTO ASEGURADO</t>
  </si>
  <si>
    <t>AÑO DEL VEHICULO</t>
  </si>
  <si>
    <t>PRIMA MENSUAL</t>
  </si>
  <si>
    <t>SUMA ASEGURADA</t>
  </si>
  <si>
    <t>ESTADO DE LA PÓLIZA</t>
  </si>
  <si>
    <t>ID PÓLIZA</t>
  </si>
  <si>
    <t>ID SINIESTRO</t>
  </si>
  <si>
    <t>FECHA DEL SINIESTRO</t>
  </si>
  <si>
    <t>IMPORTE RECLAMADO</t>
  </si>
  <si>
    <t>IMPORTE PAGADO</t>
  </si>
  <si>
    <t>ESTADO PÓLIZA</t>
  </si>
  <si>
    <t>DÍAS HASTA RESOLUCIÓN</t>
  </si>
  <si>
    <t>¿FRAUDE SOSPECHADO?</t>
  </si>
  <si>
    <t>CANTIDAD DE POLIZAS</t>
  </si>
  <si>
    <t>FRECUENCIA</t>
  </si>
  <si>
    <t>MONTO PAGADO TOTAL</t>
  </si>
  <si>
    <t>SEVERIDAD MEDIA</t>
  </si>
  <si>
    <t>PRIMA PURA</t>
  </si>
  <si>
    <t>VEHICULO</t>
  </si>
  <si>
    <t>COLISIÓN</t>
  </si>
  <si>
    <t>ROBO</t>
  </si>
  <si>
    <t>ROTURA DE CRISTALES</t>
  </si>
  <si>
    <t>INCENDIO</t>
  </si>
  <si>
    <t>DAÑOS POR GRANIZO</t>
  </si>
  <si>
    <t>TOTAL VEHICULO</t>
  </si>
  <si>
    <t xml:space="preserve"> TOTAL SINIESTRO</t>
  </si>
  <si>
    <t>CANTIDAD DE SINIESTROS</t>
  </si>
  <si>
    <t>FRECUENCIA RESPECTO CARTERA POLIZAS</t>
  </si>
  <si>
    <t>COSTO ESPERADO POR POLIZA</t>
  </si>
  <si>
    <t>AUTO</t>
  </si>
  <si>
    <t>UTILITARIO</t>
  </si>
  <si>
    <t>PICKUP</t>
  </si>
  <si>
    <t>FRANQUICIA</t>
  </si>
  <si>
    <t>FACTOR</t>
  </si>
  <si>
    <t>LOSS RATIO (SINIESTRALIDAD)</t>
  </si>
  <si>
    <t>PRIMA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</si>
</sst>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6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0" fillId="0" borderId="1" xfId="3" applyNumberFormat="1" applyFont="1" applyBorder="1" applyAlignment="1">
      <alignment horizontal="center"/>
    </xf>
    <xf numFmtId="9" fontId="4" fillId="0" borderId="1" xfId="3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9" fontId="4" fillId="0" borderId="5" xfId="3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9" fontId="3" fillId="0" borderId="0" xfId="0" applyNumberFormat="1" applyFont="1" applyAlignment="1">
      <alignment horizontal="center" vertical="center" wrapText="1"/>
    </xf>
    <xf numFmtId="6" fontId="3" fillId="0" borderId="0" xfId="0" applyNumberFormat="1" applyFont="1"/>
    <xf numFmtId="44" fontId="0" fillId="0" borderId="0" xfId="2" applyFont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3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6" fontId="0" fillId="0" borderId="1" xfId="0" applyNumberFormat="1" applyBorder="1" applyAlignment="1">
      <alignment horizontal="left" vertical="center" wrapText="1"/>
    </xf>
    <xf numFmtId="10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0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6" fillId="0" borderId="1" xfId="0" applyFont="1" applyBorder="1"/>
    <xf numFmtId="0" fontId="6" fillId="0" borderId="4" xfId="0" applyFont="1" applyBorder="1"/>
    <xf numFmtId="164" fontId="6" fillId="0" borderId="1" xfId="2" applyNumberFormat="1" applyFont="1" applyBorder="1" applyAlignment="1">
      <alignment horizontal="left" vertical="center"/>
    </xf>
    <xf numFmtId="164" fontId="6" fillId="0" borderId="4" xfId="2" applyNumberFormat="1" applyFont="1" applyBorder="1" applyAlignment="1">
      <alignment horizontal="left" vertical="center"/>
    </xf>
    <xf numFmtId="164" fontId="6" fillId="0" borderId="1" xfId="1" applyNumberFormat="1" applyFont="1" applyBorder="1" applyAlignment="1">
      <alignment horizontal="left"/>
    </xf>
    <xf numFmtId="164" fontId="6" fillId="0" borderId="4" xfId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6" fillId="0" borderId="4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4" borderId="7" xfId="0" applyFill="1" applyBorder="1" applyAlignment="1">
      <alignment horizontal="left"/>
    </xf>
    <xf numFmtId="164" fontId="0" fillId="4" borderId="7" xfId="0" applyNumberFormat="1" applyFill="1" applyBorder="1" applyAlignment="1">
      <alignment horizontal="left"/>
    </xf>
    <xf numFmtId="164" fontId="6" fillId="0" borderId="1" xfId="0" applyNumberFormat="1" applyFont="1" applyBorder="1" applyAlignment="1">
      <alignment horizontal="left" vertical="center"/>
    </xf>
    <xf numFmtId="164" fontId="6" fillId="0" borderId="4" xfId="0" applyNumberFormat="1" applyFont="1" applyBorder="1" applyAlignment="1">
      <alignment horizontal="left" vertical="center"/>
    </xf>
    <xf numFmtId="12" fontId="6" fillId="0" borderId="1" xfId="1" applyNumberFormat="1" applyFont="1" applyBorder="1" applyAlignment="1">
      <alignment horizontal="center" vertical="center"/>
    </xf>
    <xf numFmtId="12" fontId="6" fillId="0" borderId="4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9" fontId="0" fillId="0" borderId="4" xfId="3" applyFont="1" applyBorder="1" applyAlignment="1">
      <alignment horizontal="center" vertical="center"/>
    </xf>
    <xf numFmtId="164" fontId="0" fillId="0" borderId="4" xfId="0" applyNumberFormat="1" applyBorder="1" applyAlignment="1">
      <alignment horizontal="left" vertical="center"/>
    </xf>
    <xf numFmtId="164" fontId="0" fillId="0" borderId="10" xfId="0" applyNumberFormat="1" applyBorder="1" applyAlignment="1">
      <alignment horizontal="left" vertical="center"/>
    </xf>
    <xf numFmtId="0" fontId="3" fillId="4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0" fillId="4" borderId="1" xfId="0" applyFill="1" applyBorder="1" applyAlignment="1">
      <alignment horizontal="left"/>
    </xf>
    <xf numFmtId="9" fontId="0" fillId="0" borderId="3" xfId="3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0" fillId="0" borderId="0" xfId="0" applyNumberForma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0" borderId="1" xfId="3" applyNumberFormat="1" applyFont="1" applyBorder="1" applyAlignment="1">
      <alignment horizontal="left" vertical="center"/>
    </xf>
    <xf numFmtId="164" fontId="0" fillId="0" borderId="0" xfId="0" applyNumberFormat="1"/>
    <xf numFmtId="12" fontId="0" fillId="4" borderId="7" xfId="0" applyNumberFormat="1" applyFill="1" applyBorder="1" applyAlignment="1">
      <alignment horizontal="left"/>
    </xf>
    <xf numFmtId="0" fontId="0" fillId="4" borderId="8" xfId="0" applyFill="1" applyBorder="1" applyAlignment="1">
      <alignment horizontal="left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\ #,##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1" tint="0.49998474074526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0"/>
      </font>
      <numFmt numFmtId="17" formatCode="#\ ?/?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numFmt numFmtId="19" formatCode="d/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numFmt numFmtId="19" formatCode="d/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numFmt numFmtId="19" formatCode="d/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\ #,##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1" tint="0.499984740745262"/>
        </patternFill>
      </fill>
      <alignment vertical="center" textRotation="0" wrapText="0" indent="0" justifyLastLine="0" shrinkToFit="0" readingOrder="0"/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\ #,##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5083333333333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CALCULOS!$D$1</c:f>
              <c:strCache>
                <c:ptCount val="1"/>
                <c:pt idx="0">
                  <c:v>MONTO PAGADO 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7-458A-9DB7-0D256877159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C7-458A-9DB7-0D256877159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C7-458A-9DB7-0D256877159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C7-458A-9DB7-0D256877159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CALCULOS!$A$2:$A$5</c:f>
              <c:strCache>
                <c:ptCount val="4"/>
                <c:pt idx="0">
                  <c:v>Auto</c:v>
                </c:pt>
                <c:pt idx="1">
                  <c:v>SUV</c:v>
                </c:pt>
                <c:pt idx="2">
                  <c:v>Pickup</c:v>
                </c:pt>
                <c:pt idx="3">
                  <c:v>Utilitario</c:v>
                </c:pt>
              </c:strCache>
            </c:strRef>
          </c:cat>
          <c:val>
            <c:numRef>
              <c:f>CALCULOS!$D$2:$D$5</c:f>
              <c:numCache>
                <c:formatCode>"$"\ #,##0.00</c:formatCode>
                <c:ptCount val="4"/>
                <c:pt idx="0">
                  <c:v>67849593.43088159</c:v>
                </c:pt>
                <c:pt idx="1">
                  <c:v>183221713.45180169</c:v>
                </c:pt>
                <c:pt idx="2">
                  <c:v>163846168.52732703</c:v>
                </c:pt>
                <c:pt idx="3">
                  <c:v>51431515.227370359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5-4CB0-A776-737696823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Análisis de Siniestralidad: Cantidad vs. Severidad Media</a:t>
            </a:r>
          </a:p>
        </c:rich>
      </c:tx>
      <c:layout>
        <c:manualLayout>
          <c:xMode val="edge"/>
          <c:yMode val="edge"/>
          <c:x val="0.1392012248468941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CALCULOS!$K$1</c:f>
              <c:strCache>
                <c:ptCount val="1"/>
                <c:pt idx="0">
                  <c:v>CANTIDAD DE SINIESTROS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CALCULOS!$J$2:$J$6</c:f>
              <c:strCache>
                <c:ptCount val="5"/>
                <c:pt idx="0">
                  <c:v>Colisión</c:v>
                </c:pt>
                <c:pt idx="1">
                  <c:v>Robo</c:v>
                </c:pt>
                <c:pt idx="2">
                  <c:v>Rotura de cristales</c:v>
                </c:pt>
                <c:pt idx="3">
                  <c:v>Incendio</c:v>
                </c:pt>
                <c:pt idx="4">
                  <c:v>Daños por granizo</c:v>
                </c:pt>
              </c:strCache>
            </c:strRef>
          </c:cat>
          <c:val>
            <c:numRef>
              <c:f>CALCULOS!$K$2:$K$6</c:f>
              <c:numCache>
                <c:formatCode>General</c:formatCode>
                <c:ptCount val="5"/>
                <c:pt idx="0">
                  <c:v>137</c:v>
                </c:pt>
                <c:pt idx="1">
                  <c:v>53</c:v>
                </c:pt>
                <c:pt idx="2">
                  <c:v>45</c:v>
                </c:pt>
                <c:pt idx="3">
                  <c:v>22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9-4C54-8435-4D15283B6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181471"/>
        <c:axId val="1927571343"/>
      </c:barChart>
      <c:lineChart>
        <c:grouping val="standard"/>
        <c:varyColors val="0"/>
        <c:ser>
          <c:idx val="1"/>
          <c:order val="1"/>
          <c:tx>
            <c:strRef>
              <c:f>CALCULOS!$N$1</c:f>
              <c:strCache>
                <c:ptCount val="1"/>
                <c:pt idx="0">
                  <c:v>SEVERIDAD MEDIA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CALCULOS!$J$2:$J$6</c:f>
              <c:strCache>
                <c:ptCount val="5"/>
                <c:pt idx="0">
                  <c:v>Colisión</c:v>
                </c:pt>
                <c:pt idx="1">
                  <c:v>Robo</c:v>
                </c:pt>
                <c:pt idx="2">
                  <c:v>Rotura de cristales</c:v>
                </c:pt>
                <c:pt idx="3">
                  <c:v>Incendio</c:v>
                </c:pt>
                <c:pt idx="4">
                  <c:v>Daños por granizo</c:v>
                </c:pt>
              </c:strCache>
            </c:strRef>
          </c:cat>
          <c:val>
            <c:numRef>
              <c:f>CALCULOS!$N$2:$N$6</c:f>
              <c:numCache>
                <c:formatCode>"$"\ #,##0.00</c:formatCode>
                <c:ptCount val="5"/>
                <c:pt idx="0">
                  <c:v>1205465.3545135821</c:v>
                </c:pt>
                <c:pt idx="1">
                  <c:v>2154787.1725990898</c:v>
                </c:pt>
                <c:pt idx="2">
                  <c:v>1907497.0621775114</c:v>
                </c:pt>
                <c:pt idx="3">
                  <c:v>982483.23830941424</c:v>
                </c:pt>
                <c:pt idx="4">
                  <c:v>1849872.5088482103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99-4C54-8435-4D15283B6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162911"/>
        <c:axId val="1927592943"/>
      </c:lineChart>
      <c:catAx>
        <c:axId val="206118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7571343"/>
        <c:crosses val="autoZero"/>
        <c:auto val="1"/>
        <c:lblAlgn val="ctr"/>
        <c:lblOffset val="100"/>
        <c:noMultiLvlLbl val="0"/>
      </c:catAx>
      <c:valAx>
        <c:axId val="19275713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61181471"/>
        <c:crosses val="autoZero"/>
        <c:crossBetween val="between"/>
      </c:valAx>
      <c:valAx>
        <c:axId val="1927592943"/>
        <c:scaling>
          <c:orientation val="minMax"/>
        </c:scaling>
        <c:delete val="0"/>
        <c:axPos val="r"/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61162911"/>
        <c:crosses val="max"/>
        <c:crossBetween val="between"/>
      </c:valAx>
      <c:catAx>
        <c:axId val="2061162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7592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508001</xdr:colOff>
      <xdr:row>15</xdr:row>
      <xdr:rowOff>157105</xdr:rowOff>
    </xdr:from>
    <xdr:to>
      <xdr:col>8</xdr:col>
      <xdr:colOff>790223</xdr:colOff>
      <xdr:row>31</xdr:row>
      <xdr:rowOff>40453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143D2-A774-943B-5EE5-F88D42629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536222</xdr:colOff>
      <xdr:row>15</xdr:row>
      <xdr:rowOff>157104</xdr:rowOff>
    </xdr:from>
    <xdr:to>
      <xdr:col>4</xdr:col>
      <xdr:colOff>893704</xdr:colOff>
      <xdr:row>33</xdr:row>
      <xdr:rowOff>56445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B67AFC-ECFA-D4CD-3300-EE0C9F372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09247-ACD9-49CB-A6C1-985F3BF4D236}" name="POLIZAS" displayName="POLIZAS" ref="A1:P1001" totalsRowShown="0" headerRowDxfId="55" dataDxfId="53" headerRowBorderDxfId="54" tableBorderDxfId="52" totalsRowBorderDxfId="51">
  <autoFilter ref="A1:P1001" xr:uid="{81209247-ACD9-49CB-A6C1-985F3BF4D236}"/>
  <tableColumns count="16">
    <tableColumn id="1" xr3:uid="{7C94A21A-7B28-47CF-BE3A-13E9AD7D5D3A}" name="ID PÓLIZA" dataDxfId="50"/>
    <tableColumn id="2" xr3:uid="{9F15113E-423E-490A-B0AB-F263247DD27C}" name="ID CLIENTE" dataDxfId="49"/>
    <tableColumn id="3" xr3:uid="{89ABA1FC-470D-43FD-B598-CCEC4FD6C418}" name="NOMBRE ASEGURADO" dataDxfId="48">
      <calculatedColumnFormula>_xlfn.XLOOKUP(B2,CLIENTES!$A$2:$A$301,CLIENTES!$B$2:$B$301)</calculatedColumnFormula>
    </tableColumn>
    <tableColumn id="4" xr3:uid="{311591AA-1473-4A68-835C-2893EAAEAE26}" name="FECHA DE INICIO" dataDxfId="47"/>
    <tableColumn id="5" xr3:uid="{CAE9D067-50C2-4D0D-9D20-28AF1ED095F3}" name="FECHA VTO" dataDxfId="46">
      <calculatedColumnFormula>EDATE(D2,12)</calculatedColumnFormula>
    </tableColumn>
    <tableColumn id="6" xr3:uid="{452B0018-ED6F-40D9-8241-B73503920E9D}" name="TIPO DE SEGURO" dataDxfId="45"/>
    <tableColumn id="7" xr3:uid="{60B3C2C0-0322-4600-B662-CE1A7916D53E}" name="PROVINCIA" dataDxfId="44"/>
    <tableColumn id="8" xr3:uid="{A6DE1E5C-797E-44CE-9B40-04E8F653BAA1}" name="EDAD ASEGURADO" dataDxfId="43"/>
    <tableColumn id="9" xr3:uid="{5D739CAD-92EB-4729-BCF6-27AF342B82AE}" name="FECHA NACIMIENTO ASEGURADO" dataDxfId="42"/>
    <tableColumn id="10" xr3:uid="{85D79A4F-9EAF-44E6-BA88-D6B6A8DAA9F7}" name="TIPO DE VEHICULO" dataDxfId="41"/>
    <tableColumn id="11" xr3:uid="{A4A9A273-00B3-4320-82B8-975E7B4FC80F}" name="AÑO DEL VEHICULO" dataDxfId="40"/>
    <tableColumn id="12" xr3:uid="{906157DF-553B-47F5-B7A3-EA7293FC98B0}" name="PRIMA MENSUAL" dataDxfId="39" dataCellStyle="Moneda">
      <calculatedColumnFormula>(N2*M2)/12</calculatedColumnFormula>
    </tableColumn>
    <tableColumn id="13" xr3:uid="{BAC22F11-C9AF-477E-8B47-250017FE215A}" name="TASA FINAL" dataDxfId="38">
      <calculatedColumnFormula>LISTAS!$B$22*_xlfn.XLOOKUP(G2,LISTAS!$B$27:$B$36,LISTAS!$A$27:$A$36)*_xlfn.XLOOKUP(H2,LISTAS!$B$38:$B$47,LISTAS!$A$38:$A$47,,-1)*_xlfn.XLOOKUP(J2,LISTAS!$E$26:$H$26,LISTAS!$E$48:$H$48)*_xlfn.XLOOKUP(F2,LISTAS!$A$15:$A$18,LISTAS!$H$15:$H$18)</calculatedColumnFormula>
    </tableColumn>
    <tableColumn id="14" xr3:uid="{76D6761C-7962-427B-B1A8-558FF0404B6F}" name="SUMA ASEGURADA" dataDxfId="37" dataCellStyle="Millares">
      <calculatedColumnFormula array="1">_xlfn.XLOOKUP(K2,LISTAS!$D$27:$D$47,_xlfn.XLOOKUP(J2,LISTAS!$E$26:$H$26,LISTAS!$E$27:$H$47))</calculatedColumnFormula>
    </tableColumn>
    <tableColumn id="15" xr3:uid="{4BD5AF30-17A9-47EA-86EF-3269E40A7230}" name="FORMA DE PAGO" dataDxfId="36"/>
    <tableColumn id="16" xr3:uid="{ADAD8017-4266-4F55-86A3-1B6610BB6279}" name="ESTADO DE LA PÓLIZA" dataDxfId="35">
      <calculatedColumnFormula>IF(TODAY()&lt;D2,"Pendiente",IF(TODAY()&gt;E2,"Vencida","Vigente"))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6646E-9225-4238-B2CE-ECD2517FF0AB}" name="SINIESTROS" displayName="SINIESTROS" ref="A1:O301" totalsRowShown="0" headerRowDxfId="0" dataDxfId="33" headerRowBorderDxfId="34" tableBorderDxfId="32" totalsRowBorderDxfId="31">
  <autoFilter ref="A1:O301" xr:uid="{3FF9301D-5BC6-4CB7-AC33-9511652C5FF1}"/>
  <sortState xmlns:xlrd2="http://schemas.microsoft.com/office/spreadsheetml/2017/richdata2" ref="A2:O301">
    <sortCondition ref="A1:A301"/>
  </sortState>
  <tableColumns count="15">
    <tableColumn id="1" xr3:uid="{282E22E3-0B23-4ED2-82D4-0C836084436B}" name="ID SINIESTRO" dataDxfId="30"/>
    <tableColumn id="2" xr3:uid="{83AAA478-B08A-4D0C-BA7C-8B8D325B0495}" name="ID PÓLIZA" dataDxfId="29"/>
    <tableColumn id="3" xr3:uid="{6A25AF17-4B1F-453A-A2F5-767606465DC4}" name="FECHA DEL SINIESTRO" dataDxfId="28"/>
    <tableColumn id="4" xr3:uid="{82A34829-9489-4D8E-93A9-4A4204A50C17}" name="TIPO DE SINIESTRO" dataDxfId="27"/>
    <tableColumn id="5" xr3:uid="{BE329717-CA85-4B18-9316-D8172C083F79}" name="GRAVEDAD" dataDxfId="26"/>
    <tableColumn id="6" xr3:uid="{3D183184-5D82-4536-9357-B8AB7B7167D3}" name="PROVINCIA" dataDxfId="25"/>
    <tableColumn id="7" xr3:uid="{301A9CBC-4CF4-449D-BDA1-7E3450D9796D}" name="TIPO DE SEGURO" dataDxfId="24"/>
    <tableColumn id="15" xr3:uid="{01DF7A04-5CCB-4013-9282-B384E0D72893}" name="TIPO DE VEHICULO" dataDxfId="23">
      <calculatedColumnFormula>_xlfn.XLOOKUP(SINIESTROS[[#This Row],[ID PÓLIZA]],POLIZAS[ID PÓLIZA],POLIZAS[TIPO DE VEHICULO])</calculatedColumnFormula>
    </tableColumn>
    <tableColumn id="8" xr3:uid="{6185D792-CC51-4411-BE41-2E802C082082}" name="IMPORTE RECLAMADO" dataDxfId="22" dataCellStyle="Moneda"/>
    <tableColumn id="9" xr3:uid="{6A8A6094-705A-4A00-8ABD-7A96720E59BB}" name="IMPORTE PAGADO" dataDxfId="21" dataCellStyle="Moneda"/>
    <tableColumn id="10" xr3:uid="{109BA8A1-902A-4831-B13B-ECC984255BD6}" name="ESTADO PÓLIZA" dataDxfId="20"/>
    <tableColumn id="11" xr3:uid="{45A622E1-2BC1-47B3-8505-4216EF80FE81}" name="ESTADO" dataDxfId="19" dataCellStyle="Moneda"/>
    <tableColumn id="12" xr3:uid="{BB9A697C-64D5-406B-9E53-4DCBB565CB6C}" name="MOTIVO" dataDxfId="18"/>
    <tableColumn id="13" xr3:uid="{4EDE940C-405A-4BDB-B0EB-F9325D2EB473}" name="DÍAS HASTA RESOLUCIÓN" dataDxfId="17" dataCellStyle="Millares"/>
    <tableColumn id="14" xr3:uid="{3C292F83-C2E7-4338-830D-FB83FA096E00}" name="¿FRAUDE SOSPECHADO?" dataDxfId="1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6FE541-2A33-40D1-A396-CBECB4A9A1AE}" name="Tabla2" displayName="Tabla2" ref="A1:H5" totalsRowShown="0" headerRowDxfId="13" dataDxfId="12" headerRowBorderDxfId="10" tableBorderDxfId="11" totalsRowBorderDxfId="9">
  <autoFilter ref="A1:H5" xr:uid="{E76FE541-2A33-40D1-A396-CBECB4A9A1AE}"/>
  <tableColumns count="8">
    <tableColumn id="1" xr3:uid="{627AFC3F-8104-4FFD-A022-D46A63F4BC68}" name="TIPO DE VEHICULO" dataDxfId="8"/>
    <tableColumn id="2" xr3:uid="{BCB98B25-1DC8-47EE-BB04-F505EDAD9210}" name="CANTIDAD DE POLIZAS" dataDxfId="7">
      <calculatedColumnFormula>COUNTIFS(POLIZAS[TIPO DE VEHICULO],A2)</calculatedColumnFormula>
    </tableColumn>
    <tableColumn id="3" xr3:uid="{3EC2E2A5-B779-4585-A164-DCF178994954}" name="FRECUENCIA" dataDxfId="6" dataCellStyle="Porcentaje">
      <calculatedColumnFormula>COUNTIFS(SINIESTROS[TIPO DE VEHICULO],A2)/B2</calculatedColumnFormula>
    </tableColumn>
    <tableColumn id="4" xr3:uid="{DF694A75-6EC7-4C6D-9B10-0AB85392E77B}" name="MONTO PAGADO TOTAL" dataDxfId="5" dataCellStyle="Moneda">
      <calculatedColumnFormula>SUMIFS(SINIESTROS[IMPORTE PAGADO],SINIESTROS[TIPO DE VEHICULO],A2)</calculatedColumnFormula>
    </tableColumn>
    <tableColumn id="5" xr3:uid="{49E89866-00BA-423B-AE45-73BF93FF66CA}" name="SEVERIDAD MEDIA" dataDxfId="4">
      <calculatedColumnFormula>Tabla2[[#This Row],[MONTO PAGADO TOTAL]]/Tabla2[[#This Row],[CANTIDAD DE POLIZAS]]</calculatedColumnFormula>
    </tableColumn>
    <tableColumn id="6" xr3:uid="{CD495F33-5C28-4F3B-9665-6EC95DC18F99}" name="PRIMA PURA" dataDxfId="3">
      <calculatedColumnFormula>Tabla2[[#This Row],[FRECUENCIA]]*Tabla2[[#This Row],[SEVERIDAD MEDIA]]</calculatedColumnFormula>
    </tableColumn>
    <tableColumn id="7" xr3:uid="{3B4B6BF7-9141-4E86-9537-BF813D2D20C4}" name="PRIMA TOTAL" dataDxfId="2" dataCellStyle="Porcentaje">
      <calculatedColumnFormula>SUMIF(POLIZAS[TIPO DE VEHICULO], Tabla2[[#This Row],[TIPO DE VEHICULO]], POLIZAS[PRIMA MENSUAL]) * 12</calculatedColumnFormula>
    </tableColumn>
    <tableColumn id="8" xr3:uid="{65864346-1B31-4753-B11C-35C9373F3DA5}" name="LOSS RATIO (SINIESTRALIDAD)" dataDxfId="1">
      <calculatedColumnFormula>(Tabla2[[#This Row],[MONTO PAGADO TOTAL]]) /Tabla2[[#This Row],[PRIMA TOTAL]]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B31A4F-66E7-4D19-81CB-367070B1FFAC}" name="Tabla4" displayName="Tabla4" ref="J1:O6" totalsRowShown="0" headerRowDxfId="72" headerRowBorderDxfId="71" tableBorderDxfId="70" totalsRowBorderDxfId="69" headerRowCellStyle="Normal" dataCellStyle="Normal">
  <autoFilter ref="J1:O6" xr:uid="{11B31A4F-66E7-4D19-81CB-367070B1FFAC}"/>
  <tableColumns count="6">
    <tableColumn id="1" xr3:uid="{A061F552-8D56-4074-8D26-AC885F89A59A}" name="TIPO DE SINIESTRO" dataDxfId="68" dataCellStyle="Normal"/>
    <tableColumn id="2" xr3:uid="{DF9A8423-E2EA-41D1-BB32-F924A5F63596}" name="CANTIDAD DE SINIESTROS" dataDxfId="67" dataCellStyle="Normal">
      <calculatedColumnFormula>COUNTIFS(SINIESTROS[TIPO DE SINIESTRO],J2)</calculatedColumnFormula>
    </tableColumn>
    <tableColumn id="3" xr3:uid="{39A747CC-2F59-4302-8255-E6A6089799C8}" name="FRECUENCIA RESPECTO CARTERA POLIZAS" dataDxfId="66" dataCellStyle="Porcentaje">
      <calculatedColumnFormula>K2/COUNTA(POLIZAS[ID PÓLIZA])</calculatedColumnFormula>
    </tableColumn>
    <tableColumn id="4" xr3:uid="{5A10F272-9CD6-40B6-B263-AD8161A4017E}" name="MONTO PAGADO TOTAL" dataDxfId="65" dataCellStyle="Normal">
      <calculatedColumnFormula>SUMIFS(SINIESTROS[IMPORTE PAGADO],SINIESTROS[TIPO DE SINIESTRO],J2)</calculatedColumnFormula>
    </tableColumn>
    <tableColumn id="5" xr3:uid="{35AE61FD-A4F1-42D2-9A1E-817007534F74}" name="SEVERIDAD MEDIA" dataDxfId="64" dataCellStyle="Normal">
      <calculatedColumnFormula>M2/K2</calculatedColumnFormula>
    </tableColumn>
    <tableColumn id="6" xr3:uid="{7D8BCDCB-912F-49CB-974B-D25778A46E18}" name="COSTO ESPERADO POR POLIZA" dataDxfId="63" dataCellStyle="Normal">
      <calculatedColumnFormula>M2/COUNTA(POLIZAS[ID PÓLIZA])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662280-B548-4BA3-BA76-CBD6FFE648E9}" name="Tabla5" displayName="Tabla5" ref="A9:G14" totalsRowShown="0" headerRowDxfId="62" dataDxfId="61" headerRowCellStyle="Normal" dataCellStyle="Normal">
  <autoFilter ref="A9:G14" xr:uid="{79662280-B548-4BA3-BA76-CBD6FFE648E9}"/>
  <tableColumns count="7">
    <tableColumn id="1" xr3:uid="{760C889F-56B3-4D02-AB21-153A273104CC}" name="VEHICULO" dataDxfId="60" dataCellStyle="Normal"/>
    <tableColumn id="2" xr3:uid="{180C0406-7B02-4524-93A1-D0C140767496}" name="COLISIÓN" dataDxfId="59" dataCellStyle="Normal"/>
    <tableColumn id="3" xr3:uid="{BEDE9B7E-FE3E-4244-BA0F-509E1ED21521}" name="ROBO" dataDxfId="58" dataCellStyle="Normal"/>
    <tableColumn id="4" xr3:uid="{0140B2D0-4565-4900-8B9E-F08A8FDDF75F}" name="ROTURA DE CRISTALES" dataDxfId="57" dataCellStyle="Normal"/>
    <tableColumn id="5" xr3:uid="{8B81C775-4AB9-44FA-93C0-6B0385835715}" name="INCENDIO" dataDxfId="56" dataCellStyle="Normal"/>
    <tableColumn id="6" xr3:uid="{36926C24-6ABE-4510-8CE8-E6F28924C4F8}" name="DAÑOS POR GRANIZO" dataDxfId="15" dataCellStyle="Normal"/>
    <tableColumn id="7" xr3:uid="{E43DF912-7713-4E6D-82C9-EF969BE85426}" name="TOTAL VEHICULO" dataDxfId="14" dataCellStyle="Normal">
      <calculatedColumnFormula>SUM(Tabla5[[#This Row],[COLISIÓN]:[DAÑOS POR GRANIZO]])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8F87-24C7-4E2A-98D8-77014FAC5479}">
  <dimension ref="A1:B301"/>
  <sheetViews>
    <sheetView zoomScaleNormal="100" workbookViewId="0">
      <pane ySplit="1" topLeftCell="A34" activePane="bottomLeft" state="frozen"/>
      <selection pane="bottomLeft" activeCell="J9" sqref="J9"/>
    </sheetView>
  </sheetViews>
  <sheetFormatPr baseColWidth="10" defaultRowHeight="14.4" x14ac:dyDescent="0.3"/>
  <cols>
    <col min="1" max="1" width="18.21875" customWidth="1"/>
    <col min="2" max="2" width="24.109375" customWidth="1"/>
    <col min="3" max="3" width="17.44140625" customWidth="1"/>
    <col min="4" max="4" width="15.77734375" customWidth="1"/>
  </cols>
  <sheetData>
    <row r="1" spans="1:2" x14ac:dyDescent="0.3">
      <c r="A1" s="33" t="s">
        <v>0</v>
      </c>
      <c r="B1" s="33" t="s">
        <v>1292</v>
      </c>
    </row>
    <row r="2" spans="1:2" x14ac:dyDescent="0.3">
      <c r="A2" s="65" t="s">
        <v>119</v>
      </c>
      <c r="B2" s="56" t="s">
        <v>1293</v>
      </c>
    </row>
    <row r="3" spans="1:2" x14ac:dyDescent="0.3">
      <c r="A3" s="56" t="s">
        <v>265</v>
      </c>
      <c r="B3" s="65" t="s">
        <v>1294</v>
      </c>
    </row>
    <row r="4" spans="1:2" x14ac:dyDescent="0.3">
      <c r="A4" s="56" t="s">
        <v>76</v>
      </c>
      <c r="B4" s="56" t="s">
        <v>1295</v>
      </c>
    </row>
    <row r="5" spans="1:2" x14ac:dyDescent="0.3">
      <c r="A5" s="56" t="s">
        <v>44</v>
      </c>
      <c r="B5" s="56" t="s">
        <v>1296</v>
      </c>
    </row>
    <row r="6" spans="1:2" x14ac:dyDescent="0.3">
      <c r="A6" s="56" t="s">
        <v>53</v>
      </c>
      <c r="B6" s="56" t="s">
        <v>1297</v>
      </c>
    </row>
    <row r="7" spans="1:2" x14ac:dyDescent="0.3">
      <c r="A7" s="56" t="s">
        <v>181</v>
      </c>
      <c r="B7" s="56" t="s">
        <v>1298</v>
      </c>
    </row>
    <row r="8" spans="1:2" x14ac:dyDescent="0.3">
      <c r="A8" s="56" t="s">
        <v>115</v>
      </c>
      <c r="B8" s="56" t="s">
        <v>1299</v>
      </c>
    </row>
    <row r="9" spans="1:2" x14ac:dyDescent="0.3">
      <c r="A9" s="56" t="s">
        <v>157</v>
      </c>
      <c r="B9" s="56" t="s">
        <v>1300</v>
      </c>
    </row>
    <row r="10" spans="1:2" x14ac:dyDescent="0.3">
      <c r="A10" s="56" t="s">
        <v>57</v>
      </c>
      <c r="B10" s="56" t="s">
        <v>1301</v>
      </c>
    </row>
    <row r="11" spans="1:2" x14ac:dyDescent="0.3">
      <c r="A11" s="56" t="s">
        <v>285</v>
      </c>
      <c r="B11" s="56" t="s">
        <v>1302</v>
      </c>
    </row>
    <row r="12" spans="1:2" x14ac:dyDescent="0.3">
      <c r="A12" s="56" t="s">
        <v>1583</v>
      </c>
      <c r="B12" s="56" t="s">
        <v>1303</v>
      </c>
    </row>
    <row r="13" spans="1:2" x14ac:dyDescent="0.3">
      <c r="A13" s="56" t="s">
        <v>188</v>
      </c>
      <c r="B13" s="56" t="s">
        <v>1304</v>
      </c>
    </row>
    <row r="14" spans="1:2" x14ac:dyDescent="0.3">
      <c r="A14" s="56" t="s">
        <v>169</v>
      </c>
      <c r="B14" s="56" t="s">
        <v>1305</v>
      </c>
    </row>
    <row r="15" spans="1:2" x14ac:dyDescent="0.3">
      <c r="A15" s="56" t="s">
        <v>118</v>
      </c>
      <c r="B15" s="56" t="s">
        <v>1306</v>
      </c>
    </row>
    <row r="16" spans="1:2" x14ac:dyDescent="0.3">
      <c r="A16" s="56" t="s">
        <v>62</v>
      </c>
      <c r="B16" s="56" t="s">
        <v>1307</v>
      </c>
    </row>
    <row r="17" spans="1:2" x14ac:dyDescent="0.3">
      <c r="A17" s="56" t="s">
        <v>89</v>
      </c>
      <c r="B17" s="56" t="s">
        <v>1308</v>
      </c>
    </row>
    <row r="18" spans="1:2" x14ac:dyDescent="0.3">
      <c r="A18" s="56" t="s">
        <v>193</v>
      </c>
      <c r="B18" s="56" t="s">
        <v>1309</v>
      </c>
    </row>
    <row r="19" spans="1:2" x14ac:dyDescent="0.3">
      <c r="A19" s="56" t="s">
        <v>37</v>
      </c>
      <c r="B19" s="56" t="s">
        <v>1310</v>
      </c>
    </row>
    <row r="20" spans="1:2" x14ac:dyDescent="0.3">
      <c r="A20" s="56" t="s">
        <v>77</v>
      </c>
      <c r="B20" s="56" t="s">
        <v>1311</v>
      </c>
    </row>
    <row r="21" spans="1:2" x14ac:dyDescent="0.3">
      <c r="A21" s="56" t="s">
        <v>48</v>
      </c>
      <c r="B21" s="56" t="s">
        <v>1312</v>
      </c>
    </row>
    <row r="22" spans="1:2" x14ac:dyDescent="0.3">
      <c r="A22" s="56" t="s">
        <v>199</v>
      </c>
      <c r="B22" s="56" t="s">
        <v>1313</v>
      </c>
    </row>
    <row r="23" spans="1:2" x14ac:dyDescent="0.3">
      <c r="A23" s="56" t="s">
        <v>103</v>
      </c>
      <c r="B23" s="56" t="s">
        <v>1314</v>
      </c>
    </row>
    <row r="24" spans="1:2" x14ac:dyDescent="0.3">
      <c r="A24" s="56" t="s">
        <v>262</v>
      </c>
      <c r="B24" s="56" t="s">
        <v>1315</v>
      </c>
    </row>
    <row r="25" spans="1:2" x14ac:dyDescent="0.3">
      <c r="A25" s="56" t="s">
        <v>71</v>
      </c>
      <c r="B25" s="56" t="s">
        <v>1316</v>
      </c>
    </row>
    <row r="26" spans="1:2" x14ac:dyDescent="0.3">
      <c r="A26" s="56" t="s">
        <v>159</v>
      </c>
      <c r="B26" s="56" t="s">
        <v>1317</v>
      </c>
    </row>
    <row r="27" spans="1:2" x14ac:dyDescent="0.3">
      <c r="A27" s="56" t="s">
        <v>163</v>
      </c>
      <c r="B27" s="56" t="s">
        <v>1318</v>
      </c>
    </row>
    <row r="28" spans="1:2" x14ac:dyDescent="0.3">
      <c r="A28" s="56" t="s">
        <v>51</v>
      </c>
      <c r="B28" s="56" t="s">
        <v>1319</v>
      </c>
    </row>
    <row r="29" spans="1:2" x14ac:dyDescent="0.3">
      <c r="A29" s="56" t="s">
        <v>107</v>
      </c>
      <c r="B29" s="56" t="s">
        <v>1320</v>
      </c>
    </row>
    <row r="30" spans="1:2" x14ac:dyDescent="0.3">
      <c r="A30" s="56" t="s">
        <v>263</v>
      </c>
      <c r="B30" s="56" t="s">
        <v>1321</v>
      </c>
    </row>
    <row r="31" spans="1:2" x14ac:dyDescent="0.3">
      <c r="A31" s="56" t="s">
        <v>1584</v>
      </c>
      <c r="B31" s="56" t="s">
        <v>1322</v>
      </c>
    </row>
    <row r="32" spans="1:2" x14ac:dyDescent="0.3">
      <c r="A32" s="56" t="s">
        <v>214</v>
      </c>
      <c r="B32" s="56" t="s">
        <v>1323</v>
      </c>
    </row>
    <row r="33" spans="1:2" x14ac:dyDescent="0.3">
      <c r="A33" s="56" t="s">
        <v>291</v>
      </c>
      <c r="B33" s="56" t="s">
        <v>1324</v>
      </c>
    </row>
    <row r="34" spans="1:2" x14ac:dyDescent="0.3">
      <c r="A34" s="56" t="s">
        <v>189</v>
      </c>
      <c r="B34" s="56" t="s">
        <v>1325</v>
      </c>
    </row>
    <row r="35" spans="1:2" x14ac:dyDescent="0.3">
      <c r="A35" s="56" t="s">
        <v>184</v>
      </c>
      <c r="B35" s="56" t="s">
        <v>1326</v>
      </c>
    </row>
    <row r="36" spans="1:2" x14ac:dyDescent="0.3">
      <c r="A36" s="56" t="s">
        <v>228</v>
      </c>
      <c r="B36" s="56" t="s">
        <v>1327</v>
      </c>
    </row>
    <row r="37" spans="1:2" x14ac:dyDescent="0.3">
      <c r="A37" s="56" t="s">
        <v>156</v>
      </c>
      <c r="B37" s="56" t="s">
        <v>1328</v>
      </c>
    </row>
    <row r="38" spans="1:2" x14ac:dyDescent="0.3">
      <c r="A38" s="56" t="s">
        <v>27</v>
      </c>
      <c r="B38" s="56" t="s">
        <v>1329</v>
      </c>
    </row>
    <row r="39" spans="1:2" x14ac:dyDescent="0.3">
      <c r="A39" s="56" t="s">
        <v>80</v>
      </c>
      <c r="B39" s="56" t="s">
        <v>1330</v>
      </c>
    </row>
    <row r="40" spans="1:2" x14ac:dyDescent="0.3">
      <c r="A40" s="56" t="s">
        <v>267</v>
      </c>
      <c r="B40" s="56" t="s">
        <v>1331</v>
      </c>
    </row>
    <row r="41" spans="1:2" x14ac:dyDescent="0.3">
      <c r="A41" s="56" t="s">
        <v>241</v>
      </c>
      <c r="B41" s="56" t="s">
        <v>1332</v>
      </c>
    </row>
    <row r="42" spans="1:2" x14ac:dyDescent="0.3">
      <c r="A42" s="56" t="s">
        <v>108</v>
      </c>
      <c r="B42" s="56" t="s">
        <v>1333</v>
      </c>
    </row>
    <row r="43" spans="1:2" x14ac:dyDescent="0.3">
      <c r="A43" s="56" t="s">
        <v>154</v>
      </c>
      <c r="B43" s="56" t="s">
        <v>1334</v>
      </c>
    </row>
    <row r="44" spans="1:2" x14ac:dyDescent="0.3">
      <c r="A44" s="56" t="s">
        <v>260</v>
      </c>
      <c r="B44" s="56" t="s">
        <v>1335</v>
      </c>
    </row>
    <row r="45" spans="1:2" x14ac:dyDescent="0.3">
      <c r="A45" s="56" t="s">
        <v>58</v>
      </c>
      <c r="B45" s="56" t="s">
        <v>1336</v>
      </c>
    </row>
    <row r="46" spans="1:2" x14ac:dyDescent="0.3">
      <c r="A46" s="56" t="s">
        <v>289</v>
      </c>
      <c r="B46" s="56" t="s">
        <v>1337</v>
      </c>
    </row>
    <row r="47" spans="1:2" x14ac:dyDescent="0.3">
      <c r="A47" s="56" t="s">
        <v>140</v>
      </c>
      <c r="B47" s="56" t="s">
        <v>1338</v>
      </c>
    </row>
    <row r="48" spans="1:2" x14ac:dyDescent="0.3">
      <c r="A48" s="56" t="s">
        <v>230</v>
      </c>
      <c r="B48" s="56" t="s">
        <v>1339</v>
      </c>
    </row>
    <row r="49" spans="1:2" x14ac:dyDescent="0.3">
      <c r="A49" s="56" t="s">
        <v>261</v>
      </c>
      <c r="B49" s="56" t="s">
        <v>1340</v>
      </c>
    </row>
    <row r="50" spans="1:2" x14ac:dyDescent="0.3">
      <c r="A50" s="56" t="s">
        <v>272</v>
      </c>
      <c r="B50" s="56" t="s">
        <v>1341</v>
      </c>
    </row>
    <row r="51" spans="1:2" x14ac:dyDescent="0.3">
      <c r="A51" s="56" t="s">
        <v>179</v>
      </c>
      <c r="B51" s="56" t="s">
        <v>1342</v>
      </c>
    </row>
    <row r="52" spans="1:2" x14ac:dyDescent="0.3">
      <c r="A52" s="56" t="s">
        <v>1585</v>
      </c>
      <c r="B52" s="56" t="s">
        <v>1343</v>
      </c>
    </row>
    <row r="53" spans="1:2" x14ac:dyDescent="0.3">
      <c r="A53" s="56" t="s">
        <v>222</v>
      </c>
      <c r="B53" s="56" t="s">
        <v>1344</v>
      </c>
    </row>
    <row r="54" spans="1:2" x14ac:dyDescent="0.3">
      <c r="A54" s="56" t="s">
        <v>217</v>
      </c>
      <c r="B54" s="56" t="s">
        <v>1345</v>
      </c>
    </row>
    <row r="55" spans="1:2" x14ac:dyDescent="0.3">
      <c r="A55" s="56" t="s">
        <v>279</v>
      </c>
      <c r="B55" s="56" t="s">
        <v>1346</v>
      </c>
    </row>
    <row r="56" spans="1:2" x14ac:dyDescent="0.3">
      <c r="A56" s="56" t="s">
        <v>229</v>
      </c>
      <c r="B56" s="56" t="s">
        <v>1347</v>
      </c>
    </row>
    <row r="57" spans="1:2" x14ac:dyDescent="0.3">
      <c r="A57" s="56" t="s">
        <v>66</v>
      </c>
      <c r="B57" s="56" t="s">
        <v>1348</v>
      </c>
    </row>
    <row r="58" spans="1:2" x14ac:dyDescent="0.3">
      <c r="A58" s="56" t="s">
        <v>215</v>
      </c>
      <c r="B58" s="56" t="s">
        <v>1349</v>
      </c>
    </row>
    <row r="59" spans="1:2" x14ac:dyDescent="0.3">
      <c r="A59" s="56" t="s">
        <v>56</v>
      </c>
      <c r="B59" s="56" t="s">
        <v>1350</v>
      </c>
    </row>
    <row r="60" spans="1:2" x14ac:dyDescent="0.3">
      <c r="A60" s="56" t="s">
        <v>127</v>
      </c>
      <c r="B60" s="56" t="s">
        <v>1351</v>
      </c>
    </row>
    <row r="61" spans="1:2" x14ac:dyDescent="0.3">
      <c r="A61" s="56" t="s">
        <v>126</v>
      </c>
      <c r="B61" s="56" t="s">
        <v>1352</v>
      </c>
    </row>
    <row r="62" spans="1:2" x14ac:dyDescent="0.3">
      <c r="A62" s="56" t="s">
        <v>42</v>
      </c>
      <c r="B62" s="56" t="s">
        <v>1353</v>
      </c>
    </row>
    <row r="63" spans="1:2" x14ac:dyDescent="0.3">
      <c r="A63" s="56" t="s">
        <v>1586</v>
      </c>
      <c r="B63" s="56" t="s">
        <v>1354</v>
      </c>
    </row>
    <row r="64" spans="1:2" x14ac:dyDescent="0.3">
      <c r="A64" s="56" t="s">
        <v>7</v>
      </c>
      <c r="B64" s="56" t="s">
        <v>1355</v>
      </c>
    </row>
    <row r="65" spans="1:2" x14ac:dyDescent="0.3">
      <c r="A65" s="56" t="s">
        <v>6</v>
      </c>
      <c r="B65" s="56" t="s">
        <v>1356</v>
      </c>
    </row>
    <row r="66" spans="1:2" x14ac:dyDescent="0.3">
      <c r="A66" s="56" t="s">
        <v>100</v>
      </c>
      <c r="B66" s="56" t="s">
        <v>1357</v>
      </c>
    </row>
    <row r="67" spans="1:2" x14ac:dyDescent="0.3">
      <c r="A67" s="56" t="s">
        <v>259</v>
      </c>
      <c r="B67" s="56" t="s">
        <v>1358</v>
      </c>
    </row>
    <row r="68" spans="1:2" x14ac:dyDescent="0.3">
      <c r="A68" s="56" t="s">
        <v>244</v>
      </c>
      <c r="B68" s="56" t="s">
        <v>1359</v>
      </c>
    </row>
    <row r="69" spans="1:2" x14ac:dyDescent="0.3">
      <c r="A69" s="56" t="s">
        <v>151</v>
      </c>
      <c r="B69" s="56" t="s">
        <v>1360</v>
      </c>
    </row>
    <row r="70" spans="1:2" x14ac:dyDescent="0.3">
      <c r="A70" s="56" t="s">
        <v>223</v>
      </c>
      <c r="B70" s="56" t="s">
        <v>1361</v>
      </c>
    </row>
    <row r="71" spans="1:2" x14ac:dyDescent="0.3">
      <c r="A71" s="56" t="s">
        <v>10</v>
      </c>
      <c r="B71" s="56" t="s">
        <v>1362</v>
      </c>
    </row>
    <row r="72" spans="1:2" x14ac:dyDescent="0.3">
      <c r="A72" s="56" t="s">
        <v>204</v>
      </c>
      <c r="B72" s="56" t="s">
        <v>1363</v>
      </c>
    </row>
    <row r="73" spans="1:2" x14ac:dyDescent="0.3">
      <c r="A73" s="56" t="s">
        <v>38</v>
      </c>
      <c r="B73" s="56" t="s">
        <v>1364</v>
      </c>
    </row>
    <row r="74" spans="1:2" x14ac:dyDescent="0.3">
      <c r="A74" s="56" t="s">
        <v>172</v>
      </c>
      <c r="B74" s="56" t="s">
        <v>1365</v>
      </c>
    </row>
    <row r="75" spans="1:2" x14ac:dyDescent="0.3">
      <c r="A75" s="56" t="s">
        <v>47</v>
      </c>
      <c r="B75" s="56" t="s">
        <v>1366</v>
      </c>
    </row>
    <row r="76" spans="1:2" x14ac:dyDescent="0.3">
      <c r="A76" s="56" t="s">
        <v>41</v>
      </c>
      <c r="B76" s="56" t="s">
        <v>1367</v>
      </c>
    </row>
    <row r="77" spans="1:2" x14ac:dyDescent="0.3">
      <c r="A77" s="56" t="s">
        <v>86</v>
      </c>
      <c r="B77" s="56" t="s">
        <v>1368</v>
      </c>
    </row>
    <row r="78" spans="1:2" x14ac:dyDescent="0.3">
      <c r="A78" s="56" t="s">
        <v>79</v>
      </c>
      <c r="B78" s="56" t="s">
        <v>1369</v>
      </c>
    </row>
    <row r="79" spans="1:2" x14ac:dyDescent="0.3">
      <c r="A79" s="56" t="s">
        <v>205</v>
      </c>
      <c r="B79" s="56" t="s">
        <v>1370</v>
      </c>
    </row>
    <row r="80" spans="1:2" x14ac:dyDescent="0.3">
      <c r="A80" s="56" t="s">
        <v>78</v>
      </c>
      <c r="B80" s="56" t="s">
        <v>1371</v>
      </c>
    </row>
    <row r="81" spans="1:2" x14ac:dyDescent="0.3">
      <c r="A81" s="56" t="s">
        <v>136</v>
      </c>
      <c r="B81" s="56" t="s">
        <v>1372</v>
      </c>
    </row>
    <row r="82" spans="1:2" x14ac:dyDescent="0.3">
      <c r="A82" s="56" t="s">
        <v>72</v>
      </c>
      <c r="B82" s="56" t="s">
        <v>1373</v>
      </c>
    </row>
    <row r="83" spans="1:2" x14ac:dyDescent="0.3">
      <c r="A83" s="56" t="s">
        <v>13</v>
      </c>
      <c r="B83" s="56" t="s">
        <v>1374</v>
      </c>
    </row>
    <row r="84" spans="1:2" x14ac:dyDescent="0.3">
      <c r="A84" s="56" t="s">
        <v>142</v>
      </c>
      <c r="B84" s="56" t="s">
        <v>1375</v>
      </c>
    </row>
    <row r="85" spans="1:2" x14ac:dyDescent="0.3">
      <c r="A85" s="56" t="s">
        <v>238</v>
      </c>
      <c r="B85" s="56" t="s">
        <v>1376</v>
      </c>
    </row>
    <row r="86" spans="1:2" x14ac:dyDescent="0.3">
      <c r="A86" s="56" t="s">
        <v>213</v>
      </c>
      <c r="B86" s="56" t="s">
        <v>1377</v>
      </c>
    </row>
    <row r="87" spans="1:2" x14ac:dyDescent="0.3">
      <c r="A87" s="56" t="s">
        <v>255</v>
      </c>
      <c r="B87" s="56" t="s">
        <v>1378</v>
      </c>
    </row>
    <row r="88" spans="1:2" x14ac:dyDescent="0.3">
      <c r="A88" s="56" t="s">
        <v>243</v>
      </c>
      <c r="B88" s="56" t="s">
        <v>1379</v>
      </c>
    </row>
    <row r="89" spans="1:2" x14ac:dyDescent="0.3">
      <c r="A89" s="56" t="s">
        <v>256</v>
      </c>
      <c r="B89" s="56" t="s">
        <v>1380</v>
      </c>
    </row>
    <row r="90" spans="1:2" x14ac:dyDescent="0.3">
      <c r="A90" s="56" t="s">
        <v>95</v>
      </c>
      <c r="B90" s="56" t="s">
        <v>1381</v>
      </c>
    </row>
    <row r="91" spans="1:2" x14ac:dyDescent="0.3">
      <c r="A91" s="56" t="s">
        <v>61</v>
      </c>
      <c r="B91" s="56" t="s">
        <v>1382</v>
      </c>
    </row>
    <row r="92" spans="1:2" x14ac:dyDescent="0.3">
      <c r="A92" s="56" t="s">
        <v>32</v>
      </c>
      <c r="B92" s="56" t="s">
        <v>1383</v>
      </c>
    </row>
    <row r="93" spans="1:2" x14ac:dyDescent="0.3">
      <c r="A93" s="56" t="s">
        <v>165</v>
      </c>
      <c r="B93" s="56" t="s">
        <v>1384</v>
      </c>
    </row>
    <row r="94" spans="1:2" x14ac:dyDescent="0.3">
      <c r="A94" s="56" t="s">
        <v>35</v>
      </c>
      <c r="B94" s="56" t="s">
        <v>1385</v>
      </c>
    </row>
    <row r="95" spans="1:2" x14ac:dyDescent="0.3">
      <c r="A95" s="56" t="s">
        <v>134</v>
      </c>
      <c r="B95" s="56" t="s">
        <v>1386</v>
      </c>
    </row>
    <row r="96" spans="1:2" x14ac:dyDescent="0.3">
      <c r="A96" s="56" t="s">
        <v>16</v>
      </c>
      <c r="B96" s="56" t="s">
        <v>1387</v>
      </c>
    </row>
    <row r="97" spans="1:2" x14ac:dyDescent="0.3">
      <c r="A97" s="56" t="s">
        <v>104</v>
      </c>
      <c r="B97" s="56" t="s">
        <v>1388</v>
      </c>
    </row>
    <row r="98" spans="1:2" x14ac:dyDescent="0.3">
      <c r="A98" s="56" t="s">
        <v>180</v>
      </c>
      <c r="B98" s="56" t="s">
        <v>1389</v>
      </c>
    </row>
    <row r="99" spans="1:2" x14ac:dyDescent="0.3">
      <c r="A99" s="56" t="s">
        <v>137</v>
      </c>
      <c r="B99" s="56" t="s">
        <v>1390</v>
      </c>
    </row>
    <row r="100" spans="1:2" x14ac:dyDescent="0.3">
      <c r="A100" s="56" t="s">
        <v>191</v>
      </c>
      <c r="B100" s="56" t="s">
        <v>1391</v>
      </c>
    </row>
    <row r="101" spans="1:2" x14ac:dyDescent="0.3">
      <c r="A101" s="56" t="s">
        <v>112</v>
      </c>
      <c r="B101" s="56" t="s">
        <v>1392</v>
      </c>
    </row>
    <row r="102" spans="1:2" x14ac:dyDescent="0.3">
      <c r="A102" s="56" t="s">
        <v>87</v>
      </c>
      <c r="B102" s="56" t="s">
        <v>1393</v>
      </c>
    </row>
    <row r="103" spans="1:2" x14ac:dyDescent="0.3">
      <c r="A103" s="56" t="s">
        <v>43</v>
      </c>
      <c r="B103" s="56" t="s">
        <v>1394</v>
      </c>
    </row>
    <row r="104" spans="1:2" x14ac:dyDescent="0.3">
      <c r="A104" s="56" t="s">
        <v>144</v>
      </c>
      <c r="B104" s="56" t="s">
        <v>1395</v>
      </c>
    </row>
    <row r="105" spans="1:2" x14ac:dyDescent="0.3">
      <c r="A105" s="56" t="s">
        <v>138</v>
      </c>
      <c r="B105" s="56" t="s">
        <v>1396</v>
      </c>
    </row>
    <row r="106" spans="1:2" x14ac:dyDescent="0.3">
      <c r="A106" s="56" t="s">
        <v>84</v>
      </c>
      <c r="B106" s="56" t="s">
        <v>1397</v>
      </c>
    </row>
    <row r="107" spans="1:2" x14ac:dyDescent="0.3">
      <c r="A107" s="56" t="s">
        <v>1587</v>
      </c>
      <c r="B107" s="56" t="s">
        <v>1398</v>
      </c>
    </row>
    <row r="108" spans="1:2" x14ac:dyDescent="0.3">
      <c r="A108" s="56" t="s">
        <v>22</v>
      </c>
      <c r="B108" s="56" t="s">
        <v>1399</v>
      </c>
    </row>
    <row r="109" spans="1:2" x14ac:dyDescent="0.3">
      <c r="A109" s="56" t="s">
        <v>24</v>
      </c>
      <c r="B109" s="56" t="s">
        <v>1400</v>
      </c>
    </row>
    <row r="110" spans="1:2" x14ac:dyDescent="0.3">
      <c r="A110" s="56" t="s">
        <v>94</v>
      </c>
      <c r="B110" s="56" t="s">
        <v>1401</v>
      </c>
    </row>
    <row r="111" spans="1:2" x14ac:dyDescent="0.3">
      <c r="A111" s="56" t="s">
        <v>113</v>
      </c>
      <c r="B111" s="56" t="s">
        <v>1402</v>
      </c>
    </row>
    <row r="112" spans="1:2" x14ac:dyDescent="0.3">
      <c r="A112" s="56" t="s">
        <v>270</v>
      </c>
      <c r="B112" s="56" t="s">
        <v>1403</v>
      </c>
    </row>
    <row r="113" spans="1:2" x14ac:dyDescent="0.3">
      <c r="A113" s="56" t="s">
        <v>155</v>
      </c>
      <c r="B113" s="56" t="s">
        <v>1404</v>
      </c>
    </row>
    <row r="114" spans="1:2" x14ac:dyDescent="0.3">
      <c r="A114" s="56" t="s">
        <v>248</v>
      </c>
      <c r="B114" s="56" t="s">
        <v>1405</v>
      </c>
    </row>
    <row r="115" spans="1:2" x14ac:dyDescent="0.3">
      <c r="A115" s="56" t="s">
        <v>202</v>
      </c>
      <c r="B115" s="56" t="s">
        <v>1406</v>
      </c>
    </row>
    <row r="116" spans="1:2" x14ac:dyDescent="0.3">
      <c r="A116" s="56" t="s">
        <v>18</v>
      </c>
      <c r="B116" s="56" t="s">
        <v>1407</v>
      </c>
    </row>
    <row r="117" spans="1:2" x14ac:dyDescent="0.3">
      <c r="A117" s="56" t="s">
        <v>33</v>
      </c>
      <c r="B117" s="56" t="s">
        <v>1408</v>
      </c>
    </row>
    <row r="118" spans="1:2" x14ac:dyDescent="0.3">
      <c r="A118" s="56" t="s">
        <v>190</v>
      </c>
      <c r="B118" s="56" t="s">
        <v>1409</v>
      </c>
    </row>
    <row r="119" spans="1:2" x14ac:dyDescent="0.3">
      <c r="A119" s="56" t="s">
        <v>226</v>
      </c>
      <c r="B119" s="56" t="s">
        <v>1410</v>
      </c>
    </row>
    <row r="120" spans="1:2" x14ac:dyDescent="0.3">
      <c r="A120" s="56" t="s">
        <v>9</v>
      </c>
      <c r="B120" s="56" t="s">
        <v>1411</v>
      </c>
    </row>
    <row r="121" spans="1:2" x14ac:dyDescent="0.3">
      <c r="A121" s="56" t="s">
        <v>173</v>
      </c>
      <c r="B121" s="56" t="s">
        <v>1412</v>
      </c>
    </row>
    <row r="122" spans="1:2" x14ac:dyDescent="0.3">
      <c r="A122" s="56" t="s">
        <v>203</v>
      </c>
      <c r="B122" s="56" t="s">
        <v>1413</v>
      </c>
    </row>
    <row r="123" spans="1:2" x14ac:dyDescent="0.3">
      <c r="A123" s="56" t="s">
        <v>65</v>
      </c>
      <c r="B123" s="56" t="s">
        <v>1414</v>
      </c>
    </row>
    <row r="124" spans="1:2" x14ac:dyDescent="0.3">
      <c r="A124" s="56" t="s">
        <v>128</v>
      </c>
      <c r="B124" s="56" t="s">
        <v>1415</v>
      </c>
    </row>
    <row r="125" spans="1:2" x14ac:dyDescent="0.3">
      <c r="A125" s="56" t="s">
        <v>221</v>
      </c>
      <c r="B125" s="56" t="s">
        <v>1416</v>
      </c>
    </row>
    <row r="126" spans="1:2" x14ac:dyDescent="0.3">
      <c r="A126" s="56" t="s">
        <v>96</v>
      </c>
      <c r="B126" s="56" t="s">
        <v>1417</v>
      </c>
    </row>
    <row r="127" spans="1:2" x14ac:dyDescent="0.3">
      <c r="A127" s="56" t="s">
        <v>284</v>
      </c>
      <c r="B127" s="56" t="s">
        <v>1418</v>
      </c>
    </row>
    <row r="128" spans="1:2" x14ac:dyDescent="0.3">
      <c r="A128" s="56" t="s">
        <v>195</v>
      </c>
      <c r="B128" s="56" t="s">
        <v>1419</v>
      </c>
    </row>
    <row r="129" spans="1:2" x14ac:dyDescent="0.3">
      <c r="A129" s="56" t="s">
        <v>83</v>
      </c>
      <c r="B129" s="56" t="s">
        <v>1420</v>
      </c>
    </row>
    <row r="130" spans="1:2" x14ac:dyDescent="0.3">
      <c r="A130" s="56" t="s">
        <v>209</v>
      </c>
      <c r="B130" s="56" t="s">
        <v>1421</v>
      </c>
    </row>
    <row r="131" spans="1:2" x14ac:dyDescent="0.3">
      <c r="A131" s="56" t="s">
        <v>177</v>
      </c>
      <c r="B131" s="56" t="s">
        <v>1422</v>
      </c>
    </row>
    <row r="132" spans="1:2" x14ac:dyDescent="0.3">
      <c r="A132" s="56" t="s">
        <v>145</v>
      </c>
      <c r="B132" s="56" t="s">
        <v>1423</v>
      </c>
    </row>
    <row r="133" spans="1:2" x14ac:dyDescent="0.3">
      <c r="A133" s="56" t="s">
        <v>290</v>
      </c>
      <c r="B133" s="56" t="s">
        <v>1424</v>
      </c>
    </row>
    <row r="134" spans="1:2" x14ac:dyDescent="0.3">
      <c r="A134" s="56" t="s">
        <v>233</v>
      </c>
      <c r="B134" s="56" t="s">
        <v>1425</v>
      </c>
    </row>
    <row r="135" spans="1:2" x14ac:dyDescent="0.3">
      <c r="A135" s="56" t="s">
        <v>218</v>
      </c>
      <c r="B135" s="56" t="s">
        <v>1426</v>
      </c>
    </row>
    <row r="136" spans="1:2" x14ac:dyDescent="0.3">
      <c r="A136" s="56" t="s">
        <v>139</v>
      </c>
      <c r="B136" s="56" t="s">
        <v>1427</v>
      </c>
    </row>
    <row r="137" spans="1:2" x14ac:dyDescent="0.3">
      <c r="A137" s="56" t="s">
        <v>292</v>
      </c>
      <c r="B137" s="56" t="s">
        <v>1428</v>
      </c>
    </row>
    <row r="138" spans="1:2" x14ac:dyDescent="0.3">
      <c r="A138" s="56" t="s">
        <v>216</v>
      </c>
      <c r="B138" s="56" t="s">
        <v>1429</v>
      </c>
    </row>
    <row r="139" spans="1:2" x14ac:dyDescent="0.3">
      <c r="A139" s="56" t="s">
        <v>1588</v>
      </c>
      <c r="B139" s="56" t="s">
        <v>1430</v>
      </c>
    </row>
    <row r="140" spans="1:2" x14ac:dyDescent="0.3">
      <c r="A140" s="56" t="s">
        <v>160</v>
      </c>
      <c r="B140" s="56" t="s">
        <v>1431</v>
      </c>
    </row>
    <row r="141" spans="1:2" x14ac:dyDescent="0.3">
      <c r="A141" s="56" t="s">
        <v>268</v>
      </c>
      <c r="B141" s="56" t="s">
        <v>1432</v>
      </c>
    </row>
    <row r="142" spans="1:2" x14ac:dyDescent="0.3">
      <c r="A142" s="56" t="s">
        <v>286</v>
      </c>
      <c r="B142" s="56" t="s">
        <v>1433</v>
      </c>
    </row>
    <row r="143" spans="1:2" x14ac:dyDescent="0.3">
      <c r="A143" s="56" t="s">
        <v>88</v>
      </c>
      <c r="B143" s="56" t="s">
        <v>1434</v>
      </c>
    </row>
    <row r="144" spans="1:2" x14ac:dyDescent="0.3">
      <c r="A144" s="56" t="s">
        <v>29</v>
      </c>
      <c r="B144" s="56" t="s">
        <v>1435</v>
      </c>
    </row>
    <row r="145" spans="1:2" x14ac:dyDescent="0.3">
      <c r="A145" s="56" t="s">
        <v>15</v>
      </c>
      <c r="B145" s="56" t="s">
        <v>1436</v>
      </c>
    </row>
    <row r="146" spans="1:2" x14ac:dyDescent="0.3">
      <c r="A146" s="56" t="s">
        <v>194</v>
      </c>
      <c r="B146" s="56" t="s">
        <v>1437</v>
      </c>
    </row>
    <row r="147" spans="1:2" x14ac:dyDescent="0.3">
      <c r="A147" s="56" t="s">
        <v>14</v>
      </c>
      <c r="B147" s="56" t="s">
        <v>1438</v>
      </c>
    </row>
    <row r="148" spans="1:2" x14ac:dyDescent="0.3">
      <c r="A148" s="56" t="s">
        <v>102</v>
      </c>
      <c r="B148" s="56" t="s">
        <v>1439</v>
      </c>
    </row>
    <row r="149" spans="1:2" x14ac:dyDescent="0.3">
      <c r="A149" s="56" t="s">
        <v>277</v>
      </c>
      <c r="B149" s="56" t="s">
        <v>1440</v>
      </c>
    </row>
    <row r="150" spans="1:2" x14ac:dyDescent="0.3">
      <c r="A150" s="56" t="s">
        <v>174</v>
      </c>
      <c r="B150" s="56" t="s">
        <v>1441</v>
      </c>
    </row>
    <row r="151" spans="1:2" x14ac:dyDescent="0.3">
      <c r="A151" s="56" t="s">
        <v>288</v>
      </c>
      <c r="B151" s="56" t="s">
        <v>1442</v>
      </c>
    </row>
    <row r="152" spans="1:2" x14ac:dyDescent="0.3">
      <c r="A152" s="56" t="s">
        <v>125</v>
      </c>
      <c r="B152" s="56" t="s">
        <v>1443</v>
      </c>
    </row>
    <row r="153" spans="1:2" x14ac:dyDescent="0.3">
      <c r="A153" s="56" t="s">
        <v>143</v>
      </c>
      <c r="B153" s="56" t="s">
        <v>1444</v>
      </c>
    </row>
    <row r="154" spans="1:2" x14ac:dyDescent="0.3">
      <c r="A154" s="56" t="s">
        <v>70</v>
      </c>
      <c r="B154" s="56" t="s">
        <v>1445</v>
      </c>
    </row>
    <row r="155" spans="1:2" x14ac:dyDescent="0.3">
      <c r="A155" s="56" t="s">
        <v>129</v>
      </c>
      <c r="B155" s="56" t="s">
        <v>1446</v>
      </c>
    </row>
    <row r="156" spans="1:2" x14ac:dyDescent="0.3">
      <c r="A156" s="56" t="s">
        <v>1589</v>
      </c>
      <c r="B156" s="56" t="s">
        <v>1447</v>
      </c>
    </row>
    <row r="157" spans="1:2" x14ac:dyDescent="0.3">
      <c r="A157" s="56" t="s">
        <v>30</v>
      </c>
      <c r="B157" s="56" t="s">
        <v>1448</v>
      </c>
    </row>
    <row r="158" spans="1:2" x14ac:dyDescent="0.3">
      <c r="A158" s="56" t="s">
        <v>196</v>
      </c>
      <c r="B158" s="56" t="s">
        <v>1449</v>
      </c>
    </row>
    <row r="159" spans="1:2" x14ac:dyDescent="0.3">
      <c r="A159" s="56" t="s">
        <v>236</v>
      </c>
      <c r="B159" s="56" t="s">
        <v>1450</v>
      </c>
    </row>
    <row r="160" spans="1:2" x14ac:dyDescent="0.3">
      <c r="A160" s="56" t="s">
        <v>148</v>
      </c>
      <c r="B160" s="56" t="s">
        <v>1451</v>
      </c>
    </row>
    <row r="161" spans="1:2" x14ac:dyDescent="0.3">
      <c r="A161" s="56" t="s">
        <v>135</v>
      </c>
      <c r="B161" s="56" t="s">
        <v>1452</v>
      </c>
    </row>
    <row r="162" spans="1:2" x14ac:dyDescent="0.3">
      <c r="A162" s="56" t="s">
        <v>106</v>
      </c>
      <c r="B162" s="56" t="s">
        <v>1453</v>
      </c>
    </row>
    <row r="163" spans="1:2" x14ac:dyDescent="0.3">
      <c r="A163" s="56" t="s">
        <v>67</v>
      </c>
      <c r="B163" s="56" t="s">
        <v>1454</v>
      </c>
    </row>
    <row r="164" spans="1:2" x14ac:dyDescent="0.3">
      <c r="A164" s="56" t="s">
        <v>252</v>
      </c>
      <c r="B164" s="56" t="s">
        <v>1455</v>
      </c>
    </row>
    <row r="165" spans="1:2" x14ac:dyDescent="0.3">
      <c r="A165" s="56" t="s">
        <v>111</v>
      </c>
      <c r="B165" s="56" t="s">
        <v>1456</v>
      </c>
    </row>
    <row r="166" spans="1:2" x14ac:dyDescent="0.3">
      <c r="A166" s="56" t="s">
        <v>124</v>
      </c>
      <c r="B166" s="56" t="s">
        <v>1457</v>
      </c>
    </row>
    <row r="167" spans="1:2" x14ac:dyDescent="0.3">
      <c r="A167" s="56" t="s">
        <v>26</v>
      </c>
      <c r="B167" s="56" t="s">
        <v>1458</v>
      </c>
    </row>
    <row r="168" spans="1:2" x14ac:dyDescent="0.3">
      <c r="A168" s="56" t="s">
        <v>264</v>
      </c>
      <c r="B168" s="56" t="s">
        <v>1459</v>
      </c>
    </row>
    <row r="169" spans="1:2" x14ac:dyDescent="0.3">
      <c r="A169" s="56" t="s">
        <v>91</v>
      </c>
      <c r="B169" s="56" t="s">
        <v>1460</v>
      </c>
    </row>
    <row r="170" spans="1:2" x14ac:dyDescent="0.3">
      <c r="A170" s="56" t="s">
        <v>235</v>
      </c>
      <c r="B170" s="56" t="s">
        <v>1461</v>
      </c>
    </row>
    <row r="171" spans="1:2" x14ac:dyDescent="0.3">
      <c r="A171" s="56" t="s">
        <v>25</v>
      </c>
      <c r="B171" s="56" t="s">
        <v>1462</v>
      </c>
    </row>
    <row r="172" spans="1:2" x14ac:dyDescent="0.3">
      <c r="A172" s="56" t="s">
        <v>158</v>
      </c>
      <c r="B172" s="56" t="s">
        <v>1463</v>
      </c>
    </row>
    <row r="173" spans="1:2" x14ac:dyDescent="0.3">
      <c r="A173" s="56" t="s">
        <v>54</v>
      </c>
      <c r="B173" s="56" t="s">
        <v>1464</v>
      </c>
    </row>
    <row r="174" spans="1:2" x14ac:dyDescent="0.3">
      <c r="A174" s="56" t="s">
        <v>131</v>
      </c>
      <c r="B174" s="56" t="s">
        <v>1465</v>
      </c>
    </row>
    <row r="175" spans="1:2" x14ac:dyDescent="0.3">
      <c r="A175" s="56" t="s">
        <v>283</v>
      </c>
      <c r="B175" s="56" t="s">
        <v>1466</v>
      </c>
    </row>
    <row r="176" spans="1:2" x14ac:dyDescent="0.3">
      <c r="A176" s="56" t="s">
        <v>101</v>
      </c>
      <c r="B176" s="56" t="s">
        <v>1467</v>
      </c>
    </row>
    <row r="177" spans="1:2" x14ac:dyDescent="0.3">
      <c r="A177" s="56" t="s">
        <v>275</v>
      </c>
      <c r="B177" s="56" t="s">
        <v>1468</v>
      </c>
    </row>
    <row r="178" spans="1:2" x14ac:dyDescent="0.3">
      <c r="A178" s="56" t="s">
        <v>249</v>
      </c>
      <c r="B178" s="56" t="s">
        <v>1469</v>
      </c>
    </row>
    <row r="179" spans="1:2" x14ac:dyDescent="0.3">
      <c r="A179" s="56" t="s">
        <v>251</v>
      </c>
      <c r="B179" s="56" t="s">
        <v>1470</v>
      </c>
    </row>
    <row r="180" spans="1:2" x14ac:dyDescent="0.3">
      <c r="A180" s="56" t="s">
        <v>122</v>
      </c>
      <c r="B180" s="56" t="s">
        <v>1471</v>
      </c>
    </row>
    <row r="181" spans="1:2" x14ac:dyDescent="0.3">
      <c r="A181" s="56" t="s">
        <v>187</v>
      </c>
      <c r="B181" s="56" t="s">
        <v>1472</v>
      </c>
    </row>
    <row r="182" spans="1:2" x14ac:dyDescent="0.3">
      <c r="A182" s="56" t="s">
        <v>269</v>
      </c>
      <c r="B182" s="56" t="s">
        <v>1473</v>
      </c>
    </row>
    <row r="183" spans="1:2" x14ac:dyDescent="0.3">
      <c r="A183" s="56" t="s">
        <v>164</v>
      </c>
      <c r="B183" s="56" t="s">
        <v>1474</v>
      </c>
    </row>
    <row r="184" spans="1:2" x14ac:dyDescent="0.3">
      <c r="A184" s="56" t="s">
        <v>231</v>
      </c>
      <c r="B184" s="56" t="s">
        <v>1475</v>
      </c>
    </row>
    <row r="185" spans="1:2" x14ac:dyDescent="0.3">
      <c r="A185" s="56" t="s">
        <v>73</v>
      </c>
      <c r="B185" s="56" t="s">
        <v>1476</v>
      </c>
    </row>
    <row r="186" spans="1:2" x14ac:dyDescent="0.3">
      <c r="A186" s="56" t="s">
        <v>132</v>
      </c>
      <c r="B186" s="56" t="s">
        <v>1477</v>
      </c>
    </row>
    <row r="187" spans="1:2" x14ac:dyDescent="0.3">
      <c r="A187" s="56" t="s">
        <v>211</v>
      </c>
      <c r="B187" s="56" t="s">
        <v>1478</v>
      </c>
    </row>
    <row r="188" spans="1:2" x14ac:dyDescent="0.3">
      <c r="A188" s="56" t="s">
        <v>68</v>
      </c>
      <c r="B188" s="56" t="s">
        <v>1479</v>
      </c>
    </row>
    <row r="189" spans="1:2" x14ac:dyDescent="0.3">
      <c r="A189" s="56" t="s">
        <v>39</v>
      </c>
      <c r="B189" s="56" t="s">
        <v>1480</v>
      </c>
    </row>
    <row r="190" spans="1:2" x14ac:dyDescent="0.3">
      <c r="A190" s="56" t="s">
        <v>206</v>
      </c>
      <c r="B190" s="56" t="s">
        <v>1481</v>
      </c>
    </row>
    <row r="191" spans="1:2" x14ac:dyDescent="0.3">
      <c r="A191" s="56" t="s">
        <v>210</v>
      </c>
      <c r="B191" s="56" t="s">
        <v>1482</v>
      </c>
    </row>
    <row r="192" spans="1:2" x14ac:dyDescent="0.3">
      <c r="A192" s="56" t="s">
        <v>49</v>
      </c>
      <c r="B192" s="56" t="s">
        <v>1483</v>
      </c>
    </row>
    <row r="193" spans="1:2" x14ac:dyDescent="0.3">
      <c r="A193" s="56" t="s">
        <v>280</v>
      </c>
      <c r="B193" s="56" t="s">
        <v>1484</v>
      </c>
    </row>
    <row r="194" spans="1:2" x14ac:dyDescent="0.3">
      <c r="A194" s="56" t="s">
        <v>273</v>
      </c>
      <c r="B194" s="56" t="s">
        <v>1485</v>
      </c>
    </row>
    <row r="195" spans="1:2" x14ac:dyDescent="0.3">
      <c r="A195" s="56" t="s">
        <v>254</v>
      </c>
      <c r="B195" s="56" t="s">
        <v>1486</v>
      </c>
    </row>
    <row r="196" spans="1:2" x14ac:dyDescent="0.3">
      <c r="A196" s="56" t="s">
        <v>282</v>
      </c>
      <c r="B196" s="56" t="s">
        <v>1487</v>
      </c>
    </row>
    <row r="197" spans="1:2" x14ac:dyDescent="0.3">
      <c r="A197" s="56" t="s">
        <v>147</v>
      </c>
      <c r="B197" s="56" t="s">
        <v>1488</v>
      </c>
    </row>
    <row r="198" spans="1:2" x14ac:dyDescent="0.3">
      <c r="A198" s="56" t="s">
        <v>50</v>
      </c>
      <c r="B198" s="56" t="s">
        <v>1489</v>
      </c>
    </row>
    <row r="199" spans="1:2" x14ac:dyDescent="0.3">
      <c r="A199" s="56" t="s">
        <v>90</v>
      </c>
      <c r="B199" s="56" t="s">
        <v>1490</v>
      </c>
    </row>
    <row r="200" spans="1:2" x14ac:dyDescent="0.3">
      <c r="A200" s="56" t="s">
        <v>167</v>
      </c>
      <c r="B200" s="56" t="s">
        <v>1491</v>
      </c>
    </row>
    <row r="201" spans="1:2" x14ac:dyDescent="0.3">
      <c r="A201" s="56" t="s">
        <v>75</v>
      </c>
      <c r="B201" s="56" t="s">
        <v>1492</v>
      </c>
    </row>
    <row r="202" spans="1:2" x14ac:dyDescent="0.3">
      <c r="A202" s="56" t="s">
        <v>219</v>
      </c>
      <c r="B202" s="56" t="s">
        <v>1493</v>
      </c>
    </row>
    <row r="203" spans="1:2" x14ac:dyDescent="0.3">
      <c r="A203" s="56" t="s">
        <v>152</v>
      </c>
      <c r="B203" s="56" t="s">
        <v>1494</v>
      </c>
    </row>
    <row r="204" spans="1:2" x14ac:dyDescent="0.3">
      <c r="A204" s="56" t="s">
        <v>46</v>
      </c>
      <c r="B204" s="56" t="s">
        <v>1495</v>
      </c>
    </row>
    <row r="205" spans="1:2" x14ac:dyDescent="0.3">
      <c r="A205" s="56" t="s">
        <v>12</v>
      </c>
      <c r="B205" s="56" t="s">
        <v>1496</v>
      </c>
    </row>
    <row r="206" spans="1:2" x14ac:dyDescent="0.3">
      <c r="A206" s="56" t="s">
        <v>4</v>
      </c>
      <c r="B206" s="56" t="s">
        <v>1497</v>
      </c>
    </row>
    <row r="207" spans="1:2" x14ac:dyDescent="0.3">
      <c r="A207" s="56" t="s">
        <v>212</v>
      </c>
      <c r="B207" s="56" t="s">
        <v>1498</v>
      </c>
    </row>
    <row r="208" spans="1:2" x14ac:dyDescent="0.3">
      <c r="A208" s="56" t="s">
        <v>81</v>
      </c>
      <c r="B208" s="56" t="s">
        <v>1499</v>
      </c>
    </row>
    <row r="209" spans="1:2" x14ac:dyDescent="0.3">
      <c r="A209" s="56" t="s">
        <v>93</v>
      </c>
      <c r="B209" s="56" t="s">
        <v>1500</v>
      </c>
    </row>
    <row r="210" spans="1:2" x14ac:dyDescent="0.3">
      <c r="A210" s="56" t="s">
        <v>201</v>
      </c>
      <c r="B210" s="56" t="s">
        <v>1501</v>
      </c>
    </row>
    <row r="211" spans="1:2" x14ac:dyDescent="0.3">
      <c r="A211" s="56" t="s">
        <v>11</v>
      </c>
      <c r="B211" s="56" t="s">
        <v>1502</v>
      </c>
    </row>
    <row r="212" spans="1:2" x14ac:dyDescent="0.3">
      <c r="A212" s="56" t="s">
        <v>69</v>
      </c>
      <c r="B212" s="56" t="s">
        <v>1503</v>
      </c>
    </row>
    <row r="213" spans="1:2" x14ac:dyDescent="0.3">
      <c r="A213" s="56" t="s">
        <v>247</v>
      </c>
      <c r="B213" s="56" t="s">
        <v>1504</v>
      </c>
    </row>
    <row r="214" spans="1:2" x14ac:dyDescent="0.3">
      <c r="A214" s="56" t="s">
        <v>161</v>
      </c>
      <c r="B214" s="56" t="s">
        <v>1505</v>
      </c>
    </row>
    <row r="215" spans="1:2" x14ac:dyDescent="0.3">
      <c r="A215" s="56" t="s">
        <v>245</v>
      </c>
      <c r="B215" s="56" t="s">
        <v>1506</v>
      </c>
    </row>
    <row r="216" spans="1:2" x14ac:dyDescent="0.3">
      <c r="A216" s="56" t="s">
        <v>166</v>
      </c>
      <c r="B216" s="56" t="s">
        <v>1507</v>
      </c>
    </row>
    <row r="217" spans="1:2" x14ac:dyDescent="0.3">
      <c r="A217" s="56" t="s">
        <v>31</v>
      </c>
      <c r="B217" s="56" t="s">
        <v>1508</v>
      </c>
    </row>
    <row r="218" spans="1:2" x14ac:dyDescent="0.3">
      <c r="A218" s="56" t="s">
        <v>59</v>
      </c>
      <c r="B218" s="56" t="s">
        <v>1509</v>
      </c>
    </row>
    <row r="219" spans="1:2" x14ac:dyDescent="0.3">
      <c r="A219" s="56" t="s">
        <v>197</v>
      </c>
      <c r="B219" s="56" t="s">
        <v>1510</v>
      </c>
    </row>
    <row r="220" spans="1:2" x14ac:dyDescent="0.3">
      <c r="A220" s="56" t="s">
        <v>63</v>
      </c>
      <c r="B220" s="56" t="s">
        <v>1511</v>
      </c>
    </row>
    <row r="221" spans="1:2" x14ac:dyDescent="0.3">
      <c r="A221" s="56" t="s">
        <v>110</v>
      </c>
      <c r="B221" s="56" t="s">
        <v>1512</v>
      </c>
    </row>
    <row r="222" spans="1:2" x14ac:dyDescent="0.3">
      <c r="A222" s="56" t="s">
        <v>170</v>
      </c>
      <c r="B222" s="56" t="s">
        <v>1513</v>
      </c>
    </row>
    <row r="223" spans="1:2" x14ac:dyDescent="0.3">
      <c r="A223" s="56" t="s">
        <v>225</v>
      </c>
      <c r="B223" s="56" t="s">
        <v>1514</v>
      </c>
    </row>
    <row r="224" spans="1:2" x14ac:dyDescent="0.3">
      <c r="A224" s="56" t="s">
        <v>21</v>
      </c>
      <c r="B224" s="56" t="s">
        <v>1515</v>
      </c>
    </row>
    <row r="225" spans="1:2" x14ac:dyDescent="0.3">
      <c r="A225" s="56" t="s">
        <v>276</v>
      </c>
      <c r="B225" s="56" t="s">
        <v>1516</v>
      </c>
    </row>
    <row r="226" spans="1:2" x14ac:dyDescent="0.3">
      <c r="A226" s="56" t="s">
        <v>183</v>
      </c>
      <c r="B226" s="56" t="s">
        <v>1517</v>
      </c>
    </row>
    <row r="227" spans="1:2" x14ac:dyDescent="0.3">
      <c r="A227" s="56" t="s">
        <v>98</v>
      </c>
      <c r="B227" s="56" t="s">
        <v>1518</v>
      </c>
    </row>
    <row r="228" spans="1:2" x14ac:dyDescent="0.3">
      <c r="A228" s="56" t="s">
        <v>237</v>
      </c>
      <c r="B228" s="56" t="s">
        <v>1519</v>
      </c>
    </row>
    <row r="229" spans="1:2" x14ac:dyDescent="0.3">
      <c r="A229" s="56" t="s">
        <v>207</v>
      </c>
      <c r="B229" s="56" t="s">
        <v>1520</v>
      </c>
    </row>
    <row r="230" spans="1:2" x14ac:dyDescent="0.3">
      <c r="A230" s="56" t="s">
        <v>45</v>
      </c>
      <c r="B230" s="56" t="s">
        <v>1521</v>
      </c>
    </row>
    <row r="231" spans="1:2" x14ac:dyDescent="0.3">
      <c r="A231" s="56" t="s">
        <v>266</v>
      </c>
      <c r="B231" s="56" t="s">
        <v>1482</v>
      </c>
    </row>
    <row r="232" spans="1:2" x14ac:dyDescent="0.3">
      <c r="A232" s="56" t="s">
        <v>153</v>
      </c>
      <c r="B232" s="56" t="s">
        <v>1522</v>
      </c>
    </row>
    <row r="233" spans="1:2" x14ac:dyDescent="0.3">
      <c r="A233" s="56" t="s">
        <v>175</v>
      </c>
      <c r="B233" s="56" t="s">
        <v>1523</v>
      </c>
    </row>
    <row r="234" spans="1:2" x14ac:dyDescent="0.3">
      <c r="A234" s="56" t="s">
        <v>85</v>
      </c>
      <c r="B234" s="56" t="s">
        <v>1524</v>
      </c>
    </row>
    <row r="235" spans="1:2" x14ac:dyDescent="0.3">
      <c r="A235" s="56" t="s">
        <v>150</v>
      </c>
      <c r="B235" s="56" t="s">
        <v>1525</v>
      </c>
    </row>
    <row r="236" spans="1:2" x14ac:dyDescent="0.3">
      <c r="A236" s="56" t="s">
        <v>258</v>
      </c>
      <c r="B236" s="56" t="s">
        <v>1526</v>
      </c>
    </row>
    <row r="237" spans="1:2" x14ac:dyDescent="0.3">
      <c r="A237" s="56" t="s">
        <v>28</v>
      </c>
      <c r="B237" s="56" t="s">
        <v>1527</v>
      </c>
    </row>
    <row r="238" spans="1:2" x14ac:dyDescent="0.3">
      <c r="A238" s="56" t="s">
        <v>162</v>
      </c>
      <c r="B238" s="56" t="s">
        <v>1528</v>
      </c>
    </row>
    <row r="239" spans="1:2" x14ac:dyDescent="0.3">
      <c r="A239" s="56" t="s">
        <v>192</v>
      </c>
      <c r="B239" s="56" t="s">
        <v>1351</v>
      </c>
    </row>
    <row r="240" spans="1:2" x14ac:dyDescent="0.3">
      <c r="A240" s="56" t="s">
        <v>99</v>
      </c>
      <c r="B240" s="56" t="s">
        <v>1529</v>
      </c>
    </row>
    <row r="241" spans="1:2" x14ac:dyDescent="0.3">
      <c r="A241" s="56" t="s">
        <v>182</v>
      </c>
      <c r="B241" s="56" t="s">
        <v>1530</v>
      </c>
    </row>
    <row r="242" spans="1:2" x14ac:dyDescent="0.3">
      <c r="A242" s="56" t="s">
        <v>5</v>
      </c>
      <c r="B242" s="56" t="s">
        <v>1531</v>
      </c>
    </row>
    <row r="243" spans="1:2" x14ac:dyDescent="0.3">
      <c r="A243" s="56" t="s">
        <v>74</v>
      </c>
      <c r="B243" s="56" t="s">
        <v>1307</v>
      </c>
    </row>
    <row r="244" spans="1:2" x14ac:dyDescent="0.3">
      <c r="A244" s="56" t="s">
        <v>117</v>
      </c>
      <c r="B244" s="56" t="s">
        <v>1532</v>
      </c>
    </row>
    <row r="245" spans="1:2" x14ac:dyDescent="0.3">
      <c r="A245" s="56" t="s">
        <v>52</v>
      </c>
      <c r="B245" s="56" t="s">
        <v>1533</v>
      </c>
    </row>
    <row r="246" spans="1:2" x14ac:dyDescent="0.3">
      <c r="A246" s="56" t="s">
        <v>250</v>
      </c>
      <c r="B246" s="56" t="s">
        <v>1534</v>
      </c>
    </row>
    <row r="247" spans="1:2" x14ac:dyDescent="0.3">
      <c r="A247" s="56" t="s">
        <v>64</v>
      </c>
      <c r="B247" s="56" t="s">
        <v>1535</v>
      </c>
    </row>
    <row r="248" spans="1:2" x14ac:dyDescent="0.3">
      <c r="A248" s="56" t="s">
        <v>34</v>
      </c>
      <c r="B248" s="56" t="s">
        <v>1536</v>
      </c>
    </row>
    <row r="249" spans="1:2" x14ac:dyDescent="0.3">
      <c r="A249" s="56" t="s">
        <v>198</v>
      </c>
      <c r="B249" s="56" t="s">
        <v>1537</v>
      </c>
    </row>
    <row r="250" spans="1:2" x14ac:dyDescent="0.3">
      <c r="A250" s="56" t="s">
        <v>232</v>
      </c>
      <c r="B250" s="56" t="s">
        <v>1538</v>
      </c>
    </row>
    <row r="251" spans="1:2" x14ac:dyDescent="0.3">
      <c r="A251" s="56" t="s">
        <v>40</v>
      </c>
      <c r="B251" s="56" t="s">
        <v>1539</v>
      </c>
    </row>
    <row r="252" spans="1:2" x14ac:dyDescent="0.3">
      <c r="A252" s="56" t="s">
        <v>133</v>
      </c>
      <c r="B252" s="56" t="s">
        <v>1540</v>
      </c>
    </row>
    <row r="253" spans="1:2" x14ac:dyDescent="0.3">
      <c r="A253" s="56" t="s">
        <v>92</v>
      </c>
      <c r="B253" s="56" t="s">
        <v>1541</v>
      </c>
    </row>
    <row r="254" spans="1:2" x14ac:dyDescent="0.3">
      <c r="A254" s="56" t="s">
        <v>17</v>
      </c>
      <c r="B254" s="56" t="s">
        <v>1542</v>
      </c>
    </row>
    <row r="255" spans="1:2" x14ac:dyDescent="0.3">
      <c r="A255" s="56" t="s">
        <v>227</v>
      </c>
      <c r="B255" s="56" t="s">
        <v>1543</v>
      </c>
    </row>
    <row r="256" spans="1:2" x14ac:dyDescent="0.3">
      <c r="A256" s="56" t="s">
        <v>141</v>
      </c>
      <c r="B256" s="56" t="s">
        <v>1544</v>
      </c>
    </row>
    <row r="257" spans="1:2" x14ac:dyDescent="0.3">
      <c r="A257" s="56" t="s">
        <v>246</v>
      </c>
      <c r="B257" s="56" t="s">
        <v>1321</v>
      </c>
    </row>
    <row r="258" spans="1:2" x14ac:dyDescent="0.3">
      <c r="A258" s="56" t="s">
        <v>178</v>
      </c>
      <c r="B258" s="56" t="s">
        <v>1545</v>
      </c>
    </row>
    <row r="259" spans="1:2" x14ac:dyDescent="0.3">
      <c r="A259" s="56" t="s">
        <v>130</v>
      </c>
      <c r="B259" s="56" t="s">
        <v>1546</v>
      </c>
    </row>
    <row r="260" spans="1:2" x14ac:dyDescent="0.3">
      <c r="A260" s="56" t="s">
        <v>116</v>
      </c>
      <c r="B260" s="56" t="s">
        <v>1547</v>
      </c>
    </row>
    <row r="261" spans="1:2" x14ac:dyDescent="0.3">
      <c r="A261" s="56" t="s">
        <v>176</v>
      </c>
      <c r="B261" s="56" t="s">
        <v>1548</v>
      </c>
    </row>
    <row r="262" spans="1:2" x14ac:dyDescent="0.3">
      <c r="A262" s="56" t="s">
        <v>121</v>
      </c>
      <c r="B262" s="56" t="s">
        <v>1549</v>
      </c>
    </row>
    <row r="263" spans="1:2" x14ac:dyDescent="0.3">
      <c r="A263" s="56" t="s">
        <v>55</v>
      </c>
      <c r="B263" s="56" t="s">
        <v>1514</v>
      </c>
    </row>
    <row r="264" spans="1:2" x14ac:dyDescent="0.3">
      <c r="A264" s="56" t="s">
        <v>123</v>
      </c>
      <c r="B264" s="56" t="s">
        <v>1550</v>
      </c>
    </row>
    <row r="265" spans="1:2" x14ac:dyDescent="0.3">
      <c r="A265" s="56" t="s">
        <v>168</v>
      </c>
      <c r="B265" s="56" t="s">
        <v>1551</v>
      </c>
    </row>
    <row r="266" spans="1:2" x14ac:dyDescent="0.3">
      <c r="A266" s="56" t="s">
        <v>171</v>
      </c>
      <c r="B266" s="56" t="s">
        <v>1552</v>
      </c>
    </row>
    <row r="267" spans="1:2" x14ac:dyDescent="0.3">
      <c r="A267" s="56" t="s">
        <v>271</v>
      </c>
      <c r="B267" s="56" t="s">
        <v>1518</v>
      </c>
    </row>
    <row r="268" spans="1:2" x14ac:dyDescent="0.3">
      <c r="A268" s="56" t="s">
        <v>97</v>
      </c>
      <c r="B268" s="56" t="s">
        <v>1553</v>
      </c>
    </row>
    <row r="269" spans="1:2" x14ac:dyDescent="0.3">
      <c r="A269" s="56" t="s">
        <v>281</v>
      </c>
      <c r="B269" s="56" t="s">
        <v>1554</v>
      </c>
    </row>
    <row r="270" spans="1:2" x14ac:dyDescent="0.3">
      <c r="A270" s="56" t="s">
        <v>8</v>
      </c>
      <c r="B270" s="56" t="s">
        <v>1555</v>
      </c>
    </row>
    <row r="271" spans="1:2" x14ac:dyDescent="0.3">
      <c r="A271" s="56" t="s">
        <v>19</v>
      </c>
      <c r="B271" s="56" t="s">
        <v>1556</v>
      </c>
    </row>
    <row r="272" spans="1:2" x14ac:dyDescent="0.3">
      <c r="A272" s="56" t="s">
        <v>200</v>
      </c>
      <c r="B272" s="56" t="s">
        <v>1431</v>
      </c>
    </row>
    <row r="273" spans="1:2" x14ac:dyDescent="0.3">
      <c r="A273" s="56" t="s">
        <v>234</v>
      </c>
      <c r="B273" s="56" t="s">
        <v>1557</v>
      </c>
    </row>
    <row r="274" spans="1:2" x14ac:dyDescent="0.3">
      <c r="A274" s="56" t="s">
        <v>109</v>
      </c>
      <c r="B274" s="56" t="s">
        <v>1558</v>
      </c>
    </row>
    <row r="275" spans="1:2" x14ac:dyDescent="0.3">
      <c r="A275" s="56" t="s">
        <v>1590</v>
      </c>
      <c r="B275" s="56" t="s">
        <v>1387</v>
      </c>
    </row>
    <row r="276" spans="1:2" x14ac:dyDescent="0.3">
      <c r="A276" s="56" t="s">
        <v>242</v>
      </c>
      <c r="B276" s="56" t="s">
        <v>1559</v>
      </c>
    </row>
    <row r="277" spans="1:2" x14ac:dyDescent="0.3">
      <c r="A277" s="56" t="s">
        <v>20</v>
      </c>
      <c r="B277" s="56" t="s">
        <v>1560</v>
      </c>
    </row>
    <row r="278" spans="1:2" x14ac:dyDescent="0.3">
      <c r="A278" s="56" t="s">
        <v>3</v>
      </c>
      <c r="B278" s="56" t="s">
        <v>1561</v>
      </c>
    </row>
    <row r="279" spans="1:2" x14ac:dyDescent="0.3">
      <c r="A279" s="56" t="s">
        <v>186</v>
      </c>
      <c r="B279" s="56" t="s">
        <v>1562</v>
      </c>
    </row>
    <row r="280" spans="1:2" x14ac:dyDescent="0.3">
      <c r="A280" s="56" t="s">
        <v>23</v>
      </c>
      <c r="B280" s="56" t="s">
        <v>1563</v>
      </c>
    </row>
    <row r="281" spans="1:2" x14ac:dyDescent="0.3">
      <c r="A281" s="56" t="s">
        <v>105</v>
      </c>
      <c r="B281" s="56" t="s">
        <v>1564</v>
      </c>
    </row>
    <row r="282" spans="1:2" x14ac:dyDescent="0.3">
      <c r="A282" s="56" t="s">
        <v>278</v>
      </c>
      <c r="B282" s="56" t="s">
        <v>1358</v>
      </c>
    </row>
    <row r="283" spans="1:2" x14ac:dyDescent="0.3">
      <c r="A283" s="56" t="s">
        <v>149</v>
      </c>
      <c r="B283" s="56" t="s">
        <v>1565</v>
      </c>
    </row>
    <row r="284" spans="1:2" x14ac:dyDescent="0.3">
      <c r="A284" s="56" t="s">
        <v>240</v>
      </c>
      <c r="B284" s="56" t="s">
        <v>1461</v>
      </c>
    </row>
    <row r="285" spans="1:2" x14ac:dyDescent="0.3">
      <c r="A285" s="56" t="s">
        <v>36</v>
      </c>
      <c r="B285" s="56" t="s">
        <v>1566</v>
      </c>
    </row>
    <row r="286" spans="1:2" x14ac:dyDescent="0.3">
      <c r="A286" s="56" t="s">
        <v>220</v>
      </c>
      <c r="B286" s="56" t="s">
        <v>1567</v>
      </c>
    </row>
    <row r="287" spans="1:2" x14ac:dyDescent="0.3">
      <c r="A287" s="56" t="s">
        <v>146</v>
      </c>
      <c r="B287" s="56" t="s">
        <v>1568</v>
      </c>
    </row>
    <row r="288" spans="1:2" x14ac:dyDescent="0.3">
      <c r="A288" s="56" t="s">
        <v>60</v>
      </c>
      <c r="B288" s="56" t="s">
        <v>1569</v>
      </c>
    </row>
    <row r="289" spans="1:2" x14ac:dyDescent="0.3">
      <c r="A289" s="56" t="s">
        <v>253</v>
      </c>
      <c r="B289" s="56" t="s">
        <v>1570</v>
      </c>
    </row>
    <row r="290" spans="1:2" x14ac:dyDescent="0.3">
      <c r="A290" s="56" t="s">
        <v>120</v>
      </c>
      <c r="B290" s="56" t="s">
        <v>1571</v>
      </c>
    </row>
    <row r="291" spans="1:2" x14ac:dyDescent="0.3">
      <c r="A291" s="56" t="s">
        <v>257</v>
      </c>
      <c r="B291" s="56" t="s">
        <v>1572</v>
      </c>
    </row>
    <row r="292" spans="1:2" x14ac:dyDescent="0.3">
      <c r="A292" s="56" t="s">
        <v>239</v>
      </c>
      <c r="B292" s="56" t="s">
        <v>1573</v>
      </c>
    </row>
    <row r="293" spans="1:2" x14ac:dyDescent="0.3">
      <c r="A293" s="56" t="s">
        <v>185</v>
      </c>
      <c r="B293" s="56" t="s">
        <v>1574</v>
      </c>
    </row>
    <row r="294" spans="1:2" x14ac:dyDescent="0.3">
      <c r="A294" s="56" t="s">
        <v>287</v>
      </c>
      <c r="B294" s="56" t="s">
        <v>1575</v>
      </c>
    </row>
    <row r="295" spans="1:2" x14ac:dyDescent="0.3">
      <c r="A295" s="56" t="s">
        <v>224</v>
      </c>
      <c r="B295" s="56" t="s">
        <v>1576</v>
      </c>
    </row>
    <row r="296" spans="1:2" x14ac:dyDescent="0.3">
      <c r="A296" s="56" t="s">
        <v>1591</v>
      </c>
      <c r="B296" s="56" t="s">
        <v>1577</v>
      </c>
    </row>
    <row r="297" spans="1:2" x14ac:dyDescent="0.3">
      <c r="A297" s="56" t="s">
        <v>114</v>
      </c>
      <c r="B297" s="56" t="s">
        <v>1578</v>
      </c>
    </row>
    <row r="298" spans="1:2" x14ac:dyDescent="0.3">
      <c r="A298" s="56" t="s">
        <v>208</v>
      </c>
      <c r="B298" s="56" t="s">
        <v>1579</v>
      </c>
    </row>
    <row r="299" spans="1:2" x14ac:dyDescent="0.3">
      <c r="A299" s="56" t="s">
        <v>1592</v>
      </c>
      <c r="B299" s="56" t="s">
        <v>1580</v>
      </c>
    </row>
    <row r="300" spans="1:2" x14ac:dyDescent="0.3">
      <c r="A300" s="56" t="s">
        <v>82</v>
      </c>
      <c r="B300" s="56" t="s">
        <v>1581</v>
      </c>
    </row>
    <row r="301" spans="1:2" x14ac:dyDescent="0.3">
      <c r="A301" s="56" t="s">
        <v>274</v>
      </c>
      <c r="B301" s="56" t="s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0244-082E-4C21-AC0A-40319771F6B4}">
  <dimension ref="A1:Y95"/>
  <sheetViews>
    <sheetView zoomScaleNormal="100" workbookViewId="0">
      <selection activeCell="A3" sqref="A3"/>
    </sheetView>
  </sheetViews>
  <sheetFormatPr baseColWidth="10" defaultRowHeight="14.4" x14ac:dyDescent="0.3"/>
  <cols>
    <col min="1" max="1" width="24.33203125" customWidth="1"/>
    <col min="2" max="2" width="19.77734375" customWidth="1"/>
    <col min="3" max="3" width="18.6640625" customWidth="1"/>
    <col min="4" max="4" width="26.33203125" customWidth="1"/>
    <col min="5" max="5" width="26.21875" customWidth="1"/>
    <col min="6" max="6" width="28" customWidth="1"/>
    <col min="7" max="7" width="23.77734375" customWidth="1"/>
    <col min="8" max="8" width="20.5546875" customWidth="1"/>
    <col min="9" max="9" width="26" bestFit="1" customWidth="1"/>
    <col min="10" max="10" width="21.5546875" bestFit="1" customWidth="1"/>
    <col min="11" max="11" width="18.88671875" bestFit="1" customWidth="1"/>
    <col min="12" max="12" width="15.33203125" bestFit="1" customWidth="1"/>
    <col min="13" max="13" width="15.6640625" customWidth="1"/>
    <col min="14" max="14" width="21.77734375" customWidth="1"/>
    <col min="15" max="15" width="18.21875" customWidth="1"/>
    <col min="16" max="16" width="13.6640625" customWidth="1"/>
    <col min="17" max="17" width="13.88671875" customWidth="1"/>
    <col min="18" max="18" width="13.44140625" customWidth="1"/>
    <col min="19" max="19" width="12.5546875" customWidth="1"/>
    <col min="21" max="21" width="18.21875" customWidth="1"/>
    <col min="22" max="22" width="16.33203125" customWidth="1"/>
    <col min="23" max="23" width="15.33203125" customWidth="1"/>
    <col min="25" max="25" width="22" customWidth="1"/>
    <col min="26" max="27" width="20.88671875" customWidth="1"/>
    <col min="29" max="29" width="15.21875" customWidth="1"/>
    <col min="30" max="30" width="24.6640625" customWidth="1"/>
    <col min="31" max="31" width="18.21875" customWidth="1"/>
    <col min="33" max="33" width="12.6640625" customWidth="1"/>
    <col min="34" max="34" width="20.44140625" customWidth="1"/>
    <col min="35" max="36" width="18" customWidth="1"/>
    <col min="37" max="37" width="26.109375" customWidth="1"/>
    <col min="39" max="39" width="28.21875" customWidth="1"/>
    <col min="40" max="40" width="32.21875" customWidth="1"/>
    <col min="41" max="41" width="17" customWidth="1"/>
    <col min="42" max="42" width="14.5546875" customWidth="1"/>
    <col min="43" max="43" width="19.21875" customWidth="1"/>
    <col min="45" max="45" width="16.33203125" customWidth="1"/>
    <col min="46" max="46" width="26.44140625" customWidth="1"/>
    <col min="47" max="47" width="28.21875" customWidth="1"/>
    <col min="48" max="48" width="17.5546875" customWidth="1"/>
    <col min="49" max="49" width="18.77734375" customWidth="1"/>
  </cols>
  <sheetData>
    <row r="1" spans="1:25" x14ac:dyDescent="0.3">
      <c r="A1" s="33" t="s">
        <v>1593</v>
      </c>
      <c r="B1" s="34" t="s">
        <v>1594</v>
      </c>
      <c r="C1" s="34" t="s">
        <v>1617</v>
      </c>
      <c r="D1" s="33" t="s">
        <v>1617</v>
      </c>
      <c r="E1" s="33" t="s">
        <v>1962</v>
      </c>
      <c r="F1" s="15"/>
      <c r="G1" s="15"/>
      <c r="H1" s="15"/>
      <c r="I1" s="15"/>
      <c r="J1" s="33" t="s">
        <v>1594</v>
      </c>
      <c r="K1" s="33" t="s">
        <v>1613</v>
      </c>
      <c r="L1" s="33" t="s">
        <v>1614</v>
      </c>
      <c r="M1" s="15"/>
      <c r="N1" s="33" t="s">
        <v>1972</v>
      </c>
      <c r="O1" s="33" t="s">
        <v>1613</v>
      </c>
      <c r="P1" s="33" t="s">
        <v>1614</v>
      </c>
      <c r="Q1" s="15"/>
      <c r="R1" s="15"/>
    </row>
    <row r="2" spans="1:25" ht="14.4" customHeight="1" x14ac:dyDescent="0.3">
      <c r="A2" s="31" t="s">
        <v>1595</v>
      </c>
      <c r="B2" s="32" t="s">
        <v>1599</v>
      </c>
      <c r="C2" s="30" t="s">
        <v>1609</v>
      </c>
      <c r="D2" s="32" t="s">
        <v>1623</v>
      </c>
      <c r="E2" s="30" t="s">
        <v>1618</v>
      </c>
      <c r="F2" s="15"/>
      <c r="G2" s="15"/>
      <c r="H2" s="15"/>
      <c r="I2" s="15"/>
      <c r="J2" s="30" t="s">
        <v>1599</v>
      </c>
      <c r="K2" s="41">
        <v>0.25</v>
      </c>
      <c r="L2" s="45">
        <v>0</v>
      </c>
      <c r="M2" s="15"/>
      <c r="N2" s="25" t="s">
        <v>1628</v>
      </c>
      <c r="O2" s="41">
        <v>0.45</v>
      </c>
      <c r="P2" s="25">
        <v>0</v>
      </c>
      <c r="Q2" s="15"/>
      <c r="R2" s="15"/>
    </row>
    <row r="3" spans="1:25" x14ac:dyDescent="0.3">
      <c r="A3" s="31" t="s">
        <v>1596</v>
      </c>
      <c r="B3" s="32" t="s">
        <v>1600</v>
      </c>
      <c r="C3" s="30" t="s">
        <v>1610</v>
      </c>
      <c r="D3" s="32" t="s">
        <v>1624</v>
      </c>
      <c r="E3" s="30" t="s">
        <v>1619</v>
      </c>
      <c r="F3" s="15"/>
      <c r="G3" s="15"/>
      <c r="H3" s="15"/>
      <c r="I3" s="15"/>
      <c r="J3" s="30" t="s">
        <v>1600</v>
      </c>
      <c r="K3" s="41">
        <v>0.15</v>
      </c>
      <c r="L3" s="45">
        <v>0.25</v>
      </c>
      <c r="M3" s="15"/>
      <c r="N3" s="25" t="s">
        <v>1629</v>
      </c>
      <c r="O3" s="41">
        <v>0.2</v>
      </c>
      <c r="P3" s="25">
        <v>0.45</v>
      </c>
      <c r="Q3" s="15"/>
      <c r="R3" s="15"/>
    </row>
    <row r="4" spans="1:25" x14ac:dyDescent="0.3">
      <c r="A4" s="31" t="s">
        <v>1597</v>
      </c>
      <c r="B4" s="32" t="s">
        <v>1601</v>
      </c>
      <c r="C4" s="30" t="s">
        <v>1611</v>
      </c>
      <c r="D4" s="32" t="s">
        <v>1625</v>
      </c>
      <c r="E4" s="30" t="s">
        <v>1620</v>
      </c>
      <c r="F4" s="15"/>
      <c r="G4" s="15"/>
      <c r="H4" s="15"/>
      <c r="I4" s="15"/>
      <c r="J4" s="30" t="s">
        <v>1601</v>
      </c>
      <c r="K4" s="41">
        <v>0.12</v>
      </c>
      <c r="L4" s="45">
        <v>0.4</v>
      </c>
      <c r="M4" s="15"/>
      <c r="N4" s="25" t="s">
        <v>1630</v>
      </c>
      <c r="O4" s="41">
        <v>0.15</v>
      </c>
      <c r="P4" s="25">
        <v>0.65</v>
      </c>
      <c r="Q4" s="15"/>
      <c r="R4" s="15"/>
    </row>
    <row r="5" spans="1:25" x14ac:dyDescent="0.3">
      <c r="A5" s="32" t="s">
        <v>1598</v>
      </c>
      <c r="B5" s="32" t="s">
        <v>1602</v>
      </c>
      <c r="C5" s="30" t="s">
        <v>1612</v>
      </c>
      <c r="D5" s="32" t="s">
        <v>1626</v>
      </c>
      <c r="E5" s="30" t="s">
        <v>1621</v>
      </c>
      <c r="F5" s="15"/>
      <c r="G5" s="15"/>
      <c r="H5" s="15"/>
      <c r="I5" s="15"/>
      <c r="J5" s="30" t="s">
        <v>1602</v>
      </c>
      <c r="K5" s="41">
        <v>0.1</v>
      </c>
      <c r="L5" s="45">
        <v>0.52</v>
      </c>
      <c r="M5" s="15"/>
      <c r="N5" s="25" t="s">
        <v>1631</v>
      </c>
      <c r="O5" s="41">
        <v>0.08</v>
      </c>
      <c r="P5" s="25">
        <v>0.8</v>
      </c>
      <c r="Q5" s="15"/>
      <c r="R5" s="15"/>
    </row>
    <row r="6" spans="1:25" x14ac:dyDescent="0.3">
      <c r="B6" s="32" t="s">
        <v>1603</v>
      </c>
      <c r="C6" s="26"/>
      <c r="D6" s="26"/>
      <c r="E6" s="26"/>
      <c r="F6" s="15"/>
      <c r="G6" s="15"/>
      <c r="H6" s="15"/>
      <c r="I6" s="15"/>
      <c r="J6" s="30" t="s">
        <v>1603</v>
      </c>
      <c r="K6" s="41">
        <v>0.09</v>
      </c>
      <c r="L6" s="45">
        <v>0.62</v>
      </c>
      <c r="M6" s="15"/>
      <c r="N6" s="25" t="s">
        <v>1632</v>
      </c>
      <c r="O6" s="41">
        <v>0.12</v>
      </c>
      <c r="P6" s="25">
        <v>0.88</v>
      </c>
      <c r="Q6" s="15"/>
      <c r="R6" s="15"/>
    </row>
    <row r="7" spans="1:25" x14ac:dyDescent="0.3">
      <c r="B7" s="32" t="s">
        <v>1604</v>
      </c>
      <c r="C7" s="26"/>
      <c r="D7" s="26"/>
      <c r="E7" s="26"/>
      <c r="F7" s="15"/>
      <c r="G7" s="15"/>
      <c r="H7" s="15"/>
      <c r="I7" s="15"/>
      <c r="J7" s="30" t="s">
        <v>1604</v>
      </c>
      <c r="K7" s="41">
        <v>7.0000000000000007E-2</v>
      </c>
      <c r="L7" s="45">
        <v>0.71</v>
      </c>
      <c r="M7" s="15"/>
      <c r="N7" s="19" t="s">
        <v>1954</v>
      </c>
      <c r="O7" s="17">
        <v>1</v>
      </c>
      <c r="P7" s="19">
        <v>1</v>
      </c>
      <c r="Q7" s="15"/>
      <c r="R7" s="15"/>
    </row>
    <row r="8" spans="1:25" x14ac:dyDescent="0.3">
      <c r="B8" s="32" t="s">
        <v>1605</v>
      </c>
      <c r="C8" s="26"/>
      <c r="D8" s="26"/>
      <c r="F8" s="15"/>
      <c r="G8" s="15"/>
      <c r="H8" s="15"/>
      <c r="I8" s="15"/>
      <c r="J8" s="30" t="s">
        <v>1605</v>
      </c>
      <c r="K8" s="41">
        <v>0.06</v>
      </c>
      <c r="L8" s="45">
        <v>0.78</v>
      </c>
      <c r="M8" s="15"/>
      <c r="N8" s="15"/>
      <c r="O8" s="15"/>
      <c r="P8" s="15"/>
      <c r="Q8" s="15"/>
      <c r="R8" s="15"/>
    </row>
    <row r="9" spans="1:25" x14ac:dyDescent="0.3">
      <c r="B9" s="32" t="s">
        <v>1606</v>
      </c>
      <c r="C9" s="26"/>
      <c r="D9" s="26"/>
      <c r="F9" s="15"/>
      <c r="G9" s="15"/>
      <c r="H9" s="15"/>
      <c r="I9" s="15"/>
      <c r="J9" s="30" t="s">
        <v>1606</v>
      </c>
      <c r="K9" s="41">
        <v>0.06</v>
      </c>
      <c r="L9" s="45">
        <v>0.84</v>
      </c>
      <c r="M9" s="15"/>
      <c r="N9" s="15"/>
      <c r="O9" s="15"/>
      <c r="P9" s="15"/>
      <c r="Q9" s="15"/>
      <c r="R9" s="15"/>
    </row>
    <row r="10" spans="1:25" x14ac:dyDescent="0.3">
      <c r="B10" s="32" t="s">
        <v>1607</v>
      </c>
      <c r="C10" s="26"/>
      <c r="D10" s="26"/>
      <c r="F10" s="15"/>
      <c r="G10" s="15"/>
      <c r="H10" s="15"/>
      <c r="I10" s="15"/>
      <c r="J10" s="30" t="s">
        <v>1607</v>
      </c>
      <c r="K10" s="41">
        <v>0.05</v>
      </c>
      <c r="L10" s="45">
        <v>0.9</v>
      </c>
      <c r="M10" s="15"/>
      <c r="N10" s="15"/>
      <c r="O10" s="15"/>
      <c r="P10" s="15"/>
      <c r="Q10" s="15"/>
      <c r="R10" s="15"/>
    </row>
    <row r="11" spans="1:25" x14ac:dyDescent="0.3">
      <c r="B11" s="32" t="s">
        <v>1608</v>
      </c>
      <c r="C11" s="26"/>
      <c r="D11" s="26"/>
      <c r="F11" s="15"/>
      <c r="G11" s="15"/>
      <c r="H11" s="15"/>
      <c r="I11" s="15"/>
      <c r="J11" s="30" t="s">
        <v>1608</v>
      </c>
      <c r="K11" s="41">
        <v>0.05</v>
      </c>
      <c r="L11" s="45">
        <v>0.95</v>
      </c>
      <c r="M11" s="15"/>
      <c r="N11" s="15"/>
      <c r="O11" s="15"/>
      <c r="P11" s="15"/>
      <c r="Q11" s="15"/>
      <c r="R11" s="15"/>
      <c r="Y11" s="5"/>
    </row>
    <row r="12" spans="1:25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9" t="s">
        <v>1954</v>
      </c>
      <c r="K12" s="17">
        <v>1</v>
      </c>
      <c r="L12" s="18">
        <v>1</v>
      </c>
      <c r="M12" s="15"/>
      <c r="N12" s="15"/>
      <c r="O12" s="15"/>
      <c r="P12" s="15"/>
      <c r="Q12" s="15"/>
      <c r="R12" s="15"/>
      <c r="Y12" s="6"/>
    </row>
    <row r="13" spans="1:25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Y13" s="6"/>
    </row>
    <row r="14" spans="1:25" x14ac:dyDescent="0.3">
      <c r="A14" s="33" t="s">
        <v>1593</v>
      </c>
      <c r="B14" s="35" t="s">
        <v>1995</v>
      </c>
      <c r="C14" s="35" t="s">
        <v>1996</v>
      </c>
      <c r="D14" s="36" t="s">
        <v>1997</v>
      </c>
      <c r="E14" s="36" t="s">
        <v>1998</v>
      </c>
      <c r="F14" s="36" t="s">
        <v>1999</v>
      </c>
      <c r="G14" s="35" t="s">
        <v>2008</v>
      </c>
      <c r="H14" s="35" t="s">
        <v>2009</v>
      </c>
      <c r="I14" s="15"/>
      <c r="J14" s="15"/>
      <c r="K14" s="15"/>
      <c r="L14" s="15"/>
      <c r="M14" s="15"/>
      <c r="N14" s="27" t="s">
        <v>1933</v>
      </c>
      <c r="O14" s="27" t="s">
        <v>1613</v>
      </c>
      <c r="P14" s="27" t="s">
        <v>1614</v>
      </c>
      <c r="Q14" s="27" t="s">
        <v>1970</v>
      </c>
      <c r="R14" s="27" t="s">
        <v>1971</v>
      </c>
      <c r="Y14" s="6"/>
    </row>
    <row r="15" spans="1:25" x14ac:dyDescent="0.3">
      <c r="A15" s="29" t="s">
        <v>1595</v>
      </c>
      <c r="B15" s="24" t="s">
        <v>1950</v>
      </c>
      <c r="C15" s="28" t="s">
        <v>1950</v>
      </c>
      <c r="D15" s="24" t="s">
        <v>1950</v>
      </c>
      <c r="E15" s="28" t="s">
        <v>1950</v>
      </c>
      <c r="F15" s="24" t="s">
        <v>1950</v>
      </c>
      <c r="G15" s="94">
        <v>0</v>
      </c>
      <c r="H15" s="24">
        <v>0.6</v>
      </c>
      <c r="I15" s="15"/>
      <c r="J15" s="15"/>
      <c r="K15" s="15"/>
      <c r="L15" s="15"/>
      <c r="M15" s="15"/>
      <c r="N15" s="30" t="s">
        <v>1935</v>
      </c>
      <c r="O15" s="42">
        <v>0.5</v>
      </c>
      <c r="P15" s="43">
        <v>0</v>
      </c>
      <c r="Q15" s="44">
        <v>0.01</v>
      </c>
      <c r="R15" s="7">
        <v>0.15</v>
      </c>
      <c r="Y15" s="6"/>
    </row>
    <row r="16" spans="1:25" x14ac:dyDescent="0.3">
      <c r="A16" s="29" t="s">
        <v>1596</v>
      </c>
      <c r="B16" s="24" t="s">
        <v>1950</v>
      </c>
      <c r="C16" s="28" t="s">
        <v>1951</v>
      </c>
      <c r="D16" s="24" t="s">
        <v>1951</v>
      </c>
      <c r="E16" s="28" t="s">
        <v>1951</v>
      </c>
      <c r="F16" s="24" t="s">
        <v>1951</v>
      </c>
      <c r="G16" s="94">
        <v>0</v>
      </c>
      <c r="H16" s="24">
        <v>0.85</v>
      </c>
      <c r="I16" s="15"/>
      <c r="J16" s="15"/>
      <c r="K16" s="15"/>
      <c r="L16" s="15"/>
      <c r="M16" s="15"/>
      <c r="N16" s="30" t="s">
        <v>1936</v>
      </c>
      <c r="O16" s="42">
        <v>0.3</v>
      </c>
      <c r="P16" s="43">
        <v>0.5</v>
      </c>
      <c r="Q16" s="44">
        <v>0.15</v>
      </c>
      <c r="R16" s="7">
        <v>0.4</v>
      </c>
    </row>
    <row r="17" spans="1:18" x14ac:dyDescent="0.3">
      <c r="A17" s="29" t="s">
        <v>1597</v>
      </c>
      <c r="B17" s="24" t="s">
        <v>1951</v>
      </c>
      <c r="C17" s="28" t="s">
        <v>1951</v>
      </c>
      <c r="D17" s="24" t="s">
        <v>1951</v>
      </c>
      <c r="E17" s="28" t="s">
        <v>1951</v>
      </c>
      <c r="F17" s="24" t="s">
        <v>1951</v>
      </c>
      <c r="G17" s="94">
        <v>0.1</v>
      </c>
      <c r="H17" s="24">
        <v>1.1000000000000001</v>
      </c>
      <c r="I17" s="15"/>
      <c r="J17" s="15"/>
      <c r="K17" s="15"/>
      <c r="L17" s="15"/>
      <c r="M17" s="15"/>
      <c r="N17" s="30" t="s">
        <v>1937</v>
      </c>
      <c r="O17" s="42">
        <v>0.15</v>
      </c>
      <c r="P17" s="43">
        <v>0.8</v>
      </c>
      <c r="Q17" s="44">
        <v>0.4</v>
      </c>
      <c r="R17" s="7">
        <v>0.7</v>
      </c>
    </row>
    <row r="18" spans="1:18" x14ac:dyDescent="0.3">
      <c r="A18" s="29" t="s">
        <v>1598</v>
      </c>
      <c r="B18" s="24" t="s">
        <v>1951</v>
      </c>
      <c r="C18" s="28" t="s">
        <v>1951</v>
      </c>
      <c r="D18" s="24" t="s">
        <v>1951</v>
      </c>
      <c r="E18" s="28" t="s">
        <v>1951</v>
      </c>
      <c r="F18" s="24" t="s">
        <v>1951</v>
      </c>
      <c r="G18" s="94">
        <v>0</v>
      </c>
      <c r="H18" s="24">
        <v>1.3</v>
      </c>
      <c r="I18" s="15"/>
      <c r="J18" s="15"/>
      <c r="K18" s="15"/>
      <c r="L18" s="15"/>
      <c r="M18" s="15"/>
      <c r="N18" s="30" t="s">
        <v>1938</v>
      </c>
      <c r="O18" s="42">
        <v>0.05</v>
      </c>
      <c r="P18" s="43">
        <v>0.95</v>
      </c>
      <c r="Q18" s="44">
        <v>0.7</v>
      </c>
      <c r="R18" s="7">
        <v>1</v>
      </c>
    </row>
    <row r="19" spans="1:18" x14ac:dyDescent="0.3">
      <c r="A19" s="15"/>
      <c r="B19" s="15"/>
      <c r="C19" s="15"/>
      <c r="D19" s="20"/>
      <c r="E19" s="15"/>
      <c r="F19" s="15"/>
      <c r="G19" s="15"/>
      <c r="H19" s="15"/>
      <c r="I19" s="15"/>
      <c r="J19" s="33" t="s">
        <v>1967</v>
      </c>
      <c r="K19" s="33" t="s">
        <v>1968</v>
      </c>
      <c r="L19" s="33" t="s">
        <v>1969</v>
      </c>
      <c r="M19" s="15"/>
      <c r="N19" s="95" t="s">
        <v>1954</v>
      </c>
      <c r="O19" s="17">
        <v>1</v>
      </c>
      <c r="P19" s="18">
        <v>1</v>
      </c>
      <c r="Q19" s="6"/>
    </row>
    <row r="20" spans="1:18" x14ac:dyDescent="0.3">
      <c r="A20" s="15"/>
      <c r="B20" s="15"/>
      <c r="C20" s="15"/>
      <c r="D20" s="15"/>
      <c r="E20" s="15"/>
      <c r="F20" s="15"/>
      <c r="G20" s="15"/>
      <c r="H20" s="15"/>
      <c r="I20" s="15"/>
      <c r="J20" s="7" t="s">
        <v>1618</v>
      </c>
      <c r="K20" s="7">
        <v>0.8</v>
      </c>
      <c r="L20" s="44">
        <v>1</v>
      </c>
      <c r="M20" s="15"/>
      <c r="N20" s="15"/>
      <c r="O20" s="15"/>
      <c r="P20" s="15"/>
      <c r="Q20" s="15"/>
      <c r="R20" s="15"/>
    </row>
    <row r="21" spans="1:18" x14ac:dyDescent="0.3">
      <c r="A21" s="15"/>
      <c r="B21" s="15"/>
      <c r="C21" s="15"/>
      <c r="D21" s="15"/>
      <c r="E21" s="15"/>
      <c r="F21" s="15"/>
      <c r="G21" s="15"/>
      <c r="H21" s="15"/>
      <c r="I21" s="15"/>
      <c r="J21" s="7" t="s">
        <v>1619</v>
      </c>
      <c r="K21" s="7">
        <v>0</v>
      </c>
      <c r="L21" s="44">
        <v>0</v>
      </c>
      <c r="M21" s="15"/>
      <c r="N21" s="15"/>
      <c r="O21" s="15"/>
      <c r="P21" s="15"/>
      <c r="Q21" s="15"/>
      <c r="R21" s="15"/>
    </row>
    <row r="22" spans="1:18" x14ac:dyDescent="0.3">
      <c r="A22" s="33" t="s">
        <v>1615</v>
      </c>
      <c r="B22" s="46">
        <v>0.02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18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27" t="s">
        <v>1617</v>
      </c>
      <c r="O25" s="27" t="s">
        <v>1613</v>
      </c>
      <c r="P25" s="27" t="s">
        <v>1614</v>
      </c>
      <c r="Q25" s="15"/>
      <c r="R25" s="15"/>
    </row>
    <row r="26" spans="1:18" x14ac:dyDescent="0.3">
      <c r="A26" s="96" t="s">
        <v>1961</v>
      </c>
      <c r="B26" s="97"/>
      <c r="C26" s="15"/>
      <c r="D26" s="27" t="s">
        <v>1964</v>
      </c>
      <c r="E26" s="16" t="s">
        <v>2005</v>
      </c>
      <c r="F26" s="16" t="s">
        <v>2006</v>
      </c>
      <c r="G26" s="16" t="s">
        <v>1610</v>
      </c>
      <c r="H26" s="16" t="s">
        <v>2007</v>
      </c>
      <c r="I26" s="27" t="s">
        <v>1965</v>
      </c>
      <c r="J26" s="27" t="s">
        <v>1613</v>
      </c>
      <c r="K26" s="27" t="s">
        <v>1614</v>
      </c>
      <c r="L26" s="15"/>
      <c r="M26" s="15"/>
      <c r="N26" s="25" t="s">
        <v>1627</v>
      </c>
      <c r="O26" s="41" t="s">
        <v>1627</v>
      </c>
      <c r="P26" s="41">
        <v>0</v>
      </c>
      <c r="Q26" s="15"/>
      <c r="R26" s="15"/>
    </row>
    <row r="27" spans="1:18" x14ac:dyDescent="0.3">
      <c r="A27" s="37">
        <v>1.2</v>
      </c>
      <c r="B27" s="24" t="s">
        <v>1599</v>
      </c>
      <c r="C27" s="21"/>
      <c r="D27" s="24">
        <v>2026</v>
      </c>
      <c r="E27" s="40">
        <v>25000000</v>
      </c>
      <c r="F27" s="40">
        <v>32000000</v>
      </c>
      <c r="G27" s="40">
        <v>40000000</v>
      </c>
      <c r="H27" s="40">
        <v>45000000</v>
      </c>
      <c r="I27" s="24">
        <v>0</v>
      </c>
      <c r="J27" s="41">
        <f>70%/6</f>
        <v>0.11666666666666665</v>
      </c>
      <c r="K27" s="41">
        <v>0</v>
      </c>
      <c r="L27" s="15"/>
      <c r="M27" s="15"/>
      <c r="N27" s="25" t="s">
        <v>1623</v>
      </c>
      <c r="O27" s="41">
        <v>0.55000000000000004</v>
      </c>
      <c r="P27" s="41">
        <v>0.55000000000000004</v>
      </c>
      <c r="Q27" s="15"/>
      <c r="R27" s="15"/>
    </row>
    <row r="28" spans="1:18" x14ac:dyDescent="0.3">
      <c r="A28" s="37">
        <v>1.1499999999999999</v>
      </c>
      <c r="B28" s="24" t="s">
        <v>1600</v>
      </c>
      <c r="C28" s="15"/>
      <c r="D28" s="24">
        <v>2025</v>
      </c>
      <c r="E28" s="40">
        <v>23000000</v>
      </c>
      <c r="F28" s="40">
        <v>29440000</v>
      </c>
      <c r="G28" s="40">
        <v>36800000</v>
      </c>
      <c r="H28" s="40">
        <v>41400000</v>
      </c>
      <c r="I28" s="24">
        <v>1</v>
      </c>
      <c r="J28" s="41">
        <f t="shared" ref="J28:J32" si="0">70%/6</f>
        <v>0.11666666666666665</v>
      </c>
      <c r="K28" s="41">
        <f>J27+K27</f>
        <v>0.11666666666666665</v>
      </c>
      <c r="L28" s="15"/>
      <c r="M28" s="15"/>
      <c r="N28" s="25" t="s">
        <v>1624</v>
      </c>
      <c r="O28" s="41">
        <v>0.2</v>
      </c>
      <c r="P28" s="41">
        <v>0.75</v>
      </c>
      <c r="Q28" s="15"/>
      <c r="R28" s="15"/>
    </row>
    <row r="29" spans="1:18" x14ac:dyDescent="0.3">
      <c r="A29" s="37">
        <v>1.1499999999999999</v>
      </c>
      <c r="B29" s="24" t="s">
        <v>1601</v>
      </c>
      <c r="C29" s="15"/>
      <c r="D29" s="24">
        <v>2024</v>
      </c>
      <c r="E29" s="40">
        <v>21045000</v>
      </c>
      <c r="F29" s="40">
        <v>26938000</v>
      </c>
      <c r="G29" s="40">
        <v>33672000</v>
      </c>
      <c r="H29" s="40">
        <v>37881000</v>
      </c>
      <c r="I29" s="24">
        <v>2</v>
      </c>
      <c r="J29" s="41">
        <f t="shared" si="0"/>
        <v>0.11666666666666665</v>
      </c>
      <c r="K29" s="41">
        <f t="shared" ref="K29:K47" si="1">J28+K28</f>
        <v>0.23333333333333331</v>
      </c>
      <c r="L29" s="15"/>
      <c r="M29" s="15"/>
      <c r="N29" s="25" t="s">
        <v>1625</v>
      </c>
      <c r="O29" s="41">
        <v>0.15</v>
      </c>
      <c r="P29" s="41">
        <v>0.9</v>
      </c>
      <c r="Q29" s="15"/>
      <c r="R29" s="15"/>
    </row>
    <row r="30" spans="1:18" x14ac:dyDescent="0.3">
      <c r="A30" s="37">
        <v>1.05</v>
      </c>
      <c r="B30" s="24" t="s">
        <v>1602</v>
      </c>
      <c r="C30" s="15"/>
      <c r="D30" s="24">
        <v>2023</v>
      </c>
      <c r="E30" s="40">
        <v>19151000</v>
      </c>
      <c r="F30" s="40">
        <v>24513000</v>
      </c>
      <c r="G30" s="40">
        <v>30642000</v>
      </c>
      <c r="H30" s="40">
        <v>34472000</v>
      </c>
      <c r="I30" s="24">
        <v>3</v>
      </c>
      <c r="J30" s="41">
        <f t="shared" si="0"/>
        <v>0.11666666666666665</v>
      </c>
      <c r="K30" s="41">
        <f t="shared" si="1"/>
        <v>0.35</v>
      </c>
      <c r="L30" s="15"/>
      <c r="M30" s="15"/>
      <c r="N30" s="25" t="s">
        <v>1626</v>
      </c>
      <c r="O30" s="41">
        <v>0.1</v>
      </c>
      <c r="P30" s="41">
        <v>1</v>
      </c>
      <c r="Q30" s="15"/>
      <c r="R30" s="15"/>
    </row>
    <row r="31" spans="1:18" x14ac:dyDescent="0.3">
      <c r="A31" s="37">
        <v>0.95</v>
      </c>
      <c r="B31" s="24" t="s">
        <v>1603</v>
      </c>
      <c r="C31" s="15"/>
      <c r="D31" s="24">
        <v>2022</v>
      </c>
      <c r="E31" s="40">
        <v>17427000</v>
      </c>
      <c r="F31" s="40">
        <v>22307000</v>
      </c>
      <c r="G31" s="40">
        <v>27884000</v>
      </c>
      <c r="H31" s="40">
        <v>31369000</v>
      </c>
      <c r="I31" s="24">
        <v>4</v>
      </c>
      <c r="J31" s="41">
        <f t="shared" si="0"/>
        <v>0.11666666666666665</v>
      </c>
      <c r="K31" s="41">
        <f t="shared" si="1"/>
        <v>0.46666666666666662</v>
      </c>
      <c r="L31" s="15"/>
      <c r="M31" s="15"/>
      <c r="N31" s="15"/>
      <c r="O31" s="15"/>
      <c r="P31" s="15"/>
      <c r="Q31" s="15"/>
      <c r="R31" s="15"/>
    </row>
    <row r="32" spans="1:18" x14ac:dyDescent="0.3">
      <c r="A32" s="37">
        <v>1.05</v>
      </c>
      <c r="B32" s="24" t="s">
        <v>1604</v>
      </c>
      <c r="C32" s="15"/>
      <c r="D32" s="24">
        <v>2021</v>
      </c>
      <c r="E32" s="40">
        <v>15859000</v>
      </c>
      <c r="F32" s="40">
        <v>20299000</v>
      </c>
      <c r="G32" s="40">
        <v>25374000</v>
      </c>
      <c r="H32" s="40">
        <v>28546000</v>
      </c>
      <c r="I32" s="24">
        <v>5</v>
      </c>
      <c r="J32" s="41">
        <f t="shared" si="0"/>
        <v>0.11666666666666665</v>
      </c>
      <c r="K32" s="41">
        <f t="shared" si="1"/>
        <v>0.58333333333333326</v>
      </c>
      <c r="L32" s="15"/>
      <c r="M32" s="15"/>
      <c r="N32" s="15"/>
      <c r="O32" s="15"/>
      <c r="P32" s="15"/>
      <c r="Q32" s="15"/>
      <c r="R32" s="15"/>
    </row>
    <row r="33" spans="1:18" x14ac:dyDescent="0.3">
      <c r="A33" s="37">
        <v>0.9</v>
      </c>
      <c r="B33" s="24" t="s">
        <v>1605</v>
      </c>
      <c r="C33" s="15"/>
      <c r="D33" s="24">
        <v>2020</v>
      </c>
      <c r="E33" s="40">
        <v>14432000</v>
      </c>
      <c r="F33" s="40">
        <v>18472000</v>
      </c>
      <c r="G33" s="40">
        <v>23091000</v>
      </c>
      <c r="H33" s="40">
        <v>25977000</v>
      </c>
      <c r="I33" s="24">
        <v>6</v>
      </c>
      <c r="J33" s="41">
        <f>20%/5</f>
        <v>0.04</v>
      </c>
      <c r="K33" s="41">
        <f t="shared" si="1"/>
        <v>0.7</v>
      </c>
      <c r="L33" s="15"/>
      <c r="M33" s="15"/>
      <c r="N33" s="15"/>
      <c r="O33" s="15"/>
      <c r="P33" s="15"/>
      <c r="Q33" s="15"/>
      <c r="R33" s="15"/>
    </row>
    <row r="34" spans="1:18" x14ac:dyDescent="0.3">
      <c r="A34" s="37">
        <v>1</v>
      </c>
      <c r="B34" s="24" t="s">
        <v>1606</v>
      </c>
      <c r="C34" s="15"/>
      <c r="D34" s="24">
        <v>2019</v>
      </c>
      <c r="E34" s="40">
        <v>13133000</v>
      </c>
      <c r="F34" s="40">
        <v>16810000</v>
      </c>
      <c r="G34" s="40">
        <v>21012000</v>
      </c>
      <c r="H34" s="40">
        <v>23639000</v>
      </c>
      <c r="I34" s="24">
        <v>7</v>
      </c>
      <c r="J34" s="41">
        <f t="shared" ref="J34:J37" si="2">20%/5</f>
        <v>0.04</v>
      </c>
      <c r="K34" s="41">
        <f t="shared" si="1"/>
        <v>0.74</v>
      </c>
      <c r="L34" s="15"/>
      <c r="M34" s="15"/>
      <c r="N34" s="15"/>
      <c r="O34" s="15"/>
      <c r="P34" s="15"/>
      <c r="Q34" s="15"/>
      <c r="R34" s="15"/>
    </row>
    <row r="35" spans="1:18" x14ac:dyDescent="0.3">
      <c r="A35" s="37">
        <v>1.1000000000000001</v>
      </c>
      <c r="B35" s="24" t="s">
        <v>1607</v>
      </c>
      <c r="C35" s="15"/>
      <c r="D35" s="24">
        <v>2018</v>
      </c>
      <c r="E35" s="40">
        <v>11951000</v>
      </c>
      <c r="F35" s="40">
        <v>15297000</v>
      </c>
      <c r="G35" s="40">
        <v>19121000</v>
      </c>
      <c r="H35" s="40">
        <v>21511000</v>
      </c>
      <c r="I35" s="24">
        <v>8</v>
      </c>
      <c r="J35" s="41">
        <f t="shared" si="2"/>
        <v>0.04</v>
      </c>
      <c r="K35" s="41">
        <f t="shared" si="1"/>
        <v>0.78</v>
      </c>
      <c r="L35" s="15"/>
      <c r="M35" s="15"/>
      <c r="N35" s="15"/>
      <c r="O35" s="15"/>
      <c r="P35" s="15"/>
      <c r="Q35" s="15"/>
      <c r="R35" s="15"/>
    </row>
    <row r="36" spans="1:18" x14ac:dyDescent="0.3">
      <c r="A36" s="37">
        <v>0.95</v>
      </c>
      <c r="B36" s="24" t="s">
        <v>1608</v>
      </c>
      <c r="C36" s="15"/>
      <c r="D36" s="24">
        <v>2017</v>
      </c>
      <c r="E36" s="40">
        <v>10875000</v>
      </c>
      <c r="F36" s="40">
        <v>13920000</v>
      </c>
      <c r="G36" s="40">
        <v>17400000</v>
      </c>
      <c r="H36" s="40">
        <v>19575000</v>
      </c>
      <c r="I36" s="24">
        <v>9</v>
      </c>
      <c r="J36" s="41">
        <f t="shared" si="2"/>
        <v>0.04</v>
      </c>
      <c r="K36" s="41">
        <f t="shared" si="1"/>
        <v>0.82000000000000006</v>
      </c>
      <c r="L36" s="15"/>
      <c r="M36" s="15"/>
      <c r="N36" s="15"/>
      <c r="O36" s="15"/>
      <c r="P36" s="15"/>
      <c r="Q36" s="15"/>
      <c r="R36" s="15"/>
    </row>
    <row r="37" spans="1:18" x14ac:dyDescent="0.3">
      <c r="A37" s="96" t="s">
        <v>1963</v>
      </c>
      <c r="B37" s="97"/>
      <c r="C37" s="15"/>
      <c r="D37" s="24">
        <v>2016</v>
      </c>
      <c r="E37" s="40">
        <v>9951000</v>
      </c>
      <c r="F37" s="40">
        <v>12737000</v>
      </c>
      <c r="G37" s="40">
        <v>15921000</v>
      </c>
      <c r="H37" s="40">
        <v>17912000</v>
      </c>
      <c r="I37" s="24">
        <v>10</v>
      </c>
      <c r="J37" s="41">
        <f t="shared" si="2"/>
        <v>0.04</v>
      </c>
      <c r="K37" s="41">
        <f>J36+K36</f>
        <v>0.8600000000000001</v>
      </c>
      <c r="L37" s="15"/>
      <c r="M37" s="15"/>
      <c r="N37" s="15"/>
      <c r="O37" s="15"/>
      <c r="P37" s="15"/>
      <c r="Q37" s="15"/>
      <c r="R37" s="15"/>
    </row>
    <row r="38" spans="1:18" x14ac:dyDescent="0.3">
      <c r="A38" s="37">
        <v>1.5</v>
      </c>
      <c r="B38" s="24">
        <v>18</v>
      </c>
      <c r="C38" s="15"/>
      <c r="D38" s="24">
        <v>2015</v>
      </c>
      <c r="E38" s="40">
        <v>9155000</v>
      </c>
      <c r="F38" s="40">
        <v>11718000</v>
      </c>
      <c r="G38" s="40">
        <v>14648000</v>
      </c>
      <c r="H38" s="40">
        <v>16479000</v>
      </c>
      <c r="I38" s="24">
        <v>11</v>
      </c>
      <c r="J38" s="41">
        <f>10%/10</f>
        <v>0.01</v>
      </c>
      <c r="K38" s="41">
        <f t="shared" si="1"/>
        <v>0.90000000000000013</v>
      </c>
      <c r="L38" s="15"/>
      <c r="M38" s="15"/>
      <c r="N38" s="15"/>
      <c r="O38" s="15"/>
      <c r="P38" s="15"/>
      <c r="Q38" s="15"/>
      <c r="R38" s="15"/>
    </row>
    <row r="39" spans="1:18" x14ac:dyDescent="0.3">
      <c r="A39" s="37">
        <v>1.35</v>
      </c>
      <c r="B39" s="24">
        <v>21</v>
      </c>
      <c r="C39" s="15"/>
      <c r="D39" s="24">
        <v>2014</v>
      </c>
      <c r="E39" s="40">
        <v>8422000</v>
      </c>
      <c r="F39" s="40">
        <v>10781000</v>
      </c>
      <c r="G39" s="40">
        <v>13476000</v>
      </c>
      <c r="H39" s="40">
        <v>15160000</v>
      </c>
      <c r="I39" s="24">
        <v>12</v>
      </c>
      <c r="J39" s="41">
        <f t="shared" ref="J39:J47" si="3">10%/10</f>
        <v>0.01</v>
      </c>
      <c r="K39" s="41">
        <f t="shared" si="1"/>
        <v>0.91000000000000014</v>
      </c>
      <c r="L39" s="15"/>
      <c r="M39" s="15"/>
      <c r="N39" s="15"/>
      <c r="O39" s="15"/>
      <c r="P39" s="15"/>
      <c r="Q39" s="15"/>
      <c r="R39" s="15"/>
    </row>
    <row r="40" spans="1:18" x14ac:dyDescent="0.3">
      <c r="A40" s="37">
        <v>1.2</v>
      </c>
      <c r="B40" s="24">
        <v>25</v>
      </c>
      <c r="C40" s="15"/>
      <c r="D40" s="24">
        <v>2013</v>
      </c>
      <c r="E40" s="40">
        <v>7791000</v>
      </c>
      <c r="F40" s="40">
        <v>9972000</v>
      </c>
      <c r="G40" s="40">
        <v>12465000</v>
      </c>
      <c r="H40" s="40">
        <v>14023000</v>
      </c>
      <c r="I40" s="24">
        <v>13</v>
      </c>
      <c r="J40" s="41">
        <f t="shared" si="3"/>
        <v>0.01</v>
      </c>
      <c r="K40" s="41">
        <f t="shared" si="1"/>
        <v>0.92000000000000015</v>
      </c>
      <c r="L40" s="15"/>
      <c r="M40" s="15"/>
      <c r="N40" s="15"/>
      <c r="O40" s="15"/>
      <c r="P40" s="15"/>
      <c r="Q40" s="15"/>
      <c r="R40" s="15"/>
    </row>
    <row r="41" spans="1:18" x14ac:dyDescent="0.3">
      <c r="A41" s="37">
        <v>1</v>
      </c>
      <c r="B41" s="24">
        <v>30</v>
      </c>
      <c r="C41" s="15"/>
      <c r="D41" s="24">
        <v>2012</v>
      </c>
      <c r="E41" s="40">
        <v>7206000</v>
      </c>
      <c r="F41" s="40">
        <v>9224000</v>
      </c>
      <c r="G41" s="40">
        <v>11530000</v>
      </c>
      <c r="H41" s="40">
        <v>12972000</v>
      </c>
      <c r="I41" s="24">
        <v>14</v>
      </c>
      <c r="J41" s="41">
        <f t="shared" si="3"/>
        <v>0.01</v>
      </c>
      <c r="K41" s="41">
        <f t="shared" si="1"/>
        <v>0.93000000000000016</v>
      </c>
      <c r="L41" s="15"/>
      <c r="M41" s="15"/>
      <c r="N41" s="15"/>
      <c r="O41" s="15"/>
      <c r="P41" s="15"/>
      <c r="Q41" s="15"/>
      <c r="R41" s="15"/>
    </row>
    <row r="42" spans="1:18" x14ac:dyDescent="0.3">
      <c r="A42" s="37">
        <v>0.95</v>
      </c>
      <c r="B42" s="24">
        <v>40</v>
      </c>
      <c r="C42" s="15"/>
      <c r="D42" s="24">
        <v>2011</v>
      </c>
      <c r="E42" s="40">
        <v>6702000</v>
      </c>
      <c r="F42" s="40">
        <v>8579000</v>
      </c>
      <c r="G42" s="40">
        <v>10723000</v>
      </c>
      <c r="H42" s="40">
        <v>12064000</v>
      </c>
      <c r="I42" s="24">
        <v>15</v>
      </c>
      <c r="J42" s="41">
        <f t="shared" si="3"/>
        <v>0.01</v>
      </c>
      <c r="K42" s="41">
        <f t="shared" si="1"/>
        <v>0.94000000000000017</v>
      </c>
      <c r="L42" s="15"/>
      <c r="M42" s="15"/>
      <c r="N42" s="15"/>
      <c r="O42" s="15"/>
      <c r="P42" s="15"/>
      <c r="Q42" s="15"/>
      <c r="R42" s="15"/>
    </row>
    <row r="43" spans="1:18" x14ac:dyDescent="0.3">
      <c r="A43" s="37">
        <v>1</v>
      </c>
      <c r="B43" s="24">
        <v>50</v>
      </c>
      <c r="C43" s="15"/>
      <c r="D43" s="24">
        <v>2010</v>
      </c>
      <c r="E43" s="40">
        <v>6233000</v>
      </c>
      <c r="F43" s="40">
        <v>7978000</v>
      </c>
      <c r="G43" s="40">
        <v>9973000</v>
      </c>
      <c r="H43" s="40">
        <v>11219000</v>
      </c>
      <c r="I43" s="24">
        <v>16</v>
      </c>
      <c r="J43" s="41">
        <f t="shared" si="3"/>
        <v>0.01</v>
      </c>
      <c r="K43" s="41">
        <f t="shared" si="1"/>
        <v>0.95000000000000018</v>
      </c>
      <c r="L43" s="15"/>
      <c r="M43" s="15"/>
      <c r="N43" s="15"/>
      <c r="O43" s="15"/>
      <c r="P43" s="15"/>
      <c r="Q43" s="15"/>
      <c r="R43" s="15"/>
    </row>
    <row r="44" spans="1:18" x14ac:dyDescent="0.3">
      <c r="A44" s="37">
        <v>1.05</v>
      </c>
      <c r="B44" s="24">
        <v>60</v>
      </c>
      <c r="C44" s="15"/>
      <c r="D44" s="24">
        <v>2009</v>
      </c>
      <c r="E44" s="40">
        <v>5828000</v>
      </c>
      <c r="F44" s="40">
        <v>7459000</v>
      </c>
      <c r="G44" s="40">
        <v>9324000</v>
      </c>
      <c r="H44" s="40">
        <v>10490000</v>
      </c>
      <c r="I44" s="24">
        <v>17</v>
      </c>
      <c r="J44" s="41">
        <f t="shared" si="3"/>
        <v>0.01</v>
      </c>
      <c r="K44" s="41">
        <f t="shared" si="1"/>
        <v>0.96000000000000019</v>
      </c>
      <c r="L44" s="15"/>
      <c r="M44" s="15"/>
      <c r="N44" s="15"/>
      <c r="O44" s="15"/>
      <c r="P44" s="15"/>
      <c r="Q44" s="15"/>
      <c r="R44" s="15"/>
    </row>
    <row r="45" spans="1:18" x14ac:dyDescent="0.3">
      <c r="A45" s="37">
        <v>1.1499999999999999</v>
      </c>
      <c r="B45" s="24">
        <v>65</v>
      </c>
      <c r="C45" s="15"/>
      <c r="D45" s="24">
        <v>2008</v>
      </c>
      <c r="E45" s="40">
        <v>5449000</v>
      </c>
      <c r="F45" s="40">
        <v>6975000</v>
      </c>
      <c r="G45" s="40">
        <v>8718000</v>
      </c>
      <c r="H45" s="40">
        <v>9808000</v>
      </c>
      <c r="I45" s="24">
        <v>18</v>
      </c>
      <c r="J45" s="41">
        <f t="shared" si="3"/>
        <v>0.01</v>
      </c>
      <c r="K45" s="41">
        <f>J44+K44</f>
        <v>0.9700000000000002</v>
      </c>
      <c r="L45" s="15"/>
      <c r="M45" s="15"/>
      <c r="N45" s="15"/>
      <c r="O45" s="15"/>
      <c r="P45" s="15"/>
      <c r="Q45" s="15"/>
      <c r="R45" s="15"/>
    </row>
    <row r="46" spans="1:18" x14ac:dyDescent="0.3">
      <c r="A46" s="37">
        <v>1.4</v>
      </c>
      <c r="B46" s="24">
        <v>70</v>
      </c>
      <c r="C46" s="15"/>
      <c r="D46" s="24">
        <v>2007</v>
      </c>
      <c r="E46" s="40">
        <v>5122000</v>
      </c>
      <c r="F46" s="40">
        <v>6556000</v>
      </c>
      <c r="G46" s="40">
        <v>8195000</v>
      </c>
      <c r="H46" s="40">
        <v>9220000</v>
      </c>
      <c r="I46" s="24">
        <v>19</v>
      </c>
      <c r="J46" s="41">
        <f t="shared" si="3"/>
        <v>0.01</v>
      </c>
      <c r="K46" s="41">
        <f t="shared" si="1"/>
        <v>0.9800000000000002</v>
      </c>
      <c r="L46" s="15"/>
      <c r="M46" s="15"/>
      <c r="N46" s="15"/>
      <c r="O46" s="15"/>
      <c r="P46" s="15"/>
      <c r="Q46" s="15"/>
      <c r="R46" s="15"/>
    </row>
    <row r="47" spans="1:18" x14ac:dyDescent="0.3">
      <c r="A47" s="38">
        <v>1.45</v>
      </c>
      <c r="B47" s="24">
        <v>75</v>
      </c>
      <c r="C47" s="15"/>
      <c r="D47" s="24">
        <v>2006</v>
      </c>
      <c r="E47" s="40">
        <v>4815000</v>
      </c>
      <c r="F47" s="40">
        <v>6163000</v>
      </c>
      <c r="G47" s="40">
        <v>7703000</v>
      </c>
      <c r="H47" s="40">
        <v>8666000</v>
      </c>
      <c r="I47" s="24">
        <v>20</v>
      </c>
      <c r="J47" s="41">
        <f t="shared" si="3"/>
        <v>0.01</v>
      </c>
      <c r="K47" s="41">
        <f t="shared" si="1"/>
        <v>0.99000000000000021</v>
      </c>
      <c r="L47" s="15"/>
      <c r="M47" s="15"/>
      <c r="N47" s="15"/>
      <c r="O47" s="15"/>
      <c r="P47" s="15"/>
      <c r="Q47" s="15"/>
      <c r="R47" s="15"/>
    </row>
    <row r="48" spans="1:18" x14ac:dyDescent="0.3">
      <c r="A48" s="39"/>
      <c r="B48" s="39"/>
      <c r="C48" s="15"/>
      <c r="D48" s="27" t="s">
        <v>1966</v>
      </c>
      <c r="E48" s="24">
        <v>1</v>
      </c>
      <c r="F48" s="24">
        <v>1.05</v>
      </c>
      <c r="G48" s="24">
        <v>1.1000000000000001</v>
      </c>
      <c r="H48" s="24">
        <v>1.1499999999999999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90" spans="1:11" ht="15" x14ac:dyDescent="0.3">
      <c r="A90" s="1" t="s">
        <v>1934</v>
      </c>
      <c r="B90" s="1" t="s">
        <v>1948</v>
      </c>
      <c r="D90" s="1" t="s">
        <v>1</v>
      </c>
      <c r="E90" s="1" t="s">
        <v>1939</v>
      </c>
      <c r="F90" s="1" t="s">
        <v>1945</v>
      </c>
      <c r="G90" s="1" t="s">
        <v>1622</v>
      </c>
      <c r="H90" s="1" t="s">
        <v>1946</v>
      </c>
      <c r="I90" s="1" t="s">
        <v>1947</v>
      </c>
      <c r="J90" s="12" t="s">
        <v>1953</v>
      </c>
      <c r="K90" s="12" t="s">
        <v>1614</v>
      </c>
    </row>
    <row r="91" spans="1:11" ht="28.8" x14ac:dyDescent="0.3">
      <c r="A91" s="7" t="s">
        <v>1935</v>
      </c>
      <c r="B91" s="7">
        <v>0.01</v>
      </c>
      <c r="D91" s="3" t="s">
        <v>1621</v>
      </c>
      <c r="E91" s="4" t="s">
        <v>1940</v>
      </c>
      <c r="F91" s="9">
        <v>0.1</v>
      </c>
      <c r="G91" s="10">
        <v>0</v>
      </c>
      <c r="H91" s="8">
        <v>1</v>
      </c>
      <c r="I91" s="2">
        <v>45</v>
      </c>
      <c r="J91" s="11">
        <v>0.3</v>
      </c>
      <c r="K91" s="3">
        <v>0</v>
      </c>
    </row>
    <row r="92" spans="1:11" x14ac:dyDescent="0.3">
      <c r="A92" s="7" t="s">
        <v>1936</v>
      </c>
      <c r="B92" s="7">
        <v>0.02</v>
      </c>
      <c r="D92" s="3" t="s">
        <v>1941</v>
      </c>
      <c r="E92" s="4" t="s">
        <v>1942</v>
      </c>
      <c r="F92" s="9">
        <v>0.8</v>
      </c>
      <c r="G92" s="10">
        <v>0.1</v>
      </c>
      <c r="H92" s="2">
        <v>5</v>
      </c>
      <c r="I92" s="2">
        <v>45</v>
      </c>
      <c r="J92" s="11">
        <v>0.2</v>
      </c>
      <c r="K92" s="3">
        <v>0.3</v>
      </c>
    </row>
    <row r="93" spans="1:11" ht="28.8" x14ac:dyDescent="0.3">
      <c r="A93" s="7" t="s">
        <v>1937</v>
      </c>
      <c r="B93" s="7">
        <v>0.05</v>
      </c>
      <c r="D93" s="3" t="s">
        <v>1943</v>
      </c>
      <c r="E93" s="4" t="s">
        <v>1944</v>
      </c>
      <c r="F93" s="9">
        <v>0.1</v>
      </c>
      <c r="G93" s="10">
        <v>0.9</v>
      </c>
      <c r="H93" s="2">
        <v>3</v>
      </c>
      <c r="I93" s="2">
        <v>30</v>
      </c>
      <c r="J93" s="11">
        <v>0.5</v>
      </c>
      <c r="K93" s="3">
        <v>0.5</v>
      </c>
    </row>
    <row r="94" spans="1:11" x14ac:dyDescent="0.3">
      <c r="A94" s="7" t="s">
        <v>1938</v>
      </c>
      <c r="B94" s="7">
        <v>0.1</v>
      </c>
      <c r="D94" s="13" t="s">
        <v>1954</v>
      </c>
      <c r="J94" s="14">
        <v>1</v>
      </c>
      <c r="K94" s="13">
        <v>1</v>
      </c>
    </row>
    <row r="95" spans="1:11" ht="28.8" x14ac:dyDescent="0.3">
      <c r="A95" s="7" t="s">
        <v>1949</v>
      </c>
      <c r="B95" s="7">
        <v>0.2</v>
      </c>
    </row>
  </sheetData>
  <mergeCells count="2">
    <mergeCell ref="A37:B37"/>
    <mergeCell ref="A26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6"/>
  <sheetViews>
    <sheetView topLeftCell="G1" zoomScaleNormal="100" workbookViewId="0">
      <selection activeCell="N1" sqref="N1"/>
    </sheetView>
  </sheetViews>
  <sheetFormatPr baseColWidth="10" defaultColWidth="8.88671875" defaultRowHeight="14.4" x14ac:dyDescent="0.3"/>
  <cols>
    <col min="1" max="1" width="13.77734375" bestFit="1" customWidth="1"/>
    <col min="2" max="2" width="14.5546875" bestFit="1" customWidth="1"/>
    <col min="3" max="3" width="24.33203125" bestFit="1" customWidth="1"/>
    <col min="4" max="4" width="17.21875" bestFit="1" customWidth="1"/>
    <col min="5" max="5" width="12.6640625" bestFit="1" customWidth="1"/>
    <col min="6" max="6" width="22.21875" bestFit="1" customWidth="1"/>
    <col min="7" max="7" width="12.77734375" bestFit="1" customWidth="1"/>
    <col min="8" max="8" width="21.33203125" bestFit="1" customWidth="1"/>
    <col min="9" max="9" width="31.77734375" bestFit="1" customWidth="1"/>
    <col min="10" max="10" width="21.33203125" bestFit="1" customWidth="1"/>
    <col min="11" max="11" width="19.88671875" bestFit="1" customWidth="1"/>
    <col min="12" max="12" width="18" bestFit="1" customWidth="1"/>
    <col min="13" max="13" width="13" bestFit="1" customWidth="1"/>
    <col min="14" max="14" width="19.6640625" bestFit="1" customWidth="1"/>
    <col min="15" max="15" width="17.5546875" bestFit="1" customWidth="1"/>
    <col min="16" max="16" width="21.88671875" bestFit="1" customWidth="1"/>
  </cols>
  <sheetData>
    <row r="1" spans="1:16" x14ac:dyDescent="0.3">
      <c r="A1" s="49" t="s">
        <v>1981</v>
      </c>
      <c r="B1" s="49" t="s">
        <v>0</v>
      </c>
      <c r="C1" s="49" t="s">
        <v>1292</v>
      </c>
      <c r="D1" s="68" t="s">
        <v>1973</v>
      </c>
      <c r="E1" s="68" t="s">
        <v>1974</v>
      </c>
      <c r="F1" s="49" t="s">
        <v>1593</v>
      </c>
      <c r="G1" s="68" t="s">
        <v>1594</v>
      </c>
      <c r="H1" s="49" t="s">
        <v>1975</v>
      </c>
      <c r="I1" s="68" t="s">
        <v>1976</v>
      </c>
      <c r="J1" s="49" t="s">
        <v>1960</v>
      </c>
      <c r="K1" s="68" t="s">
        <v>1977</v>
      </c>
      <c r="L1" s="68" t="s">
        <v>1978</v>
      </c>
      <c r="M1" s="68" t="s">
        <v>1616</v>
      </c>
      <c r="N1" s="68" t="s">
        <v>1979</v>
      </c>
      <c r="O1" s="68" t="s">
        <v>1617</v>
      </c>
      <c r="P1" s="68" t="s">
        <v>1980</v>
      </c>
    </row>
    <row r="2" spans="1:16" x14ac:dyDescent="0.3">
      <c r="A2" s="58" t="s">
        <v>2</v>
      </c>
      <c r="B2" s="56" t="s">
        <v>77</v>
      </c>
      <c r="C2" s="50" t="str">
        <f>_xlfn.XLOOKUP(B2,CLIENTES!$A$2:$A$301,CLIENTES!$B$2:$B$301)</f>
        <v>Matías Suárez</v>
      </c>
      <c r="D2" s="60">
        <v>45117</v>
      </c>
      <c r="E2" s="60">
        <f>EDATE(D2,12)</f>
        <v>45483</v>
      </c>
      <c r="F2" s="50" t="s">
        <v>1596</v>
      </c>
      <c r="G2" s="56" t="s">
        <v>1600</v>
      </c>
      <c r="H2" s="47">
        <v>29</v>
      </c>
      <c r="I2" s="60">
        <v>35608</v>
      </c>
      <c r="J2" s="56" t="s">
        <v>1609</v>
      </c>
      <c r="K2" s="56">
        <v>2025</v>
      </c>
      <c r="L2" s="52">
        <f>(N2*M2)/12</f>
        <v>44965</v>
      </c>
      <c r="M2" s="56">
        <f>LISTAS!$B$22*_xlfn.XLOOKUP(G2,LISTAS!$B$27:$B$36,LISTAS!$A$27:$A$36)*_xlfn.XLOOKUP(H2,LISTAS!$B$38:$B$47,LISTAS!$A$38:$A$47,,-1)*_xlfn.XLOOKUP(J2,LISTAS!$E$26:$H$26,LISTAS!$E$48:$H$48)*_xlfn.XLOOKUP(F2,LISTAS!$A$15:$A$18,LISTAS!$H$15:$H$18)</f>
        <v>2.3459999999999998E-2</v>
      </c>
      <c r="N2" s="54" cm="1">
        <f t="array" ref="N2">_xlfn.XLOOKUP(K2,LISTAS!$D$27:$D$47,_xlfn.XLOOKUP(J2,LISTAS!$E$26:$H$26,LISTAS!$E$27:$H$47))</f>
        <v>23000000</v>
      </c>
      <c r="O2" s="56" t="s">
        <v>1625</v>
      </c>
      <c r="P2" s="76" t="str">
        <f ca="1">IF(TODAY()&lt;D2,"Pendiente",IF(TODAY()&gt;E2,"Vencida","Vigente"))</f>
        <v>Vencida</v>
      </c>
    </row>
    <row r="3" spans="1:16" x14ac:dyDescent="0.3">
      <c r="A3" s="58" t="s">
        <v>293</v>
      </c>
      <c r="B3" s="56" t="s">
        <v>107</v>
      </c>
      <c r="C3" s="50" t="str">
        <f>_xlfn.XLOOKUP(B3,CLIENTES!$A$2:$A$301,CLIENTES!$B$2:$B$301)</f>
        <v>Emiliano Rojas</v>
      </c>
      <c r="D3" s="60">
        <v>44967</v>
      </c>
      <c r="E3" s="60">
        <f t="shared" ref="E3:E66" si="0">EDATE(D3,12)</f>
        <v>45332</v>
      </c>
      <c r="F3" s="50" t="s">
        <v>1595</v>
      </c>
      <c r="G3" s="56" t="s">
        <v>1602</v>
      </c>
      <c r="H3" s="47">
        <v>70</v>
      </c>
      <c r="I3" s="60">
        <v>20405</v>
      </c>
      <c r="J3" s="56" t="s">
        <v>1609</v>
      </c>
      <c r="K3" s="56">
        <v>2021</v>
      </c>
      <c r="L3" s="52">
        <f t="shared" ref="L3:L66" si="1">(N3*M3)/12</f>
        <v>23312.73</v>
      </c>
      <c r="M3" s="56">
        <f>LISTAS!$B$22*_xlfn.XLOOKUP(G3,LISTAS!$B$27:$B$36,LISTAS!$A$27:$A$36)*_xlfn.XLOOKUP(H3,LISTAS!$B$38:$B$47,LISTAS!$A$38:$A$47,,-1)*_xlfn.XLOOKUP(J3,LISTAS!$E$26:$H$26,LISTAS!$E$48:$H$48)*_xlfn.XLOOKUP(F3,LISTAS!$A$15:$A$18,LISTAS!$H$15:$H$18)</f>
        <v>1.7639999999999999E-2</v>
      </c>
      <c r="N3" s="54" cm="1">
        <f t="array" ref="N3">_xlfn.XLOOKUP(K3,LISTAS!$D$27:$D$47,_xlfn.XLOOKUP(J3,LISTAS!$E$26:$H$26,LISTAS!$E$27:$H$47))</f>
        <v>15859000</v>
      </c>
      <c r="O3" s="56" t="s">
        <v>1623</v>
      </c>
      <c r="P3" s="76" t="str">
        <f t="shared" ref="P3:P66" ca="1" si="2">IF(TODAY()&lt;D3,"Pendiente",IF(TODAY()&gt;E3,"Vencida","Vigente"))</f>
        <v>Vencida</v>
      </c>
    </row>
    <row r="4" spans="1:16" x14ac:dyDescent="0.3">
      <c r="A4" s="58" t="s">
        <v>294</v>
      </c>
      <c r="B4" s="56" t="s">
        <v>177</v>
      </c>
      <c r="C4" s="50" t="str">
        <f>_xlfn.XLOOKUP(B4,CLIENTES!$A$2:$A$301,CLIENTES!$B$2:$B$301)</f>
        <v>Lucía Navarro</v>
      </c>
      <c r="D4" s="60">
        <v>46002</v>
      </c>
      <c r="E4" s="60">
        <f t="shared" si="0"/>
        <v>46367</v>
      </c>
      <c r="F4" s="50" t="s">
        <v>1595</v>
      </c>
      <c r="G4" s="56" t="s">
        <v>1602</v>
      </c>
      <c r="H4" s="47">
        <v>79</v>
      </c>
      <c r="I4" s="60">
        <v>17140</v>
      </c>
      <c r="J4" s="56" t="s">
        <v>1612</v>
      </c>
      <c r="K4" s="56">
        <v>2010</v>
      </c>
      <c r="L4" s="52">
        <f t="shared" si="1"/>
        <v>12753.830249999999</v>
      </c>
      <c r="M4" s="56">
        <f>LISTAS!$B$22*_xlfn.XLOOKUP(G4,LISTAS!$B$27:$B$36,LISTAS!$A$27:$A$36)*_xlfn.XLOOKUP(H4,LISTAS!$B$38:$B$47,LISTAS!$A$38:$A$47,,-1)*_xlfn.XLOOKUP(J4,LISTAS!$E$26:$H$26,LISTAS!$E$48:$H$48)*_xlfn.XLOOKUP(F4,LISTAS!$A$15:$A$18,LISTAS!$H$15:$H$18)</f>
        <v>1.9183499999999999E-2</v>
      </c>
      <c r="N4" s="54" cm="1">
        <f t="array" ref="N4">_xlfn.XLOOKUP(K4,LISTAS!$D$27:$D$47,_xlfn.XLOOKUP(J4,LISTAS!$E$26:$H$26,LISTAS!$E$27:$H$47))</f>
        <v>7978000</v>
      </c>
      <c r="O4" s="56" t="s">
        <v>1624</v>
      </c>
      <c r="P4" s="76" t="str">
        <f t="shared" ca="1" si="2"/>
        <v>Vigente</v>
      </c>
    </row>
    <row r="5" spans="1:16" x14ac:dyDescent="0.3">
      <c r="A5" s="58" t="s">
        <v>295</v>
      </c>
      <c r="B5" s="56" t="s">
        <v>247</v>
      </c>
      <c r="C5" s="50" t="str">
        <f>_xlfn.XLOOKUP(B5,CLIENTES!$A$2:$A$301,CLIENTES!$B$2:$B$301)</f>
        <v>Rodrigo Navarro</v>
      </c>
      <c r="D5" s="60">
        <v>45987</v>
      </c>
      <c r="E5" s="60">
        <f t="shared" si="0"/>
        <v>46352</v>
      </c>
      <c r="F5" s="50" t="s">
        <v>1598</v>
      </c>
      <c r="G5" s="56" t="s">
        <v>1604</v>
      </c>
      <c r="H5" s="47">
        <v>80</v>
      </c>
      <c r="I5" s="60">
        <v>16837</v>
      </c>
      <c r="J5" s="56" t="s">
        <v>1609</v>
      </c>
      <c r="K5" s="56">
        <v>2020</v>
      </c>
      <c r="L5" s="52">
        <f t="shared" si="1"/>
        <v>47607.560000000005</v>
      </c>
      <c r="M5" s="56">
        <f>LISTAS!$B$22*_xlfn.XLOOKUP(G5,LISTAS!$B$27:$B$36,LISTAS!$A$27:$A$36)*_xlfn.XLOOKUP(H5,LISTAS!$B$38:$B$47,LISTAS!$A$38:$A$47,,-1)*_xlfn.XLOOKUP(J5,LISTAS!$E$26:$H$26,LISTAS!$E$48:$H$48)*_xlfn.XLOOKUP(F5,LISTAS!$A$15:$A$18,LISTAS!$H$15:$H$18)</f>
        <v>3.9585000000000002E-2</v>
      </c>
      <c r="N5" s="54" cm="1">
        <f t="array" ref="N5">_xlfn.XLOOKUP(K5,LISTAS!$D$27:$D$47,_xlfn.XLOOKUP(J5,LISTAS!$E$26:$H$26,LISTAS!$E$27:$H$47))</f>
        <v>14432000</v>
      </c>
      <c r="O5" s="56" t="s">
        <v>1623</v>
      </c>
      <c r="P5" s="76" t="str">
        <f t="shared" ca="1" si="2"/>
        <v>Vigente</v>
      </c>
    </row>
    <row r="6" spans="1:16" x14ac:dyDescent="0.3">
      <c r="A6" s="58" t="s">
        <v>296</v>
      </c>
      <c r="B6" s="56" t="s">
        <v>42</v>
      </c>
      <c r="C6" s="50" t="str">
        <f>_xlfn.XLOOKUP(B6,CLIENTES!$A$2:$A$301,CLIENTES!$B$2:$B$301)</f>
        <v>Pablo Torres</v>
      </c>
      <c r="D6" s="60">
        <v>44493</v>
      </c>
      <c r="E6" s="60">
        <f t="shared" si="0"/>
        <v>44858</v>
      </c>
      <c r="F6" s="50" t="s">
        <v>1596</v>
      </c>
      <c r="G6" s="56" t="s">
        <v>1604</v>
      </c>
      <c r="H6" s="47">
        <v>37</v>
      </c>
      <c r="I6" s="60">
        <v>32480</v>
      </c>
      <c r="J6" s="56" t="s">
        <v>1610</v>
      </c>
      <c r="K6" s="56">
        <v>2013</v>
      </c>
      <c r="L6" s="52">
        <f t="shared" si="1"/>
        <v>20395.856250000004</v>
      </c>
      <c r="M6" s="56">
        <f>LISTAS!$B$22*_xlfn.XLOOKUP(G6,LISTAS!$B$27:$B$36,LISTAS!$A$27:$A$36)*_xlfn.XLOOKUP(H6,LISTAS!$B$38:$B$47,LISTAS!$A$38:$A$47,,-1)*_xlfn.XLOOKUP(J6,LISTAS!$E$26:$H$26,LISTAS!$E$48:$H$48)*_xlfn.XLOOKUP(F6,LISTAS!$A$15:$A$18,LISTAS!$H$15:$H$18)</f>
        <v>1.9635000000000003E-2</v>
      </c>
      <c r="N6" s="54" cm="1">
        <f t="array" ref="N6">_xlfn.XLOOKUP(K6,LISTAS!$D$27:$D$47,_xlfn.XLOOKUP(J6,LISTAS!$E$26:$H$26,LISTAS!$E$27:$H$47))</f>
        <v>12465000</v>
      </c>
      <c r="O6" s="56" t="s">
        <v>1624</v>
      </c>
      <c r="P6" s="76" t="str">
        <f t="shared" ca="1" si="2"/>
        <v>Vencida</v>
      </c>
    </row>
    <row r="7" spans="1:16" x14ac:dyDescent="0.3">
      <c r="A7" s="58" t="s">
        <v>297</v>
      </c>
      <c r="B7" s="56" t="s">
        <v>163</v>
      </c>
      <c r="C7" s="50" t="str">
        <f>_xlfn.XLOOKUP(B7,CLIENTES!$A$2:$A$301,CLIENTES!$B$2:$B$301)</f>
        <v>Mariano Ortiz</v>
      </c>
      <c r="D7" s="60">
        <v>45850</v>
      </c>
      <c r="E7" s="60">
        <f t="shared" si="0"/>
        <v>46215</v>
      </c>
      <c r="F7" s="50" t="s">
        <v>1598</v>
      </c>
      <c r="G7" s="56" t="s">
        <v>1607</v>
      </c>
      <c r="H7" s="47">
        <v>75</v>
      </c>
      <c r="I7" s="60">
        <v>18711</v>
      </c>
      <c r="J7" s="56" t="s">
        <v>1611</v>
      </c>
      <c r="K7" s="56">
        <v>2020</v>
      </c>
      <c r="L7" s="52">
        <f t="shared" si="1"/>
        <v>103238.009875</v>
      </c>
      <c r="M7" s="56">
        <f>LISTAS!$B$22*_xlfn.XLOOKUP(G7,LISTAS!$B$27:$B$36,LISTAS!$A$27:$A$36)*_xlfn.XLOOKUP(H7,LISTAS!$B$38:$B$47,LISTAS!$A$38:$A$47,,-1)*_xlfn.XLOOKUP(J7,LISTAS!$E$26:$H$26,LISTAS!$E$48:$H$48)*_xlfn.XLOOKUP(F7,LISTAS!$A$15:$A$18,LISTAS!$H$15:$H$18)</f>
        <v>4.7690500000000004E-2</v>
      </c>
      <c r="N7" s="54" cm="1">
        <f t="array" ref="N7">_xlfn.XLOOKUP(K7,LISTAS!$D$27:$D$47,_xlfn.XLOOKUP(J7,LISTAS!$E$26:$H$26,LISTAS!$E$27:$H$47))</f>
        <v>25977000</v>
      </c>
      <c r="O7" s="56" t="s">
        <v>1624</v>
      </c>
      <c r="P7" s="76" t="str">
        <f t="shared" ca="1" si="2"/>
        <v>Vencida</v>
      </c>
    </row>
    <row r="8" spans="1:16" x14ac:dyDescent="0.3">
      <c r="A8" s="58" t="s">
        <v>298</v>
      </c>
      <c r="B8" s="56" t="s">
        <v>93</v>
      </c>
      <c r="C8" s="50" t="str">
        <f>_xlfn.XLOOKUP(B8,CLIENTES!$A$2:$A$301,CLIENTES!$B$2:$B$301)</f>
        <v>Daniel Núñez</v>
      </c>
      <c r="D8" s="60">
        <v>44520</v>
      </c>
      <c r="E8" s="60">
        <f t="shared" si="0"/>
        <v>44885</v>
      </c>
      <c r="F8" s="50" t="s">
        <v>1596</v>
      </c>
      <c r="G8" s="56" t="s">
        <v>1602</v>
      </c>
      <c r="H8" s="47">
        <v>37</v>
      </c>
      <c r="I8" s="60">
        <v>32560</v>
      </c>
      <c r="J8" s="56" t="s">
        <v>1612</v>
      </c>
      <c r="K8" s="56">
        <v>2025</v>
      </c>
      <c r="L8" s="52">
        <f t="shared" si="1"/>
        <v>45981.600000000006</v>
      </c>
      <c r="M8" s="56">
        <f>LISTAS!$B$22*_xlfn.XLOOKUP(G8,LISTAS!$B$27:$B$36,LISTAS!$A$27:$A$36)*_xlfn.XLOOKUP(H8,LISTAS!$B$38:$B$47,LISTAS!$A$38:$A$47,,-1)*_xlfn.XLOOKUP(J8,LISTAS!$E$26:$H$26,LISTAS!$E$48:$H$48)*_xlfn.XLOOKUP(F8,LISTAS!$A$15:$A$18,LISTAS!$H$15:$H$18)</f>
        <v>1.8742500000000002E-2</v>
      </c>
      <c r="N8" s="54" cm="1">
        <f t="array" ref="N8">_xlfn.XLOOKUP(K8,LISTAS!$D$27:$D$47,_xlfn.XLOOKUP(J8,LISTAS!$E$26:$H$26,LISTAS!$E$27:$H$47))</f>
        <v>29440000</v>
      </c>
      <c r="O8" s="56" t="s">
        <v>1623</v>
      </c>
      <c r="P8" s="76" t="str">
        <f t="shared" ca="1" si="2"/>
        <v>Vencida</v>
      </c>
    </row>
    <row r="9" spans="1:16" x14ac:dyDescent="0.3">
      <c r="A9" s="58" t="s">
        <v>299</v>
      </c>
      <c r="B9" s="56" t="s">
        <v>282</v>
      </c>
      <c r="C9" s="50" t="str">
        <f>_xlfn.XLOOKUP(B9,CLIENTES!$A$2:$A$301,CLIENTES!$B$2:$B$301)</f>
        <v>Tomás Acosta</v>
      </c>
      <c r="D9" s="60">
        <v>44778</v>
      </c>
      <c r="E9" s="60">
        <f t="shared" si="0"/>
        <v>45143</v>
      </c>
      <c r="F9" s="50" t="s">
        <v>1595</v>
      </c>
      <c r="G9" s="56" t="s">
        <v>1603</v>
      </c>
      <c r="H9" s="47">
        <v>26</v>
      </c>
      <c r="I9" s="60">
        <v>36444</v>
      </c>
      <c r="J9" s="56" t="s">
        <v>1610</v>
      </c>
      <c r="K9" s="56">
        <v>2025</v>
      </c>
      <c r="L9" s="52">
        <f t="shared" si="1"/>
        <v>46147.19999999999</v>
      </c>
      <c r="M9" s="56">
        <f>LISTAS!$B$22*_xlfn.XLOOKUP(G9,LISTAS!$B$27:$B$36,LISTAS!$A$27:$A$36)*_xlfn.XLOOKUP(H9,LISTAS!$B$38:$B$47,LISTAS!$A$38:$A$47,,-1)*_xlfn.XLOOKUP(J9,LISTAS!$E$26:$H$26,LISTAS!$E$48:$H$48)*_xlfn.XLOOKUP(F9,LISTAS!$A$15:$A$18,LISTAS!$H$15:$H$18)</f>
        <v>1.5047999999999999E-2</v>
      </c>
      <c r="N9" s="54" cm="1">
        <f t="array" ref="N9">_xlfn.XLOOKUP(K9,LISTAS!$D$27:$D$47,_xlfn.XLOOKUP(J9,LISTAS!$E$26:$H$26,LISTAS!$E$27:$H$47))</f>
        <v>36800000</v>
      </c>
      <c r="O9" s="56" t="s">
        <v>1623</v>
      </c>
      <c r="P9" s="76" t="str">
        <f t="shared" ca="1" si="2"/>
        <v>Vencida</v>
      </c>
    </row>
    <row r="10" spans="1:16" x14ac:dyDescent="0.3">
      <c r="A10" s="58" t="s">
        <v>300</v>
      </c>
      <c r="B10" s="56" t="s">
        <v>292</v>
      </c>
      <c r="C10" s="50" t="str">
        <f>_xlfn.XLOOKUP(B10,CLIENTES!$A$2:$A$301,CLIENTES!$B$2:$B$301)</f>
        <v>Paula Mansilla</v>
      </c>
      <c r="D10" s="60">
        <v>45890</v>
      </c>
      <c r="E10" s="60">
        <f t="shared" si="0"/>
        <v>46255</v>
      </c>
      <c r="F10" s="50" t="s">
        <v>1598</v>
      </c>
      <c r="G10" s="56" t="s">
        <v>1604</v>
      </c>
      <c r="H10" s="47">
        <v>79</v>
      </c>
      <c r="I10" s="60">
        <v>17129</v>
      </c>
      <c r="J10" s="56" t="s">
        <v>1611</v>
      </c>
      <c r="K10" s="56">
        <v>2024</v>
      </c>
      <c r="L10" s="52">
        <f t="shared" si="1"/>
        <v>143703.9410625</v>
      </c>
      <c r="M10" s="56">
        <f>LISTAS!$B$22*_xlfn.XLOOKUP(G10,LISTAS!$B$27:$B$36,LISTAS!$A$27:$A$36)*_xlfn.XLOOKUP(H10,LISTAS!$B$38:$B$47,LISTAS!$A$38:$A$47,,-1)*_xlfn.XLOOKUP(J10,LISTAS!$E$26:$H$26,LISTAS!$E$48:$H$48)*_xlfn.XLOOKUP(F10,LISTAS!$A$15:$A$18,LISTAS!$H$15:$H$18)</f>
        <v>4.5522750000000001E-2</v>
      </c>
      <c r="N10" s="54" cm="1">
        <f t="array" ref="N10">_xlfn.XLOOKUP(K10,LISTAS!$D$27:$D$47,_xlfn.XLOOKUP(J10,LISTAS!$E$26:$H$26,LISTAS!$E$27:$H$47))</f>
        <v>37881000</v>
      </c>
      <c r="O10" s="56" t="s">
        <v>1623</v>
      </c>
      <c r="P10" s="76" t="str">
        <f t="shared" ca="1" si="2"/>
        <v>Vencida</v>
      </c>
    </row>
    <row r="11" spans="1:16" x14ac:dyDescent="0.3">
      <c r="A11" s="58" t="s">
        <v>301</v>
      </c>
      <c r="B11" s="56" t="s">
        <v>211</v>
      </c>
      <c r="C11" s="50" t="str">
        <f>_xlfn.XLOOKUP(B11,CLIENTES!$A$2:$A$301,CLIENTES!$B$2:$B$301)</f>
        <v>Mariana Peralta</v>
      </c>
      <c r="D11" s="60">
        <v>46128</v>
      </c>
      <c r="E11" s="60">
        <f t="shared" si="0"/>
        <v>46493</v>
      </c>
      <c r="F11" s="50" t="s">
        <v>1597</v>
      </c>
      <c r="G11" s="56" t="s">
        <v>1601</v>
      </c>
      <c r="H11" s="47">
        <v>73</v>
      </c>
      <c r="I11" s="60">
        <v>19510</v>
      </c>
      <c r="J11" s="56" t="s">
        <v>1609</v>
      </c>
      <c r="K11" s="56">
        <v>2023</v>
      </c>
      <c r="L11" s="52">
        <f t="shared" si="1"/>
        <v>56527.368333333339</v>
      </c>
      <c r="M11" s="56">
        <f>LISTAS!$B$22*_xlfn.XLOOKUP(G11,LISTAS!$B$27:$B$36,LISTAS!$A$27:$A$36)*_xlfn.XLOOKUP(H11,LISTAS!$B$38:$B$47,LISTAS!$A$38:$A$47,,-1)*_xlfn.XLOOKUP(J11,LISTAS!$E$26:$H$26,LISTAS!$E$48:$H$48)*_xlfn.XLOOKUP(F11,LISTAS!$A$15:$A$18,LISTAS!$H$15:$H$18)</f>
        <v>3.542E-2</v>
      </c>
      <c r="N11" s="54" cm="1">
        <f t="array" ref="N11">_xlfn.XLOOKUP(K11,LISTAS!$D$27:$D$47,_xlfn.XLOOKUP(J11,LISTAS!$E$26:$H$26,LISTAS!$E$27:$H$47))</f>
        <v>19151000</v>
      </c>
      <c r="O11" s="56" t="s">
        <v>1623</v>
      </c>
      <c r="P11" s="76" t="str">
        <f t="shared" ca="1" si="2"/>
        <v>Vigente</v>
      </c>
    </row>
    <row r="12" spans="1:16" x14ac:dyDescent="0.3">
      <c r="A12" s="58" t="s">
        <v>302</v>
      </c>
      <c r="B12" s="56" t="s">
        <v>239</v>
      </c>
      <c r="C12" s="50" t="str">
        <f>_xlfn.XLOOKUP(B12,CLIENTES!$A$2:$A$301,CLIENTES!$B$2:$B$301)</f>
        <v>Matías Flores</v>
      </c>
      <c r="D12" s="60">
        <v>44633</v>
      </c>
      <c r="E12" s="60">
        <f t="shared" si="0"/>
        <v>44998</v>
      </c>
      <c r="F12" s="50" t="s">
        <v>1598</v>
      </c>
      <c r="G12" s="56" t="s">
        <v>1603</v>
      </c>
      <c r="H12" s="47">
        <v>40</v>
      </c>
      <c r="I12" s="60">
        <v>31554</v>
      </c>
      <c r="J12" s="56" t="s">
        <v>1611</v>
      </c>
      <c r="K12" s="56">
        <v>2021</v>
      </c>
      <c r="L12" s="52">
        <f t="shared" si="1"/>
        <v>64192.22279166666</v>
      </c>
      <c r="M12" s="56">
        <f>LISTAS!$B$22*_xlfn.XLOOKUP(G12,LISTAS!$B$27:$B$36,LISTAS!$A$27:$A$36)*_xlfn.XLOOKUP(H12,LISTAS!$B$38:$B$47,LISTAS!$A$38:$A$47,,-1)*_xlfn.XLOOKUP(J12,LISTAS!$E$26:$H$26,LISTAS!$E$48:$H$48)*_xlfn.XLOOKUP(F12,LISTAS!$A$15:$A$18,LISTAS!$H$15:$H$18)</f>
        <v>2.6984749999999998E-2</v>
      </c>
      <c r="N12" s="54" cm="1">
        <f t="array" ref="N12">_xlfn.XLOOKUP(K12,LISTAS!$D$27:$D$47,_xlfn.XLOOKUP(J12,LISTAS!$E$26:$H$26,LISTAS!$E$27:$H$47))</f>
        <v>28546000</v>
      </c>
      <c r="O12" s="56" t="s">
        <v>1625</v>
      </c>
      <c r="P12" s="76" t="str">
        <f t="shared" ca="1" si="2"/>
        <v>Vencida</v>
      </c>
    </row>
    <row r="13" spans="1:16" x14ac:dyDescent="0.3">
      <c r="A13" s="58" t="s">
        <v>303</v>
      </c>
      <c r="B13" s="56" t="s">
        <v>260</v>
      </c>
      <c r="C13" s="50" t="str">
        <f>_xlfn.XLOOKUP(B13,CLIENTES!$A$2:$A$301,CLIENTES!$B$2:$B$301)</f>
        <v>Daniela Quiroga</v>
      </c>
      <c r="D13" s="60">
        <v>44798</v>
      </c>
      <c r="E13" s="60">
        <f t="shared" si="0"/>
        <v>45163</v>
      </c>
      <c r="F13" s="50" t="s">
        <v>1598</v>
      </c>
      <c r="G13" s="56" t="s">
        <v>1604</v>
      </c>
      <c r="H13" s="47">
        <v>44</v>
      </c>
      <c r="I13" s="60">
        <v>29965</v>
      </c>
      <c r="J13" s="56" t="s">
        <v>1612</v>
      </c>
      <c r="K13" s="56">
        <v>2020</v>
      </c>
      <c r="L13" s="52">
        <f t="shared" si="1"/>
        <v>41918.740500000007</v>
      </c>
      <c r="M13" s="56">
        <f>LISTAS!$B$22*_xlfn.XLOOKUP(G13,LISTAS!$B$27:$B$36,LISTAS!$A$27:$A$36)*_xlfn.XLOOKUP(H13,LISTAS!$B$38:$B$47,LISTAS!$A$38:$A$47,,-1)*_xlfn.XLOOKUP(J13,LISTAS!$E$26:$H$26,LISTAS!$E$48:$H$48)*_xlfn.XLOOKUP(F13,LISTAS!$A$15:$A$18,LISTAS!$H$15:$H$18)</f>
        <v>2.7231750000000002E-2</v>
      </c>
      <c r="N13" s="54" cm="1">
        <f t="array" ref="N13">_xlfn.XLOOKUP(K13,LISTAS!$D$27:$D$47,_xlfn.XLOOKUP(J13,LISTAS!$E$26:$H$26,LISTAS!$E$27:$H$47))</f>
        <v>18472000</v>
      </c>
      <c r="O13" s="56" t="s">
        <v>1626</v>
      </c>
      <c r="P13" s="76" t="str">
        <f t="shared" ca="1" si="2"/>
        <v>Vencida</v>
      </c>
    </row>
    <row r="14" spans="1:16" x14ac:dyDescent="0.3">
      <c r="A14" s="58" t="s">
        <v>304</v>
      </c>
      <c r="B14" s="56" t="s">
        <v>256</v>
      </c>
      <c r="C14" s="50" t="str">
        <f>_xlfn.XLOOKUP(B14,CLIENTES!$A$2:$A$301,CLIENTES!$B$2:$B$301)</f>
        <v>Florencia Mansilla</v>
      </c>
      <c r="D14" s="60">
        <v>46169</v>
      </c>
      <c r="E14" s="60">
        <f t="shared" si="0"/>
        <v>46534</v>
      </c>
      <c r="F14" s="50" t="s">
        <v>1595</v>
      </c>
      <c r="G14" s="56" t="s">
        <v>1608</v>
      </c>
      <c r="H14" s="47">
        <v>78</v>
      </c>
      <c r="I14" s="60">
        <v>17710</v>
      </c>
      <c r="J14" s="56" t="s">
        <v>1612</v>
      </c>
      <c r="K14" s="56">
        <v>2021</v>
      </c>
      <c r="L14" s="52">
        <f t="shared" si="1"/>
        <v>29359.966124999995</v>
      </c>
      <c r="M14" s="56">
        <f>LISTAS!$B$22*_xlfn.XLOOKUP(G14,LISTAS!$B$27:$B$36,LISTAS!$A$27:$A$36)*_xlfn.XLOOKUP(H14,LISTAS!$B$38:$B$47,LISTAS!$A$38:$A$47,,-1)*_xlfn.XLOOKUP(J14,LISTAS!$E$26:$H$26,LISTAS!$E$48:$H$48)*_xlfn.XLOOKUP(F14,LISTAS!$A$15:$A$18,LISTAS!$H$15:$H$18)</f>
        <v>1.7356499999999997E-2</v>
      </c>
      <c r="N14" s="54" cm="1">
        <f t="array" ref="N14">_xlfn.XLOOKUP(K14,LISTAS!$D$27:$D$47,_xlfn.XLOOKUP(J14,LISTAS!$E$26:$H$26,LISTAS!$E$27:$H$47))</f>
        <v>20299000</v>
      </c>
      <c r="O14" s="56" t="s">
        <v>1623</v>
      </c>
      <c r="P14" s="76" t="str">
        <f t="shared" ca="1" si="2"/>
        <v>Vigente</v>
      </c>
    </row>
    <row r="15" spans="1:16" x14ac:dyDescent="0.3">
      <c r="A15" s="58" t="s">
        <v>305</v>
      </c>
      <c r="B15" s="56" t="s">
        <v>74</v>
      </c>
      <c r="C15" s="50" t="str">
        <f>_xlfn.XLOOKUP(B15,CLIENTES!$A$2:$A$301,CLIENTES!$B$2:$B$301)</f>
        <v>Federico Flores</v>
      </c>
      <c r="D15" s="60">
        <v>44831</v>
      </c>
      <c r="E15" s="60">
        <f t="shared" si="0"/>
        <v>45196</v>
      </c>
      <c r="F15" s="50" t="s">
        <v>1597</v>
      </c>
      <c r="G15" s="56" t="s">
        <v>1604</v>
      </c>
      <c r="H15" s="47">
        <v>38</v>
      </c>
      <c r="I15" s="60">
        <v>32220</v>
      </c>
      <c r="J15" s="56" t="s">
        <v>1611</v>
      </c>
      <c r="K15" s="56">
        <v>2021</v>
      </c>
      <c r="L15" s="52">
        <f t="shared" si="1"/>
        <v>63193.707500000011</v>
      </c>
      <c r="M15" s="56">
        <f>LISTAS!$B$22*_xlfn.XLOOKUP(G15,LISTAS!$B$27:$B$36,LISTAS!$A$27:$A$36)*_xlfn.XLOOKUP(H15,LISTAS!$B$38:$B$47,LISTAS!$A$38:$A$47,,-1)*_xlfn.XLOOKUP(J15,LISTAS!$E$26:$H$26,LISTAS!$E$48:$H$48)*_xlfn.XLOOKUP(F15,LISTAS!$A$15:$A$18,LISTAS!$H$15:$H$18)</f>
        <v>2.6565000000000005E-2</v>
      </c>
      <c r="N15" s="54" cm="1">
        <f t="array" ref="N15">_xlfn.XLOOKUP(K15,LISTAS!$D$27:$D$47,_xlfn.XLOOKUP(J15,LISTAS!$E$26:$H$26,LISTAS!$E$27:$H$47))</f>
        <v>28546000</v>
      </c>
      <c r="O15" s="56" t="s">
        <v>1625</v>
      </c>
      <c r="P15" s="76" t="str">
        <f t="shared" ca="1" si="2"/>
        <v>Vencida</v>
      </c>
    </row>
    <row r="16" spans="1:16" x14ac:dyDescent="0.3">
      <c r="A16" s="58" t="s">
        <v>306</v>
      </c>
      <c r="B16" s="56" t="s">
        <v>237</v>
      </c>
      <c r="C16" s="50" t="str">
        <f>_xlfn.XLOOKUP(B16,CLIENTES!$A$2:$A$301,CLIENTES!$B$2:$B$301)</f>
        <v>Florencia Peralta</v>
      </c>
      <c r="D16" s="60">
        <v>45761</v>
      </c>
      <c r="E16" s="60">
        <f t="shared" si="0"/>
        <v>46126</v>
      </c>
      <c r="F16" s="50" t="s">
        <v>1598</v>
      </c>
      <c r="G16" s="56" t="s">
        <v>1603</v>
      </c>
      <c r="H16" s="47">
        <v>40</v>
      </c>
      <c r="I16" s="60">
        <v>31357</v>
      </c>
      <c r="J16" s="56" t="s">
        <v>1609</v>
      </c>
      <c r="K16" s="56">
        <v>2022</v>
      </c>
      <c r="L16" s="52">
        <f t="shared" si="1"/>
        <v>34077.046249999999</v>
      </c>
      <c r="M16" s="56">
        <f>LISTAS!$B$22*_xlfn.XLOOKUP(G16,LISTAS!$B$27:$B$36,LISTAS!$A$27:$A$36)*_xlfn.XLOOKUP(H16,LISTAS!$B$38:$B$47,LISTAS!$A$38:$A$47,,-1)*_xlfn.XLOOKUP(J16,LISTAS!$E$26:$H$26,LISTAS!$E$48:$H$48)*_xlfn.XLOOKUP(F16,LISTAS!$A$15:$A$18,LISTAS!$H$15:$H$18)</f>
        <v>2.3465E-2</v>
      </c>
      <c r="N16" s="54" cm="1">
        <f t="array" ref="N16">_xlfn.XLOOKUP(K16,LISTAS!$D$27:$D$47,_xlfn.XLOOKUP(J16,LISTAS!$E$26:$H$26,LISTAS!$E$27:$H$47))</f>
        <v>17427000</v>
      </c>
      <c r="O16" s="56" t="s">
        <v>1624</v>
      </c>
      <c r="P16" s="76" t="str">
        <f t="shared" ca="1" si="2"/>
        <v>Vencida</v>
      </c>
    </row>
    <row r="17" spans="1:16" x14ac:dyDescent="0.3">
      <c r="A17" s="58" t="s">
        <v>307</v>
      </c>
      <c r="B17" s="56" t="s">
        <v>33</v>
      </c>
      <c r="C17" s="50" t="str">
        <f>_xlfn.XLOOKUP(B17,CLIENTES!$A$2:$A$301,CLIENTES!$B$2:$B$301)</f>
        <v>Daniel Suárez</v>
      </c>
      <c r="D17" s="60">
        <v>46253</v>
      </c>
      <c r="E17" s="60">
        <f t="shared" si="0"/>
        <v>46618</v>
      </c>
      <c r="F17" s="50" t="s">
        <v>1597</v>
      </c>
      <c r="G17" s="56" t="s">
        <v>1604</v>
      </c>
      <c r="H17" s="47">
        <v>18</v>
      </c>
      <c r="I17" s="60">
        <v>39649</v>
      </c>
      <c r="J17" s="56" t="s">
        <v>1609</v>
      </c>
      <c r="K17" s="56">
        <v>2022</v>
      </c>
      <c r="L17" s="52">
        <f t="shared" si="1"/>
        <v>50320.462500000001</v>
      </c>
      <c r="M17" s="56">
        <f>LISTAS!$B$22*_xlfn.XLOOKUP(G17,LISTAS!$B$27:$B$36,LISTAS!$A$27:$A$36)*_xlfn.XLOOKUP(H17,LISTAS!$B$38:$B$47,LISTAS!$A$38:$A$47,,-1)*_xlfn.XLOOKUP(J17,LISTAS!$E$26:$H$26,LISTAS!$E$48:$H$48)*_xlfn.XLOOKUP(F17,LISTAS!$A$15:$A$18,LISTAS!$H$15:$H$18)</f>
        <v>3.465E-2</v>
      </c>
      <c r="N17" s="54" cm="1">
        <f t="array" ref="N17">_xlfn.XLOOKUP(K17,LISTAS!$D$27:$D$47,_xlfn.XLOOKUP(J17,LISTAS!$E$26:$H$26,LISTAS!$E$27:$H$47))</f>
        <v>17427000</v>
      </c>
      <c r="O17" s="56" t="s">
        <v>1623</v>
      </c>
      <c r="P17" s="76" t="str">
        <f t="shared" ca="1" si="2"/>
        <v>Vigente</v>
      </c>
    </row>
    <row r="18" spans="1:16" x14ac:dyDescent="0.3">
      <c r="A18" s="58" t="s">
        <v>308</v>
      </c>
      <c r="B18" s="56" t="s">
        <v>216</v>
      </c>
      <c r="C18" s="50" t="str">
        <f>_xlfn.XLOOKUP(B18,CLIENTES!$A$2:$A$301,CLIENTES!$B$2:$B$301)</f>
        <v>Mariana Correa</v>
      </c>
      <c r="D18" s="60">
        <v>45533</v>
      </c>
      <c r="E18" s="60">
        <f t="shared" si="0"/>
        <v>45898</v>
      </c>
      <c r="F18" s="50" t="s">
        <v>1595</v>
      </c>
      <c r="G18" s="56" t="s">
        <v>1599</v>
      </c>
      <c r="H18" s="47">
        <v>25</v>
      </c>
      <c r="I18" s="60">
        <v>36996</v>
      </c>
      <c r="J18" s="56" t="s">
        <v>1610</v>
      </c>
      <c r="K18" s="56">
        <v>2019</v>
      </c>
      <c r="L18" s="52">
        <f t="shared" si="1"/>
        <v>33283.008000000002</v>
      </c>
      <c r="M18" s="56">
        <f>LISTAS!$B$22*_xlfn.XLOOKUP(G18,LISTAS!$B$27:$B$36,LISTAS!$A$27:$A$36)*_xlfn.XLOOKUP(H18,LISTAS!$B$38:$B$47,LISTAS!$A$38:$A$47,,-1)*_xlfn.XLOOKUP(J18,LISTAS!$E$26:$H$26,LISTAS!$E$48:$H$48)*_xlfn.XLOOKUP(F18,LISTAS!$A$15:$A$18,LISTAS!$H$15:$H$18)</f>
        <v>1.9008000000000001E-2</v>
      </c>
      <c r="N18" s="54" cm="1">
        <f t="array" ref="N18">_xlfn.XLOOKUP(K18,LISTAS!$D$27:$D$47,_xlfn.XLOOKUP(J18,LISTAS!$E$26:$H$26,LISTAS!$E$27:$H$47))</f>
        <v>21012000</v>
      </c>
      <c r="O18" s="56" t="s">
        <v>1623</v>
      </c>
      <c r="P18" s="76" t="str">
        <f t="shared" ca="1" si="2"/>
        <v>Vencida</v>
      </c>
    </row>
    <row r="19" spans="1:16" x14ac:dyDescent="0.3">
      <c r="A19" s="58" t="s">
        <v>309</v>
      </c>
      <c r="B19" s="56" t="s">
        <v>87</v>
      </c>
      <c r="C19" s="50" t="str">
        <f>_xlfn.XLOOKUP(B19,CLIENTES!$A$2:$A$301,CLIENTES!$B$2:$B$301)</f>
        <v>Nicolás López</v>
      </c>
      <c r="D19" s="60">
        <v>45493</v>
      </c>
      <c r="E19" s="60">
        <f t="shared" si="0"/>
        <v>45858</v>
      </c>
      <c r="F19" s="50" t="s">
        <v>1595</v>
      </c>
      <c r="G19" s="56" t="s">
        <v>1605</v>
      </c>
      <c r="H19" s="47">
        <v>64</v>
      </c>
      <c r="I19" s="60">
        <v>22857</v>
      </c>
      <c r="J19" s="56" t="s">
        <v>1610</v>
      </c>
      <c r="K19" s="56">
        <v>2020</v>
      </c>
      <c r="L19" s="52">
        <f t="shared" si="1"/>
        <v>24003.094500000007</v>
      </c>
      <c r="M19" s="56">
        <f>LISTAS!$B$22*_xlfn.XLOOKUP(G19,LISTAS!$B$27:$B$36,LISTAS!$A$27:$A$36)*_xlfn.XLOOKUP(H19,LISTAS!$B$38:$B$47,LISTAS!$A$38:$A$47,,-1)*_xlfn.XLOOKUP(J19,LISTAS!$E$26:$H$26,LISTAS!$E$48:$H$48)*_xlfn.XLOOKUP(F19,LISTAS!$A$15:$A$18,LISTAS!$H$15:$H$18)</f>
        <v>1.2474000000000004E-2</v>
      </c>
      <c r="N19" s="54" cm="1">
        <f t="array" ref="N19">_xlfn.XLOOKUP(K19,LISTAS!$D$27:$D$47,_xlfn.XLOOKUP(J19,LISTAS!$E$26:$H$26,LISTAS!$E$27:$H$47))</f>
        <v>23091000</v>
      </c>
      <c r="O19" s="56" t="s">
        <v>1623</v>
      </c>
      <c r="P19" s="76" t="str">
        <f t="shared" ca="1" si="2"/>
        <v>Vencida</v>
      </c>
    </row>
    <row r="20" spans="1:16" x14ac:dyDescent="0.3">
      <c r="A20" s="58" t="s">
        <v>310</v>
      </c>
      <c r="B20" s="56" t="s">
        <v>123</v>
      </c>
      <c r="C20" s="50" t="str">
        <f>_xlfn.XLOOKUP(B20,CLIENTES!$A$2:$A$301,CLIENTES!$B$2:$B$301)</f>
        <v>Victoria Ramírez</v>
      </c>
      <c r="D20" s="60">
        <v>44620</v>
      </c>
      <c r="E20" s="60">
        <f t="shared" si="0"/>
        <v>44985</v>
      </c>
      <c r="F20" s="50" t="s">
        <v>1598</v>
      </c>
      <c r="G20" s="56" t="s">
        <v>1601</v>
      </c>
      <c r="H20" s="47">
        <v>44</v>
      </c>
      <c r="I20" s="60">
        <v>29859</v>
      </c>
      <c r="J20" s="56" t="s">
        <v>1609</v>
      </c>
      <c r="K20" s="56">
        <v>2021</v>
      </c>
      <c r="L20" s="52">
        <f t="shared" si="1"/>
        <v>37539.574583333335</v>
      </c>
      <c r="M20" s="56">
        <f>LISTAS!$B$22*_xlfn.XLOOKUP(G20,LISTAS!$B$27:$B$36,LISTAS!$A$27:$A$36)*_xlfn.XLOOKUP(H20,LISTAS!$B$38:$B$47,LISTAS!$A$38:$A$47,,-1)*_xlfn.XLOOKUP(J20,LISTAS!$E$26:$H$26,LISTAS!$E$48:$H$48)*_xlfn.XLOOKUP(F20,LISTAS!$A$15:$A$18,LISTAS!$H$15:$H$18)</f>
        <v>2.8405E-2</v>
      </c>
      <c r="N20" s="54" cm="1">
        <f t="array" ref="N20">_xlfn.XLOOKUP(K20,LISTAS!$D$27:$D$47,_xlfn.XLOOKUP(J20,LISTAS!$E$26:$H$26,LISTAS!$E$27:$H$47))</f>
        <v>15859000</v>
      </c>
      <c r="O20" s="56" t="s">
        <v>1623</v>
      </c>
      <c r="P20" s="76" t="str">
        <f t="shared" ca="1" si="2"/>
        <v>Vencida</v>
      </c>
    </row>
    <row r="21" spans="1:16" x14ac:dyDescent="0.3">
      <c r="A21" s="58" t="s">
        <v>311</v>
      </c>
      <c r="B21" s="56" t="s">
        <v>249</v>
      </c>
      <c r="C21" s="50" t="str">
        <f>_xlfn.XLOOKUP(B21,CLIENTES!$A$2:$A$301,CLIENTES!$B$2:$B$301)</f>
        <v>Valentina Mansilla</v>
      </c>
      <c r="D21" s="60">
        <v>45287</v>
      </c>
      <c r="E21" s="60">
        <f t="shared" si="0"/>
        <v>45653</v>
      </c>
      <c r="F21" s="50" t="s">
        <v>1596</v>
      </c>
      <c r="G21" s="56" t="s">
        <v>1608</v>
      </c>
      <c r="H21" s="47">
        <v>26</v>
      </c>
      <c r="I21" s="60">
        <v>36661</v>
      </c>
      <c r="J21" s="56" t="s">
        <v>1609</v>
      </c>
      <c r="K21" s="56">
        <v>2024</v>
      </c>
      <c r="L21" s="52">
        <f t="shared" si="1"/>
        <v>33987.674999999996</v>
      </c>
      <c r="M21" s="56">
        <f>LISTAS!$B$22*_xlfn.XLOOKUP(G21,LISTAS!$B$27:$B$36,LISTAS!$A$27:$A$36)*_xlfn.XLOOKUP(H21,LISTAS!$B$38:$B$47,LISTAS!$A$38:$A$47,,-1)*_xlfn.XLOOKUP(J21,LISTAS!$E$26:$H$26,LISTAS!$E$48:$H$48)*_xlfn.XLOOKUP(F21,LISTAS!$A$15:$A$18,LISTAS!$H$15:$H$18)</f>
        <v>1.9379999999999998E-2</v>
      </c>
      <c r="N21" s="54" cm="1">
        <f t="array" ref="N21">_xlfn.XLOOKUP(K21,LISTAS!$D$27:$D$47,_xlfn.XLOOKUP(J21,LISTAS!$E$26:$H$26,LISTAS!$E$27:$H$47))</f>
        <v>21045000</v>
      </c>
      <c r="O21" s="56" t="s">
        <v>1625</v>
      </c>
      <c r="P21" s="76" t="str">
        <f t="shared" ca="1" si="2"/>
        <v>Vencida</v>
      </c>
    </row>
    <row r="22" spans="1:16" x14ac:dyDescent="0.3">
      <c r="A22" s="58" t="s">
        <v>312</v>
      </c>
      <c r="B22" s="56" t="s">
        <v>77</v>
      </c>
      <c r="C22" s="50" t="str">
        <f>_xlfn.XLOOKUP(B22,CLIENTES!$A$2:$A$301,CLIENTES!$B$2:$B$301)</f>
        <v>Matías Suárez</v>
      </c>
      <c r="D22" s="60">
        <v>44676</v>
      </c>
      <c r="E22" s="60">
        <f t="shared" si="0"/>
        <v>45041</v>
      </c>
      <c r="F22" s="50" t="s">
        <v>1595</v>
      </c>
      <c r="G22" s="56" t="s">
        <v>1601</v>
      </c>
      <c r="H22" s="47">
        <v>57</v>
      </c>
      <c r="I22" s="60">
        <v>25219</v>
      </c>
      <c r="J22" s="56" t="s">
        <v>1612</v>
      </c>
      <c r="K22" s="56">
        <v>2020</v>
      </c>
      <c r="L22" s="52">
        <f t="shared" si="1"/>
        <v>22304.94</v>
      </c>
      <c r="M22" s="56">
        <f>LISTAS!$B$22*_xlfn.XLOOKUP(G22,LISTAS!$B$27:$B$36,LISTAS!$A$27:$A$36)*_xlfn.XLOOKUP(H22,LISTAS!$B$38:$B$47,LISTAS!$A$38:$A$47,,-1)*_xlfn.XLOOKUP(J22,LISTAS!$E$26:$H$26,LISTAS!$E$48:$H$48)*_xlfn.XLOOKUP(F22,LISTAS!$A$15:$A$18,LISTAS!$H$15:$H$18)</f>
        <v>1.4489999999999999E-2</v>
      </c>
      <c r="N22" s="54" cm="1">
        <f t="array" ref="N22">_xlfn.XLOOKUP(K22,LISTAS!$D$27:$D$47,_xlfn.XLOOKUP(J22,LISTAS!$E$26:$H$26,LISTAS!$E$27:$H$47))</f>
        <v>18472000</v>
      </c>
      <c r="O22" s="56" t="s">
        <v>1626</v>
      </c>
      <c r="P22" s="76" t="str">
        <f t="shared" ca="1" si="2"/>
        <v>Vencida</v>
      </c>
    </row>
    <row r="23" spans="1:16" x14ac:dyDescent="0.3">
      <c r="A23" s="58" t="s">
        <v>313</v>
      </c>
      <c r="B23" s="56" t="s">
        <v>165</v>
      </c>
      <c r="C23" s="50" t="str">
        <f>_xlfn.XLOOKUP(B23,CLIENTES!$A$2:$A$301,CLIENTES!$B$2:$B$301)</f>
        <v>Gabriela Quiroga</v>
      </c>
      <c r="D23" s="60">
        <v>45829</v>
      </c>
      <c r="E23" s="60">
        <f t="shared" si="0"/>
        <v>46194</v>
      </c>
      <c r="F23" s="50" t="s">
        <v>1597</v>
      </c>
      <c r="G23" s="56" t="s">
        <v>1601</v>
      </c>
      <c r="H23" s="47">
        <v>37</v>
      </c>
      <c r="I23" s="60">
        <v>32457</v>
      </c>
      <c r="J23" s="56" t="s">
        <v>1609</v>
      </c>
      <c r="K23" s="56">
        <v>2023</v>
      </c>
      <c r="L23" s="52">
        <f t="shared" si="1"/>
        <v>40376.691666666673</v>
      </c>
      <c r="M23" s="56">
        <f>LISTAS!$B$22*_xlfn.XLOOKUP(G23,LISTAS!$B$27:$B$36,LISTAS!$A$27:$A$36)*_xlfn.XLOOKUP(H23,LISTAS!$B$38:$B$47,LISTAS!$A$38:$A$47,,-1)*_xlfn.XLOOKUP(J23,LISTAS!$E$26:$H$26,LISTAS!$E$48:$H$48)*_xlfn.XLOOKUP(F23,LISTAS!$A$15:$A$18,LISTAS!$H$15:$H$18)</f>
        <v>2.5300000000000003E-2</v>
      </c>
      <c r="N23" s="54" cm="1">
        <f t="array" ref="N23">_xlfn.XLOOKUP(K23,LISTAS!$D$27:$D$47,_xlfn.XLOOKUP(J23,LISTAS!$E$26:$H$26,LISTAS!$E$27:$H$47))</f>
        <v>19151000</v>
      </c>
      <c r="O23" s="56" t="s">
        <v>1623</v>
      </c>
      <c r="P23" s="76" t="str">
        <f t="shared" ca="1" si="2"/>
        <v>Vencida</v>
      </c>
    </row>
    <row r="24" spans="1:16" x14ac:dyDescent="0.3">
      <c r="A24" s="58" t="s">
        <v>314</v>
      </c>
      <c r="B24" s="56" t="s">
        <v>97</v>
      </c>
      <c r="C24" s="50" t="str">
        <f>_xlfn.XLOOKUP(B24,CLIENTES!$A$2:$A$301,CLIENTES!$B$2:$B$301)</f>
        <v>Florencia Romero</v>
      </c>
      <c r="D24" s="60">
        <v>45896</v>
      </c>
      <c r="E24" s="60">
        <f t="shared" si="0"/>
        <v>46261</v>
      </c>
      <c r="F24" s="50" t="s">
        <v>1598</v>
      </c>
      <c r="G24" s="56" t="s">
        <v>1605</v>
      </c>
      <c r="H24" s="47">
        <v>25</v>
      </c>
      <c r="I24" s="60">
        <v>37091</v>
      </c>
      <c r="J24" s="56" t="s">
        <v>1610</v>
      </c>
      <c r="K24" s="56">
        <v>2021</v>
      </c>
      <c r="L24" s="52">
        <f t="shared" si="1"/>
        <v>65312.676000000014</v>
      </c>
      <c r="M24" s="56">
        <f>LISTAS!$B$22*_xlfn.XLOOKUP(G24,LISTAS!$B$27:$B$36,LISTAS!$A$27:$A$36)*_xlfn.XLOOKUP(H24,LISTAS!$B$38:$B$47,LISTAS!$A$38:$A$47,,-1)*_xlfn.XLOOKUP(J24,LISTAS!$E$26:$H$26,LISTAS!$E$48:$H$48)*_xlfn.XLOOKUP(F24,LISTAS!$A$15:$A$18,LISTAS!$H$15:$H$18)</f>
        <v>3.0888000000000006E-2</v>
      </c>
      <c r="N24" s="54" cm="1">
        <f t="array" ref="N24">_xlfn.XLOOKUP(K24,LISTAS!$D$27:$D$47,_xlfn.XLOOKUP(J24,LISTAS!$E$26:$H$26,LISTAS!$E$27:$H$47))</f>
        <v>25374000</v>
      </c>
      <c r="O24" s="56" t="s">
        <v>1623</v>
      </c>
      <c r="P24" s="76" t="str">
        <f t="shared" ca="1" si="2"/>
        <v>Vencida</v>
      </c>
    </row>
    <row r="25" spans="1:16" x14ac:dyDescent="0.3">
      <c r="A25" s="58" t="s">
        <v>315</v>
      </c>
      <c r="B25" s="56" t="s">
        <v>27</v>
      </c>
      <c r="C25" s="50" t="str">
        <f>_xlfn.XLOOKUP(B25,CLIENTES!$A$2:$A$301,CLIENTES!$B$2:$B$301)</f>
        <v>Agustina Vera</v>
      </c>
      <c r="D25" s="60">
        <v>45236</v>
      </c>
      <c r="E25" s="60">
        <f t="shared" si="0"/>
        <v>45602</v>
      </c>
      <c r="F25" s="50" t="s">
        <v>1598</v>
      </c>
      <c r="G25" s="56" t="s">
        <v>1602</v>
      </c>
      <c r="H25" s="47">
        <v>74</v>
      </c>
      <c r="I25" s="60">
        <v>19017</v>
      </c>
      <c r="J25" s="56" t="s">
        <v>1611</v>
      </c>
      <c r="K25" s="56">
        <v>2024</v>
      </c>
      <c r="L25" s="52">
        <f t="shared" si="1"/>
        <v>138748.63274999996</v>
      </c>
      <c r="M25" s="56">
        <f>LISTAS!$B$22*_xlfn.XLOOKUP(G25,LISTAS!$B$27:$B$36,LISTAS!$A$27:$A$36)*_xlfn.XLOOKUP(H25,LISTAS!$B$38:$B$47,LISTAS!$A$38:$A$47,,-1)*_xlfn.XLOOKUP(J25,LISTAS!$E$26:$H$26,LISTAS!$E$48:$H$48)*_xlfn.XLOOKUP(F25,LISTAS!$A$15:$A$18,LISTAS!$H$15:$H$18)</f>
        <v>4.3952999999999992E-2</v>
      </c>
      <c r="N25" s="54" cm="1">
        <f t="array" ref="N25">_xlfn.XLOOKUP(K25,LISTAS!$D$27:$D$47,_xlfn.XLOOKUP(J25,LISTAS!$E$26:$H$26,LISTAS!$E$27:$H$47))</f>
        <v>37881000</v>
      </c>
      <c r="O25" s="56" t="s">
        <v>1624</v>
      </c>
      <c r="P25" s="76" t="str">
        <f t="shared" ca="1" si="2"/>
        <v>Vencida</v>
      </c>
    </row>
    <row r="26" spans="1:16" x14ac:dyDescent="0.3">
      <c r="A26" s="58" t="s">
        <v>316</v>
      </c>
      <c r="B26" s="56" t="s">
        <v>118</v>
      </c>
      <c r="C26" s="50" t="str">
        <f>_xlfn.XLOOKUP(B26,CLIENTES!$A$2:$A$301,CLIENTES!$B$2:$B$301)</f>
        <v>Joaquín Ramírez</v>
      </c>
      <c r="D26" s="60">
        <v>44479</v>
      </c>
      <c r="E26" s="60">
        <f t="shared" si="0"/>
        <v>44844</v>
      </c>
      <c r="F26" s="50" t="s">
        <v>1598</v>
      </c>
      <c r="G26" s="56" t="s">
        <v>1604</v>
      </c>
      <c r="H26" s="47">
        <v>66</v>
      </c>
      <c r="I26" s="60">
        <v>21855</v>
      </c>
      <c r="J26" s="56" t="s">
        <v>1611</v>
      </c>
      <c r="K26" s="56">
        <v>2018</v>
      </c>
      <c r="L26" s="52">
        <f t="shared" si="1"/>
        <v>64719.876812499999</v>
      </c>
      <c r="M26" s="56">
        <f>LISTAS!$B$22*_xlfn.XLOOKUP(G26,LISTAS!$B$27:$B$36,LISTAS!$A$27:$A$36)*_xlfn.XLOOKUP(H26,LISTAS!$B$38:$B$47,LISTAS!$A$38:$A$47,,-1)*_xlfn.XLOOKUP(J26,LISTAS!$E$26:$H$26,LISTAS!$E$48:$H$48)*_xlfn.XLOOKUP(F26,LISTAS!$A$15:$A$18,LISTAS!$H$15:$H$18)</f>
        <v>3.6104249999999997E-2</v>
      </c>
      <c r="N26" s="54" cm="1">
        <f t="array" ref="N26">_xlfn.XLOOKUP(K26,LISTAS!$D$27:$D$47,_xlfn.XLOOKUP(J26,LISTAS!$E$26:$H$26,LISTAS!$E$27:$H$47))</f>
        <v>21511000</v>
      </c>
      <c r="O26" s="56" t="s">
        <v>1623</v>
      </c>
      <c r="P26" s="76" t="str">
        <f t="shared" ca="1" si="2"/>
        <v>Vencida</v>
      </c>
    </row>
    <row r="27" spans="1:16" x14ac:dyDescent="0.3">
      <c r="A27" s="58" t="s">
        <v>317</v>
      </c>
      <c r="B27" s="56" t="s">
        <v>136</v>
      </c>
      <c r="C27" s="50" t="str">
        <f>_xlfn.XLOOKUP(B27,CLIENTES!$A$2:$A$301,CLIENTES!$B$2:$B$301)</f>
        <v>Martina Cabrera</v>
      </c>
      <c r="D27" s="60">
        <v>45966</v>
      </c>
      <c r="E27" s="60">
        <f t="shared" si="0"/>
        <v>46331</v>
      </c>
      <c r="F27" s="50" t="s">
        <v>1596</v>
      </c>
      <c r="G27" s="56" t="s">
        <v>1605</v>
      </c>
      <c r="H27" s="47">
        <v>45</v>
      </c>
      <c r="I27" s="60">
        <v>29642</v>
      </c>
      <c r="J27" s="56" t="s">
        <v>1611</v>
      </c>
      <c r="K27" s="56">
        <v>2018</v>
      </c>
      <c r="L27" s="52">
        <f t="shared" si="1"/>
        <v>29963.478562499993</v>
      </c>
      <c r="M27" s="56">
        <f>LISTAS!$B$22*_xlfn.XLOOKUP(G27,LISTAS!$B$27:$B$36,LISTAS!$A$27:$A$36)*_xlfn.XLOOKUP(H27,LISTAS!$B$38:$B$47,LISTAS!$A$38:$A$47,,-1)*_xlfn.XLOOKUP(J27,LISTAS!$E$26:$H$26,LISTAS!$E$48:$H$48)*_xlfn.XLOOKUP(F27,LISTAS!$A$15:$A$18,LISTAS!$H$15:$H$18)</f>
        <v>1.6715249999999997E-2</v>
      </c>
      <c r="N27" s="54" cm="1">
        <f t="array" ref="N27">_xlfn.XLOOKUP(K27,LISTAS!$D$27:$D$47,_xlfn.XLOOKUP(J27,LISTAS!$E$26:$H$26,LISTAS!$E$27:$H$47))</f>
        <v>21511000</v>
      </c>
      <c r="O27" s="56" t="s">
        <v>1624</v>
      </c>
      <c r="P27" s="76" t="str">
        <f t="shared" ca="1" si="2"/>
        <v>Vigente</v>
      </c>
    </row>
    <row r="28" spans="1:16" x14ac:dyDescent="0.3">
      <c r="A28" s="58" t="s">
        <v>318</v>
      </c>
      <c r="B28" s="56" t="s">
        <v>263</v>
      </c>
      <c r="C28" s="50" t="str">
        <f>_xlfn.XLOOKUP(B28,CLIENTES!$A$2:$A$301,CLIENTES!$B$2:$B$301)</f>
        <v>Bruno Núñez</v>
      </c>
      <c r="D28" s="60">
        <v>45832</v>
      </c>
      <c r="E28" s="60">
        <f t="shared" si="0"/>
        <v>46197</v>
      </c>
      <c r="F28" s="50" t="s">
        <v>1596</v>
      </c>
      <c r="G28" s="56" t="s">
        <v>1604</v>
      </c>
      <c r="H28" s="47">
        <v>63</v>
      </c>
      <c r="I28" s="60">
        <v>23114</v>
      </c>
      <c r="J28" s="56" t="s">
        <v>1609</v>
      </c>
      <c r="K28" s="56">
        <v>2016</v>
      </c>
      <c r="L28" s="52">
        <f t="shared" si="1"/>
        <v>15542.218125000001</v>
      </c>
      <c r="M28" s="56">
        <f>LISTAS!$B$22*_xlfn.XLOOKUP(G28,LISTAS!$B$27:$B$36,LISTAS!$A$27:$A$36)*_xlfn.XLOOKUP(H28,LISTAS!$B$38:$B$47,LISTAS!$A$38:$A$47,,-1)*_xlfn.XLOOKUP(J28,LISTAS!$E$26:$H$26,LISTAS!$E$48:$H$48)*_xlfn.XLOOKUP(F28,LISTAS!$A$15:$A$18,LISTAS!$H$15:$H$18)</f>
        <v>1.8742500000000002E-2</v>
      </c>
      <c r="N28" s="54" cm="1">
        <f t="array" ref="N28">_xlfn.XLOOKUP(K28,LISTAS!$D$27:$D$47,_xlfn.XLOOKUP(J28,LISTAS!$E$26:$H$26,LISTAS!$E$27:$H$47))</f>
        <v>9951000</v>
      </c>
      <c r="O28" s="56" t="s">
        <v>1623</v>
      </c>
      <c r="P28" s="76" t="str">
        <f t="shared" ca="1" si="2"/>
        <v>Vencida</v>
      </c>
    </row>
    <row r="29" spans="1:16" x14ac:dyDescent="0.3">
      <c r="A29" s="58" t="s">
        <v>319</v>
      </c>
      <c r="B29" s="56" t="s">
        <v>233</v>
      </c>
      <c r="C29" s="50" t="str">
        <f>_xlfn.XLOOKUP(B29,CLIENTES!$A$2:$A$301,CLIENTES!$B$2:$B$301)</f>
        <v>Julieta Méndez</v>
      </c>
      <c r="D29" s="60">
        <v>45102</v>
      </c>
      <c r="E29" s="60">
        <f t="shared" si="0"/>
        <v>45468</v>
      </c>
      <c r="F29" s="50" t="s">
        <v>1597</v>
      </c>
      <c r="G29" s="56" t="s">
        <v>1599</v>
      </c>
      <c r="H29" s="47">
        <v>34</v>
      </c>
      <c r="I29" s="60">
        <v>33830</v>
      </c>
      <c r="J29" s="56" t="s">
        <v>1610</v>
      </c>
      <c r="K29" s="56">
        <v>2026</v>
      </c>
      <c r="L29" s="52">
        <f t="shared" si="1"/>
        <v>96800.000000000015</v>
      </c>
      <c r="M29" s="56">
        <f>LISTAS!$B$22*_xlfn.XLOOKUP(G29,LISTAS!$B$27:$B$36,LISTAS!$A$27:$A$36)*_xlfn.XLOOKUP(H29,LISTAS!$B$38:$B$47,LISTAS!$A$38:$A$47,,-1)*_xlfn.XLOOKUP(J29,LISTAS!$E$26:$H$26,LISTAS!$E$48:$H$48)*_xlfn.XLOOKUP(F29,LISTAS!$A$15:$A$18,LISTAS!$H$15:$H$18)</f>
        <v>2.9040000000000007E-2</v>
      </c>
      <c r="N29" s="54" cm="1">
        <f t="array" ref="N29">_xlfn.XLOOKUP(K29,LISTAS!$D$27:$D$47,_xlfn.XLOOKUP(J29,LISTAS!$E$26:$H$26,LISTAS!$E$27:$H$47))</f>
        <v>40000000</v>
      </c>
      <c r="O29" s="56" t="s">
        <v>1625</v>
      </c>
      <c r="P29" s="76" t="str">
        <f t="shared" ca="1" si="2"/>
        <v>Vencida</v>
      </c>
    </row>
    <row r="30" spans="1:16" x14ac:dyDescent="0.3">
      <c r="A30" s="58" t="s">
        <v>320</v>
      </c>
      <c r="B30" s="56" t="s">
        <v>25</v>
      </c>
      <c r="C30" s="50" t="str">
        <f>_xlfn.XLOOKUP(B30,CLIENTES!$A$2:$A$301,CLIENTES!$B$2:$B$301)</f>
        <v>Mariano Domínguez</v>
      </c>
      <c r="D30" s="60">
        <v>44610</v>
      </c>
      <c r="E30" s="60">
        <f t="shared" si="0"/>
        <v>44975</v>
      </c>
      <c r="F30" s="50" t="s">
        <v>1597</v>
      </c>
      <c r="G30" s="56" t="s">
        <v>1605</v>
      </c>
      <c r="H30" s="47">
        <v>46</v>
      </c>
      <c r="I30" s="60">
        <v>29138</v>
      </c>
      <c r="J30" s="56" t="s">
        <v>1609</v>
      </c>
      <c r="K30" s="56">
        <v>2020</v>
      </c>
      <c r="L30" s="52">
        <f t="shared" si="1"/>
        <v>22622.160000000003</v>
      </c>
      <c r="M30" s="56">
        <f>LISTAS!$B$22*_xlfn.XLOOKUP(G30,LISTAS!$B$27:$B$36,LISTAS!$A$27:$A$36)*_xlfn.XLOOKUP(H30,LISTAS!$B$38:$B$47,LISTAS!$A$38:$A$47,,-1)*_xlfn.XLOOKUP(J30,LISTAS!$E$26:$H$26,LISTAS!$E$48:$H$48)*_xlfn.XLOOKUP(F30,LISTAS!$A$15:$A$18,LISTAS!$H$15:$H$18)</f>
        <v>1.8810000000000004E-2</v>
      </c>
      <c r="N30" s="54" cm="1">
        <f t="array" ref="N30">_xlfn.XLOOKUP(K30,LISTAS!$D$27:$D$47,_xlfn.XLOOKUP(J30,LISTAS!$E$26:$H$26,LISTAS!$E$27:$H$47))</f>
        <v>14432000</v>
      </c>
      <c r="O30" s="56" t="s">
        <v>1624</v>
      </c>
      <c r="P30" s="76" t="str">
        <f t="shared" ca="1" si="2"/>
        <v>Vencida</v>
      </c>
    </row>
    <row r="31" spans="1:16" x14ac:dyDescent="0.3">
      <c r="A31" s="58" t="s">
        <v>321</v>
      </c>
      <c r="B31" s="56" t="s">
        <v>245</v>
      </c>
      <c r="C31" s="50" t="str">
        <f>_xlfn.XLOOKUP(B31,CLIENTES!$A$2:$A$301,CLIENTES!$B$2:$B$301)</f>
        <v>Ignacio Campos</v>
      </c>
      <c r="D31" s="60">
        <v>46039</v>
      </c>
      <c r="E31" s="60">
        <f t="shared" si="0"/>
        <v>46404</v>
      </c>
      <c r="F31" s="50" t="s">
        <v>1597</v>
      </c>
      <c r="G31" s="56" t="s">
        <v>1600</v>
      </c>
      <c r="H31" s="47">
        <v>39</v>
      </c>
      <c r="I31" s="60">
        <v>31643</v>
      </c>
      <c r="J31" s="56" t="s">
        <v>1609</v>
      </c>
      <c r="K31" s="56">
        <v>2024</v>
      </c>
      <c r="L31" s="52">
        <f t="shared" si="1"/>
        <v>44369.875000000007</v>
      </c>
      <c r="M31" s="56">
        <f>LISTAS!$B$22*_xlfn.XLOOKUP(G31,LISTAS!$B$27:$B$36,LISTAS!$A$27:$A$36)*_xlfn.XLOOKUP(H31,LISTAS!$B$38:$B$47,LISTAS!$A$38:$A$47,,-1)*_xlfn.XLOOKUP(J31,LISTAS!$E$26:$H$26,LISTAS!$E$48:$H$48)*_xlfn.XLOOKUP(F31,LISTAS!$A$15:$A$18,LISTAS!$H$15:$H$18)</f>
        <v>2.5300000000000003E-2</v>
      </c>
      <c r="N31" s="54" cm="1">
        <f t="array" ref="N31">_xlfn.XLOOKUP(K31,LISTAS!$D$27:$D$47,_xlfn.XLOOKUP(J31,LISTAS!$E$26:$H$26,LISTAS!$E$27:$H$47))</f>
        <v>21045000</v>
      </c>
      <c r="O31" s="56" t="s">
        <v>1625</v>
      </c>
      <c r="P31" s="76" t="str">
        <f t="shared" ca="1" si="2"/>
        <v>Vigente</v>
      </c>
    </row>
    <row r="32" spans="1:16" x14ac:dyDescent="0.3">
      <c r="A32" s="58" t="s">
        <v>322</v>
      </c>
      <c r="B32" s="56" t="s">
        <v>175</v>
      </c>
      <c r="C32" s="50" t="str">
        <f>_xlfn.XLOOKUP(B32,CLIENTES!$A$2:$A$301,CLIENTES!$B$2:$B$301)</f>
        <v>Santiago Benítez</v>
      </c>
      <c r="D32" s="60">
        <v>44995</v>
      </c>
      <c r="E32" s="60">
        <f t="shared" si="0"/>
        <v>45361</v>
      </c>
      <c r="F32" s="50" t="s">
        <v>1598</v>
      </c>
      <c r="G32" s="56" t="s">
        <v>1606</v>
      </c>
      <c r="H32" s="47">
        <v>76</v>
      </c>
      <c r="I32" s="60">
        <v>18182</v>
      </c>
      <c r="J32" s="56" t="s">
        <v>1610</v>
      </c>
      <c r="K32" s="56">
        <v>2018</v>
      </c>
      <c r="L32" s="52">
        <f t="shared" si="1"/>
        <v>66078.989166666666</v>
      </c>
      <c r="M32" s="56">
        <f>LISTAS!$B$22*_xlfn.XLOOKUP(G32,LISTAS!$B$27:$B$36,LISTAS!$A$27:$A$36)*_xlfn.XLOOKUP(H32,LISTAS!$B$38:$B$47,LISTAS!$A$38:$A$47,,-1)*_xlfn.XLOOKUP(J32,LISTAS!$E$26:$H$26,LISTAS!$E$48:$H$48)*_xlfn.XLOOKUP(F32,LISTAS!$A$15:$A$18,LISTAS!$H$15:$H$18)</f>
        <v>4.147E-2</v>
      </c>
      <c r="N32" s="54" cm="1">
        <f t="array" ref="N32">_xlfn.XLOOKUP(K32,LISTAS!$D$27:$D$47,_xlfn.XLOOKUP(J32,LISTAS!$E$26:$H$26,LISTAS!$E$27:$H$47))</f>
        <v>19121000</v>
      </c>
      <c r="O32" s="56" t="s">
        <v>1623</v>
      </c>
      <c r="P32" s="76" t="str">
        <f t="shared" ca="1" si="2"/>
        <v>Vencida</v>
      </c>
    </row>
    <row r="33" spans="1:16" x14ac:dyDescent="0.3">
      <c r="A33" s="58" t="s">
        <v>323</v>
      </c>
      <c r="B33" s="56" t="s">
        <v>147</v>
      </c>
      <c r="C33" s="50" t="str">
        <f>_xlfn.XLOOKUP(B33,CLIENTES!$A$2:$A$301,CLIENTES!$B$2:$B$301)</f>
        <v>Facundo Benítez</v>
      </c>
      <c r="D33" s="60">
        <v>44844</v>
      </c>
      <c r="E33" s="60">
        <f t="shared" si="0"/>
        <v>45209</v>
      </c>
      <c r="F33" s="50" t="s">
        <v>1598</v>
      </c>
      <c r="G33" s="56" t="s">
        <v>1606</v>
      </c>
      <c r="H33" s="47">
        <v>49</v>
      </c>
      <c r="I33" s="60">
        <v>28271</v>
      </c>
      <c r="J33" s="56" t="s">
        <v>1612</v>
      </c>
      <c r="K33" s="56">
        <v>2021</v>
      </c>
      <c r="L33" s="52">
        <f t="shared" si="1"/>
        <v>43871.213749999995</v>
      </c>
      <c r="M33" s="56">
        <f>LISTAS!$B$22*_xlfn.XLOOKUP(G33,LISTAS!$B$27:$B$36,LISTAS!$A$27:$A$36)*_xlfn.XLOOKUP(H33,LISTAS!$B$38:$B$47,LISTAS!$A$38:$A$47,,-1)*_xlfn.XLOOKUP(J33,LISTAS!$E$26:$H$26,LISTAS!$E$48:$H$48)*_xlfn.XLOOKUP(F33,LISTAS!$A$15:$A$18,LISTAS!$H$15:$H$18)</f>
        <v>2.5935E-2</v>
      </c>
      <c r="N33" s="54" cm="1">
        <f t="array" ref="N33">_xlfn.XLOOKUP(K33,LISTAS!$D$27:$D$47,_xlfn.XLOOKUP(J33,LISTAS!$E$26:$H$26,LISTAS!$E$27:$H$47))</f>
        <v>20299000</v>
      </c>
      <c r="O33" s="56" t="s">
        <v>1623</v>
      </c>
      <c r="P33" s="76" t="str">
        <f t="shared" ca="1" si="2"/>
        <v>Vencida</v>
      </c>
    </row>
    <row r="34" spans="1:16" x14ac:dyDescent="0.3">
      <c r="A34" s="58" t="s">
        <v>324</v>
      </c>
      <c r="B34" s="56" t="s">
        <v>219</v>
      </c>
      <c r="C34" s="50" t="str">
        <f>_xlfn.XLOOKUP(B34,CLIENTES!$A$2:$A$301,CLIENTES!$B$2:$B$301)</f>
        <v>Joaquín Pereyra</v>
      </c>
      <c r="D34" s="60">
        <v>45034</v>
      </c>
      <c r="E34" s="60">
        <f t="shared" si="0"/>
        <v>45400</v>
      </c>
      <c r="F34" s="50" t="s">
        <v>1595</v>
      </c>
      <c r="G34" s="56" t="s">
        <v>1607</v>
      </c>
      <c r="H34" s="47">
        <v>23</v>
      </c>
      <c r="I34" s="60">
        <v>37789</v>
      </c>
      <c r="J34" s="56" t="s">
        <v>1611</v>
      </c>
      <c r="K34" s="56">
        <v>2021</v>
      </c>
      <c r="L34" s="52">
        <f t="shared" si="1"/>
        <v>48749.431500000006</v>
      </c>
      <c r="M34" s="56">
        <f>LISTAS!$B$22*_xlfn.XLOOKUP(G34,LISTAS!$B$27:$B$36,LISTAS!$A$27:$A$36)*_xlfn.XLOOKUP(H34,LISTAS!$B$38:$B$47,LISTAS!$A$38:$A$47,,-1)*_xlfn.XLOOKUP(J34,LISTAS!$E$26:$H$26,LISTAS!$E$48:$H$48)*_xlfn.XLOOKUP(F34,LISTAS!$A$15:$A$18,LISTAS!$H$15:$H$18)</f>
        <v>2.0493000000000001E-2</v>
      </c>
      <c r="N34" s="54" cm="1">
        <f t="array" ref="N34">_xlfn.XLOOKUP(K34,LISTAS!$D$27:$D$47,_xlfn.XLOOKUP(J34,LISTAS!$E$26:$H$26,LISTAS!$E$27:$H$47))</f>
        <v>28546000</v>
      </c>
      <c r="O34" s="56" t="s">
        <v>1625</v>
      </c>
      <c r="P34" s="76" t="str">
        <f t="shared" ca="1" si="2"/>
        <v>Vencida</v>
      </c>
    </row>
    <row r="35" spans="1:16" x14ac:dyDescent="0.3">
      <c r="A35" s="58" t="s">
        <v>325</v>
      </c>
      <c r="B35" s="56" t="s">
        <v>79</v>
      </c>
      <c r="C35" s="50" t="str">
        <f>_xlfn.XLOOKUP(B35,CLIENTES!$A$2:$A$301,CLIENTES!$B$2:$B$301)</f>
        <v>Bruno Rojas</v>
      </c>
      <c r="D35" s="60">
        <v>45469</v>
      </c>
      <c r="E35" s="60">
        <f t="shared" si="0"/>
        <v>45834</v>
      </c>
      <c r="F35" s="50" t="s">
        <v>1596</v>
      </c>
      <c r="G35" s="56" t="s">
        <v>1602</v>
      </c>
      <c r="H35" s="47">
        <v>45</v>
      </c>
      <c r="I35" s="60">
        <v>29776</v>
      </c>
      <c r="J35" s="56" t="s">
        <v>1610</v>
      </c>
      <c r="K35" s="56">
        <v>2019</v>
      </c>
      <c r="L35" s="52">
        <f t="shared" si="1"/>
        <v>32661.840749999999</v>
      </c>
      <c r="M35" s="56">
        <f>LISTAS!$B$22*_xlfn.XLOOKUP(G35,LISTAS!$B$27:$B$36,LISTAS!$A$27:$A$36)*_xlfn.XLOOKUP(H35,LISTAS!$B$38:$B$47,LISTAS!$A$38:$A$47,,-1)*_xlfn.XLOOKUP(J35,LISTAS!$E$26:$H$26,LISTAS!$E$48:$H$48)*_xlfn.XLOOKUP(F35,LISTAS!$A$15:$A$18,LISTAS!$H$15:$H$18)</f>
        <v>1.865325E-2</v>
      </c>
      <c r="N35" s="54" cm="1">
        <f t="array" ref="N35">_xlfn.XLOOKUP(K35,LISTAS!$D$27:$D$47,_xlfn.XLOOKUP(J35,LISTAS!$E$26:$H$26,LISTAS!$E$27:$H$47))</f>
        <v>21012000</v>
      </c>
      <c r="O35" s="56" t="s">
        <v>1623</v>
      </c>
      <c r="P35" s="76" t="str">
        <f t="shared" ca="1" si="2"/>
        <v>Vencida</v>
      </c>
    </row>
    <row r="36" spans="1:16" x14ac:dyDescent="0.3">
      <c r="A36" s="58" t="s">
        <v>326</v>
      </c>
      <c r="B36" s="56" t="s">
        <v>112</v>
      </c>
      <c r="C36" s="50" t="str">
        <f>_xlfn.XLOOKUP(B36,CLIENTES!$A$2:$A$301,CLIENTES!$B$2:$B$301)</f>
        <v>Santiago Rodríguez</v>
      </c>
      <c r="D36" s="60">
        <v>44558</v>
      </c>
      <c r="E36" s="60">
        <f t="shared" si="0"/>
        <v>44923</v>
      </c>
      <c r="F36" s="50" t="s">
        <v>1597</v>
      </c>
      <c r="G36" s="56" t="s">
        <v>1599</v>
      </c>
      <c r="H36" s="47">
        <v>35</v>
      </c>
      <c r="I36" s="60">
        <v>33332</v>
      </c>
      <c r="J36" s="56" t="s">
        <v>1609</v>
      </c>
      <c r="K36" s="56">
        <v>2019</v>
      </c>
      <c r="L36" s="52">
        <f t="shared" si="1"/>
        <v>28892.600000000006</v>
      </c>
      <c r="M36" s="56">
        <f>LISTAS!$B$22*_xlfn.XLOOKUP(G36,LISTAS!$B$27:$B$36,LISTAS!$A$27:$A$36)*_xlfn.XLOOKUP(H36,LISTAS!$B$38:$B$47,LISTAS!$A$38:$A$47,,-1)*_xlfn.XLOOKUP(J36,LISTAS!$E$26:$H$26,LISTAS!$E$48:$H$48)*_xlfn.XLOOKUP(F36,LISTAS!$A$15:$A$18,LISTAS!$H$15:$H$18)</f>
        <v>2.6400000000000003E-2</v>
      </c>
      <c r="N36" s="54" cm="1">
        <f t="array" ref="N36">_xlfn.XLOOKUP(K36,LISTAS!$D$27:$D$47,_xlfn.XLOOKUP(J36,LISTAS!$E$26:$H$26,LISTAS!$E$27:$H$47))</f>
        <v>13133000</v>
      </c>
      <c r="O36" s="56" t="s">
        <v>1624</v>
      </c>
      <c r="P36" s="76" t="str">
        <f t="shared" ca="1" si="2"/>
        <v>Vencida</v>
      </c>
    </row>
    <row r="37" spans="1:16" x14ac:dyDescent="0.3">
      <c r="A37" s="58" t="s">
        <v>327</v>
      </c>
      <c r="B37" s="56" t="s">
        <v>102</v>
      </c>
      <c r="C37" s="50" t="str">
        <f>_xlfn.XLOOKUP(B37,CLIENTES!$A$2:$A$301,CLIENTES!$B$2:$B$301)</f>
        <v>Lucas Romero</v>
      </c>
      <c r="D37" s="60">
        <v>44913</v>
      </c>
      <c r="E37" s="60">
        <f t="shared" si="0"/>
        <v>45278</v>
      </c>
      <c r="F37" s="50" t="s">
        <v>1595</v>
      </c>
      <c r="G37" s="56" t="s">
        <v>1608</v>
      </c>
      <c r="H37" s="47">
        <v>46</v>
      </c>
      <c r="I37" s="60">
        <v>29381</v>
      </c>
      <c r="J37" s="56" t="s">
        <v>1611</v>
      </c>
      <c r="K37" s="56">
        <v>2021</v>
      </c>
      <c r="L37" s="52">
        <f t="shared" si="1"/>
        <v>29627.179749999996</v>
      </c>
      <c r="M37" s="56">
        <f>LISTAS!$B$22*_xlfn.XLOOKUP(G37,LISTAS!$B$27:$B$36,LISTAS!$A$27:$A$36)*_xlfn.XLOOKUP(H37,LISTAS!$B$38:$B$47,LISTAS!$A$38:$A$47,,-1)*_xlfn.XLOOKUP(J37,LISTAS!$E$26:$H$26,LISTAS!$E$48:$H$48)*_xlfn.XLOOKUP(F37,LISTAS!$A$15:$A$18,LISTAS!$H$15:$H$18)</f>
        <v>1.2454499999999999E-2</v>
      </c>
      <c r="N37" s="54" cm="1">
        <f t="array" ref="N37">_xlfn.XLOOKUP(K37,LISTAS!$D$27:$D$47,_xlfn.XLOOKUP(J37,LISTAS!$E$26:$H$26,LISTAS!$E$27:$H$47))</f>
        <v>28546000</v>
      </c>
      <c r="O37" s="56" t="s">
        <v>1625</v>
      </c>
      <c r="P37" s="76" t="str">
        <f t="shared" ca="1" si="2"/>
        <v>Vencida</v>
      </c>
    </row>
    <row r="38" spans="1:16" x14ac:dyDescent="0.3">
      <c r="A38" s="58" t="s">
        <v>328</v>
      </c>
      <c r="B38" s="56" t="s">
        <v>38</v>
      </c>
      <c r="C38" s="50" t="str">
        <f>_xlfn.XLOOKUP(B38,CLIENTES!$A$2:$A$301,CLIENTES!$B$2:$B$301)</f>
        <v>Fernando Gutiérrez</v>
      </c>
      <c r="D38" s="60">
        <v>45368</v>
      </c>
      <c r="E38" s="60">
        <f t="shared" si="0"/>
        <v>45733</v>
      </c>
      <c r="F38" s="50" t="s">
        <v>1597</v>
      </c>
      <c r="G38" s="56" t="s">
        <v>1600</v>
      </c>
      <c r="H38" s="47">
        <v>74</v>
      </c>
      <c r="I38" s="60">
        <v>19091</v>
      </c>
      <c r="J38" s="56" t="s">
        <v>1612</v>
      </c>
      <c r="K38" s="56">
        <v>2019</v>
      </c>
      <c r="L38" s="52">
        <f t="shared" si="1"/>
        <v>52098.392500000009</v>
      </c>
      <c r="M38" s="56">
        <f>LISTAS!$B$22*_xlfn.XLOOKUP(G38,LISTAS!$B$27:$B$36,LISTAS!$A$27:$A$36)*_xlfn.XLOOKUP(H38,LISTAS!$B$38:$B$47,LISTAS!$A$38:$A$47,,-1)*_xlfn.XLOOKUP(J38,LISTAS!$E$26:$H$26,LISTAS!$E$48:$H$48)*_xlfn.XLOOKUP(F38,LISTAS!$A$15:$A$18,LISTAS!$H$15:$H$18)</f>
        <v>3.7191000000000002E-2</v>
      </c>
      <c r="N38" s="54" cm="1">
        <f t="array" ref="N38">_xlfn.XLOOKUP(K38,LISTAS!$D$27:$D$47,_xlfn.XLOOKUP(J38,LISTAS!$E$26:$H$26,LISTAS!$E$27:$H$47))</f>
        <v>16810000</v>
      </c>
      <c r="O38" s="56" t="s">
        <v>1625</v>
      </c>
      <c r="P38" s="76" t="str">
        <f t="shared" ca="1" si="2"/>
        <v>Vencida</v>
      </c>
    </row>
    <row r="39" spans="1:16" x14ac:dyDescent="0.3">
      <c r="A39" s="58" t="s">
        <v>329</v>
      </c>
      <c r="B39" s="56" t="s">
        <v>106</v>
      </c>
      <c r="C39" s="50" t="str">
        <f>_xlfn.XLOOKUP(B39,CLIENTES!$A$2:$A$301,CLIENTES!$B$2:$B$301)</f>
        <v>Maximiliano Gutiérrez</v>
      </c>
      <c r="D39" s="60">
        <v>44441</v>
      </c>
      <c r="E39" s="60">
        <f t="shared" si="0"/>
        <v>44806</v>
      </c>
      <c r="F39" s="50" t="s">
        <v>1598</v>
      </c>
      <c r="G39" s="56" t="s">
        <v>1602</v>
      </c>
      <c r="H39" s="47">
        <v>28</v>
      </c>
      <c r="I39" s="60">
        <v>36009</v>
      </c>
      <c r="J39" s="56" t="s">
        <v>1609</v>
      </c>
      <c r="K39" s="56">
        <v>2022</v>
      </c>
      <c r="L39" s="52">
        <f t="shared" si="1"/>
        <v>47575.71</v>
      </c>
      <c r="M39" s="56">
        <f>LISTAS!$B$22*_xlfn.XLOOKUP(G39,LISTAS!$B$27:$B$36,LISTAS!$A$27:$A$36)*_xlfn.XLOOKUP(H39,LISTAS!$B$38:$B$47,LISTAS!$A$38:$A$47,,-1)*_xlfn.XLOOKUP(J39,LISTAS!$E$26:$H$26,LISTAS!$E$48:$H$48)*_xlfn.XLOOKUP(F39,LISTAS!$A$15:$A$18,LISTAS!$H$15:$H$18)</f>
        <v>3.2760000000000004E-2</v>
      </c>
      <c r="N39" s="54" cm="1">
        <f t="array" ref="N39">_xlfn.XLOOKUP(K39,LISTAS!$D$27:$D$47,_xlfn.XLOOKUP(J39,LISTAS!$E$26:$H$26,LISTAS!$E$27:$H$47))</f>
        <v>17427000</v>
      </c>
      <c r="O39" s="56" t="s">
        <v>1623</v>
      </c>
      <c r="P39" s="76" t="str">
        <f t="shared" ca="1" si="2"/>
        <v>Vencida</v>
      </c>
    </row>
    <row r="40" spans="1:16" x14ac:dyDescent="0.3">
      <c r="A40" s="58" t="s">
        <v>330</v>
      </c>
      <c r="B40" s="56" t="s">
        <v>78</v>
      </c>
      <c r="C40" s="50" t="str">
        <f>_xlfn.XLOOKUP(B40,CLIENTES!$A$2:$A$301,CLIENTES!$B$2:$B$301)</f>
        <v>Sofía Luna</v>
      </c>
      <c r="D40" s="60">
        <v>45010</v>
      </c>
      <c r="E40" s="60">
        <f t="shared" si="0"/>
        <v>45376</v>
      </c>
      <c r="F40" s="50" t="s">
        <v>1597</v>
      </c>
      <c r="G40" s="56" t="s">
        <v>1608</v>
      </c>
      <c r="H40" s="47">
        <v>80</v>
      </c>
      <c r="I40" s="60">
        <v>16827</v>
      </c>
      <c r="J40" s="56" t="s">
        <v>1609</v>
      </c>
      <c r="K40" s="56">
        <v>2012</v>
      </c>
      <c r="L40" s="52">
        <f t="shared" si="1"/>
        <v>18198.1525</v>
      </c>
      <c r="M40" s="56">
        <f>LISTAS!$B$22*_xlfn.XLOOKUP(G40,LISTAS!$B$27:$B$36,LISTAS!$A$27:$A$36)*_xlfn.XLOOKUP(H40,LISTAS!$B$38:$B$47,LISTAS!$A$38:$A$47,,-1)*_xlfn.XLOOKUP(J40,LISTAS!$E$26:$H$26,LISTAS!$E$48:$H$48)*_xlfn.XLOOKUP(F40,LISTAS!$A$15:$A$18,LISTAS!$H$15:$H$18)</f>
        <v>3.0305000000000002E-2</v>
      </c>
      <c r="N40" s="54" cm="1">
        <f t="array" ref="N40">_xlfn.XLOOKUP(K40,LISTAS!$D$27:$D$47,_xlfn.XLOOKUP(J40,LISTAS!$E$26:$H$26,LISTAS!$E$27:$H$47))</f>
        <v>7206000</v>
      </c>
      <c r="O40" s="56" t="s">
        <v>1625</v>
      </c>
      <c r="P40" s="76" t="str">
        <f t="shared" ca="1" si="2"/>
        <v>Vencida</v>
      </c>
    </row>
    <row r="41" spans="1:16" x14ac:dyDescent="0.3">
      <c r="A41" s="58" t="s">
        <v>331</v>
      </c>
      <c r="B41" s="56" t="s">
        <v>30</v>
      </c>
      <c r="C41" s="50" t="str">
        <f>_xlfn.XLOOKUP(B41,CLIENTES!$A$2:$A$301,CLIENTES!$B$2:$B$301)</f>
        <v>Diego Medina</v>
      </c>
      <c r="D41" s="60">
        <v>44577</v>
      </c>
      <c r="E41" s="60">
        <f t="shared" si="0"/>
        <v>44942</v>
      </c>
      <c r="F41" s="50" t="s">
        <v>1597</v>
      </c>
      <c r="G41" s="56" t="s">
        <v>1607</v>
      </c>
      <c r="H41" s="47">
        <v>62</v>
      </c>
      <c r="I41" s="60">
        <v>23425</v>
      </c>
      <c r="J41" s="56" t="s">
        <v>1611</v>
      </c>
      <c r="K41" s="56">
        <v>2024</v>
      </c>
      <c r="L41" s="52">
        <f t="shared" si="1"/>
        <v>92244.970125000007</v>
      </c>
      <c r="M41" s="56">
        <f>LISTAS!$B$22*_xlfn.XLOOKUP(G41,LISTAS!$B$27:$B$36,LISTAS!$A$27:$A$36)*_xlfn.XLOOKUP(H41,LISTAS!$B$38:$B$47,LISTAS!$A$38:$A$47,,-1)*_xlfn.XLOOKUP(J41,LISTAS!$E$26:$H$26,LISTAS!$E$48:$H$48)*_xlfn.XLOOKUP(F41,LISTAS!$A$15:$A$18,LISTAS!$H$15:$H$18)</f>
        <v>2.9221500000000004E-2</v>
      </c>
      <c r="N41" s="54" cm="1">
        <f t="array" ref="N41">_xlfn.XLOOKUP(K41,LISTAS!$D$27:$D$47,_xlfn.XLOOKUP(J41,LISTAS!$E$26:$H$26,LISTAS!$E$27:$H$47))</f>
        <v>37881000</v>
      </c>
      <c r="O41" s="56" t="s">
        <v>1623</v>
      </c>
      <c r="P41" s="76" t="str">
        <f t="shared" ca="1" si="2"/>
        <v>Vencida</v>
      </c>
    </row>
    <row r="42" spans="1:16" x14ac:dyDescent="0.3">
      <c r="A42" s="58" t="s">
        <v>332</v>
      </c>
      <c r="B42" s="56" t="s">
        <v>123</v>
      </c>
      <c r="C42" s="50" t="str">
        <f>_xlfn.XLOOKUP(B42,CLIENTES!$A$2:$A$301,CLIENTES!$B$2:$B$301)</f>
        <v>Victoria Ramírez</v>
      </c>
      <c r="D42" s="60">
        <v>44984</v>
      </c>
      <c r="E42" s="60">
        <f t="shared" si="0"/>
        <v>45349</v>
      </c>
      <c r="F42" s="50" t="s">
        <v>1596</v>
      </c>
      <c r="G42" s="56" t="s">
        <v>1602</v>
      </c>
      <c r="H42" s="47">
        <v>49</v>
      </c>
      <c r="I42" s="60">
        <v>28108</v>
      </c>
      <c r="J42" s="56" t="s">
        <v>1612</v>
      </c>
      <c r="K42" s="56">
        <v>2023</v>
      </c>
      <c r="L42" s="52">
        <f t="shared" si="1"/>
        <v>36371.929781250008</v>
      </c>
      <c r="M42" s="56">
        <f>LISTAS!$B$22*_xlfn.XLOOKUP(G42,LISTAS!$B$27:$B$36,LISTAS!$A$27:$A$36)*_xlfn.XLOOKUP(H42,LISTAS!$B$38:$B$47,LISTAS!$A$38:$A$47,,-1)*_xlfn.XLOOKUP(J42,LISTAS!$E$26:$H$26,LISTAS!$E$48:$H$48)*_xlfn.XLOOKUP(F42,LISTAS!$A$15:$A$18,LISTAS!$H$15:$H$18)</f>
        <v>1.7805375000000002E-2</v>
      </c>
      <c r="N42" s="54" cm="1">
        <f t="array" ref="N42">_xlfn.XLOOKUP(K42,LISTAS!$D$27:$D$47,_xlfn.XLOOKUP(J42,LISTAS!$E$26:$H$26,LISTAS!$E$27:$H$47))</f>
        <v>24513000</v>
      </c>
      <c r="O42" s="56" t="s">
        <v>1623</v>
      </c>
      <c r="P42" s="76" t="str">
        <f t="shared" ca="1" si="2"/>
        <v>Vencida</v>
      </c>
    </row>
    <row r="43" spans="1:16" x14ac:dyDescent="0.3">
      <c r="A43" s="58" t="s">
        <v>333</v>
      </c>
      <c r="B43" s="56" t="s">
        <v>226</v>
      </c>
      <c r="C43" s="50" t="str">
        <f>_xlfn.XLOOKUP(B43,CLIENTES!$A$2:$A$301,CLIENTES!$B$2:$B$301)</f>
        <v>Andrés Aguirre</v>
      </c>
      <c r="D43" s="60">
        <v>44690</v>
      </c>
      <c r="E43" s="60">
        <f t="shared" si="0"/>
        <v>45055</v>
      </c>
      <c r="F43" s="50" t="s">
        <v>1595</v>
      </c>
      <c r="G43" s="56" t="s">
        <v>1599</v>
      </c>
      <c r="H43" s="47">
        <v>52</v>
      </c>
      <c r="I43" s="60">
        <v>27053</v>
      </c>
      <c r="J43" s="56" t="s">
        <v>1610</v>
      </c>
      <c r="K43" s="56">
        <v>2024</v>
      </c>
      <c r="L43" s="52">
        <f t="shared" si="1"/>
        <v>44447.040000000001</v>
      </c>
      <c r="M43" s="56">
        <f>LISTAS!$B$22*_xlfn.XLOOKUP(G43,LISTAS!$B$27:$B$36,LISTAS!$A$27:$A$36)*_xlfn.XLOOKUP(H43,LISTAS!$B$38:$B$47,LISTAS!$A$38:$A$47,,-1)*_xlfn.XLOOKUP(J43,LISTAS!$E$26:$H$26,LISTAS!$E$48:$H$48)*_xlfn.XLOOKUP(F43,LISTAS!$A$15:$A$18,LISTAS!$H$15:$H$18)</f>
        <v>1.584E-2</v>
      </c>
      <c r="N43" s="54" cm="1">
        <f t="array" ref="N43">_xlfn.XLOOKUP(K43,LISTAS!$D$27:$D$47,_xlfn.XLOOKUP(J43,LISTAS!$E$26:$H$26,LISTAS!$E$27:$H$47))</f>
        <v>33672000</v>
      </c>
      <c r="O43" s="56" t="s">
        <v>1626</v>
      </c>
      <c r="P43" s="76" t="str">
        <f t="shared" ca="1" si="2"/>
        <v>Vencida</v>
      </c>
    </row>
    <row r="44" spans="1:16" x14ac:dyDescent="0.3">
      <c r="A44" s="58" t="s">
        <v>334</v>
      </c>
      <c r="B44" s="56" t="s">
        <v>260</v>
      </c>
      <c r="C44" s="50" t="str">
        <f>_xlfn.XLOOKUP(B44,CLIENTES!$A$2:$A$301,CLIENTES!$B$2:$B$301)</f>
        <v>Daniela Quiroga</v>
      </c>
      <c r="D44" s="60">
        <v>45712</v>
      </c>
      <c r="E44" s="60">
        <f t="shared" si="0"/>
        <v>46077</v>
      </c>
      <c r="F44" s="50" t="s">
        <v>1598</v>
      </c>
      <c r="G44" s="56" t="s">
        <v>1603</v>
      </c>
      <c r="H44" s="47">
        <v>59</v>
      </c>
      <c r="I44" s="60">
        <v>24451</v>
      </c>
      <c r="J44" s="56" t="s">
        <v>1611</v>
      </c>
      <c r="K44" s="56">
        <v>2024</v>
      </c>
      <c r="L44" s="52">
        <f t="shared" si="1"/>
        <v>89667.483749999999</v>
      </c>
      <c r="M44" s="56">
        <f>LISTAS!$B$22*_xlfn.XLOOKUP(G44,LISTAS!$B$27:$B$36,LISTAS!$A$27:$A$36)*_xlfn.XLOOKUP(H44,LISTAS!$B$38:$B$47,LISTAS!$A$38:$A$47,,-1)*_xlfn.XLOOKUP(J44,LISTAS!$E$26:$H$26,LISTAS!$E$48:$H$48)*_xlfn.XLOOKUP(F44,LISTAS!$A$15:$A$18,LISTAS!$H$15:$H$18)</f>
        <v>2.8405E-2</v>
      </c>
      <c r="N44" s="54" cm="1">
        <f t="array" ref="N44">_xlfn.XLOOKUP(K44,LISTAS!$D$27:$D$47,_xlfn.XLOOKUP(J44,LISTAS!$E$26:$H$26,LISTAS!$E$27:$H$47))</f>
        <v>37881000</v>
      </c>
      <c r="O44" s="56" t="s">
        <v>1625</v>
      </c>
      <c r="P44" s="76" t="str">
        <f t="shared" ca="1" si="2"/>
        <v>Vencida</v>
      </c>
    </row>
    <row r="45" spans="1:16" x14ac:dyDescent="0.3">
      <c r="A45" s="58" t="s">
        <v>335</v>
      </c>
      <c r="B45" s="56" t="s">
        <v>146</v>
      </c>
      <c r="C45" s="50" t="str">
        <f>_xlfn.XLOOKUP(B45,CLIENTES!$A$2:$A$301,CLIENTES!$B$2:$B$301)</f>
        <v>Pablo Correa</v>
      </c>
      <c r="D45" s="60">
        <v>45247</v>
      </c>
      <c r="E45" s="60">
        <f t="shared" si="0"/>
        <v>45613</v>
      </c>
      <c r="F45" s="50" t="s">
        <v>1596</v>
      </c>
      <c r="G45" s="56" t="s">
        <v>1602</v>
      </c>
      <c r="H45" s="47">
        <v>55</v>
      </c>
      <c r="I45" s="60">
        <v>26113</v>
      </c>
      <c r="J45" s="56" t="s">
        <v>1610</v>
      </c>
      <c r="K45" s="56">
        <v>2025</v>
      </c>
      <c r="L45" s="52">
        <f t="shared" si="1"/>
        <v>60214.000000000007</v>
      </c>
      <c r="M45" s="56">
        <f>LISTAS!$B$22*_xlfn.XLOOKUP(G45,LISTAS!$B$27:$B$36,LISTAS!$A$27:$A$36)*_xlfn.XLOOKUP(H45,LISTAS!$B$38:$B$47,LISTAS!$A$38:$A$47,,-1)*_xlfn.XLOOKUP(J45,LISTAS!$E$26:$H$26,LISTAS!$E$48:$H$48)*_xlfn.XLOOKUP(F45,LISTAS!$A$15:$A$18,LISTAS!$H$15:$H$18)</f>
        <v>1.9635000000000003E-2</v>
      </c>
      <c r="N45" s="54" cm="1">
        <f t="array" ref="N45">_xlfn.XLOOKUP(K45,LISTAS!$D$27:$D$47,_xlfn.XLOOKUP(J45,LISTAS!$E$26:$H$26,LISTAS!$E$27:$H$47))</f>
        <v>36800000</v>
      </c>
      <c r="O45" s="56" t="s">
        <v>1624</v>
      </c>
      <c r="P45" s="76" t="str">
        <f t="shared" ca="1" si="2"/>
        <v>Vencida</v>
      </c>
    </row>
    <row r="46" spans="1:16" x14ac:dyDescent="0.3">
      <c r="A46" s="58" t="s">
        <v>336</v>
      </c>
      <c r="B46" s="56" t="s">
        <v>201</v>
      </c>
      <c r="C46" s="50" t="str">
        <f>_xlfn.XLOOKUP(B46,CLIENTES!$A$2:$A$301,CLIENTES!$B$2:$B$301)</f>
        <v>Gabriel Luna</v>
      </c>
      <c r="D46" s="60">
        <v>45566</v>
      </c>
      <c r="E46" s="60">
        <f t="shared" si="0"/>
        <v>45931</v>
      </c>
      <c r="F46" s="50" t="s">
        <v>1595</v>
      </c>
      <c r="G46" s="56" t="s">
        <v>1600</v>
      </c>
      <c r="H46" s="47">
        <v>78</v>
      </c>
      <c r="I46" s="60">
        <v>17629</v>
      </c>
      <c r="J46" s="56" t="s">
        <v>1612</v>
      </c>
      <c r="K46" s="56">
        <v>2022</v>
      </c>
      <c r="L46" s="52">
        <f t="shared" si="1"/>
        <v>39056.768624999997</v>
      </c>
      <c r="M46" s="56">
        <f>LISTAS!$B$22*_xlfn.XLOOKUP(G46,LISTAS!$B$27:$B$36,LISTAS!$A$27:$A$36)*_xlfn.XLOOKUP(H46,LISTAS!$B$38:$B$47,LISTAS!$A$38:$A$47,,-1)*_xlfn.XLOOKUP(J46,LISTAS!$E$26:$H$26,LISTAS!$E$48:$H$48)*_xlfn.XLOOKUP(F46,LISTAS!$A$15:$A$18,LISTAS!$H$15:$H$18)</f>
        <v>2.1010499999999998E-2</v>
      </c>
      <c r="N46" s="54" cm="1">
        <f t="array" ref="N46">_xlfn.XLOOKUP(K46,LISTAS!$D$27:$D$47,_xlfn.XLOOKUP(J46,LISTAS!$E$26:$H$26,LISTAS!$E$27:$H$47))</f>
        <v>22307000</v>
      </c>
      <c r="O46" s="56" t="s">
        <v>1623</v>
      </c>
      <c r="P46" s="76" t="str">
        <f t="shared" ca="1" si="2"/>
        <v>Vencida</v>
      </c>
    </row>
    <row r="47" spans="1:16" x14ac:dyDescent="0.3">
      <c r="A47" s="58" t="s">
        <v>337</v>
      </c>
      <c r="B47" s="56" t="s">
        <v>174</v>
      </c>
      <c r="C47" s="50" t="str">
        <f>_xlfn.XLOOKUP(B47,CLIENTES!$A$2:$A$301,CLIENTES!$B$2:$B$301)</f>
        <v>Santiago Álvarez</v>
      </c>
      <c r="D47" s="60">
        <v>46149</v>
      </c>
      <c r="E47" s="60">
        <f t="shared" si="0"/>
        <v>46514</v>
      </c>
      <c r="F47" s="50" t="s">
        <v>1595</v>
      </c>
      <c r="G47" s="56" t="s">
        <v>1601</v>
      </c>
      <c r="H47" s="47">
        <v>18</v>
      </c>
      <c r="I47" s="60">
        <v>39394</v>
      </c>
      <c r="J47" s="56" t="s">
        <v>1611</v>
      </c>
      <c r="K47" s="56">
        <v>2025</v>
      </c>
      <c r="L47" s="52">
        <f t="shared" si="1"/>
        <v>82127.25</v>
      </c>
      <c r="M47" s="56">
        <f>LISTAS!$B$22*_xlfn.XLOOKUP(G47,LISTAS!$B$27:$B$36,LISTAS!$A$27:$A$36)*_xlfn.XLOOKUP(H47,LISTAS!$B$38:$B$47,LISTAS!$A$38:$A$47,,-1)*_xlfn.XLOOKUP(J47,LISTAS!$E$26:$H$26,LISTAS!$E$48:$H$48)*_xlfn.XLOOKUP(F47,LISTAS!$A$15:$A$18,LISTAS!$H$15:$H$18)</f>
        <v>2.3805E-2</v>
      </c>
      <c r="N47" s="54" cm="1">
        <f t="array" ref="N47">_xlfn.XLOOKUP(K47,LISTAS!$D$27:$D$47,_xlfn.XLOOKUP(J47,LISTAS!$E$26:$H$26,LISTAS!$E$27:$H$47))</f>
        <v>41400000</v>
      </c>
      <c r="O47" s="56" t="s">
        <v>1623</v>
      </c>
      <c r="P47" s="76" t="str">
        <f t="shared" ca="1" si="2"/>
        <v>Vigente</v>
      </c>
    </row>
    <row r="48" spans="1:16" x14ac:dyDescent="0.3">
      <c r="A48" s="58" t="s">
        <v>338</v>
      </c>
      <c r="B48" s="56" t="s">
        <v>50</v>
      </c>
      <c r="C48" s="50" t="str">
        <f>_xlfn.XLOOKUP(B48,CLIENTES!$A$2:$A$301,CLIENTES!$B$2:$B$301)</f>
        <v>Agustín Medina</v>
      </c>
      <c r="D48" s="60">
        <v>45620</v>
      </c>
      <c r="E48" s="60">
        <f t="shared" si="0"/>
        <v>45985</v>
      </c>
      <c r="F48" s="50" t="s">
        <v>1595</v>
      </c>
      <c r="G48" s="56" t="s">
        <v>1603</v>
      </c>
      <c r="H48" s="47">
        <v>44</v>
      </c>
      <c r="I48" s="60">
        <v>30113</v>
      </c>
      <c r="J48" s="56" t="s">
        <v>1610</v>
      </c>
      <c r="K48" s="56">
        <v>2024</v>
      </c>
      <c r="L48" s="52">
        <f t="shared" si="1"/>
        <v>33427.878000000004</v>
      </c>
      <c r="M48" s="56">
        <f>LISTAS!$B$22*_xlfn.XLOOKUP(G48,LISTAS!$B$27:$B$36,LISTAS!$A$27:$A$36)*_xlfn.XLOOKUP(H48,LISTAS!$B$38:$B$47,LISTAS!$A$38:$A$47,,-1)*_xlfn.XLOOKUP(J48,LISTAS!$E$26:$H$26,LISTAS!$E$48:$H$48)*_xlfn.XLOOKUP(F48,LISTAS!$A$15:$A$18,LISTAS!$H$15:$H$18)</f>
        <v>1.1913E-2</v>
      </c>
      <c r="N48" s="54" cm="1">
        <f t="array" ref="N48">_xlfn.XLOOKUP(K48,LISTAS!$D$27:$D$47,_xlfn.XLOOKUP(J48,LISTAS!$E$26:$H$26,LISTAS!$E$27:$H$47))</f>
        <v>33672000</v>
      </c>
      <c r="O48" s="56" t="s">
        <v>1624</v>
      </c>
      <c r="P48" s="76" t="str">
        <f t="shared" ca="1" si="2"/>
        <v>Vencida</v>
      </c>
    </row>
    <row r="49" spans="1:16" x14ac:dyDescent="0.3">
      <c r="A49" s="58" t="s">
        <v>339</v>
      </c>
      <c r="B49" s="56" t="s">
        <v>55</v>
      </c>
      <c r="C49" s="50" t="str">
        <f>_xlfn.XLOOKUP(B49,CLIENTES!$A$2:$A$301,CLIENTES!$B$2:$B$301)</f>
        <v>Lucía Quiroga</v>
      </c>
      <c r="D49" s="60">
        <v>45239</v>
      </c>
      <c r="E49" s="60">
        <f t="shared" si="0"/>
        <v>45605</v>
      </c>
      <c r="F49" s="50" t="s">
        <v>1597</v>
      </c>
      <c r="G49" s="56" t="s">
        <v>1608</v>
      </c>
      <c r="H49" s="47">
        <v>31</v>
      </c>
      <c r="I49" s="60">
        <v>34640</v>
      </c>
      <c r="J49" s="56" t="s">
        <v>1609</v>
      </c>
      <c r="K49" s="56">
        <v>2021</v>
      </c>
      <c r="L49" s="52">
        <f t="shared" si="1"/>
        <v>27621.091666666671</v>
      </c>
      <c r="M49" s="56">
        <f>LISTAS!$B$22*_xlfn.XLOOKUP(G49,LISTAS!$B$27:$B$36,LISTAS!$A$27:$A$36)*_xlfn.XLOOKUP(H49,LISTAS!$B$38:$B$47,LISTAS!$A$38:$A$47,,-1)*_xlfn.XLOOKUP(J49,LISTAS!$E$26:$H$26,LISTAS!$E$48:$H$48)*_xlfn.XLOOKUP(F49,LISTAS!$A$15:$A$18,LISTAS!$H$15:$H$18)</f>
        <v>2.0900000000000002E-2</v>
      </c>
      <c r="N49" s="54" cm="1">
        <f t="array" ref="N49">_xlfn.XLOOKUP(K49,LISTAS!$D$27:$D$47,_xlfn.XLOOKUP(J49,LISTAS!$E$26:$H$26,LISTAS!$E$27:$H$47))</f>
        <v>15859000</v>
      </c>
      <c r="O49" s="56" t="s">
        <v>1624</v>
      </c>
      <c r="P49" s="76" t="str">
        <f t="shared" ca="1" si="2"/>
        <v>Vencida</v>
      </c>
    </row>
    <row r="50" spans="1:16" x14ac:dyDescent="0.3">
      <c r="A50" s="58" t="s">
        <v>340</v>
      </c>
      <c r="B50" s="56" t="s">
        <v>46</v>
      </c>
      <c r="C50" s="50" t="str">
        <f>_xlfn.XLOOKUP(B50,CLIENTES!$A$2:$A$301,CLIENTES!$B$2:$B$301)</f>
        <v>Gonzalo Molina</v>
      </c>
      <c r="D50" s="60">
        <v>46040</v>
      </c>
      <c r="E50" s="60">
        <f t="shared" si="0"/>
        <v>46405</v>
      </c>
      <c r="F50" s="50" t="s">
        <v>1597</v>
      </c>
      <c r="G50" s="56" t="s">
        <v>1608</v>
      </c>
      <c r="H50" s="47">
        <v>77</v>
      </c>
      <c r="I50" s="60">
        <v>17976</v>
      </c>
      <c r="J50" s="56" t="s">
        <v>1611</v>
      </c>
      <c r="K50" s="56">
        <v>2026</v>
      </c>
      <c r="L50" s="52">
        <f t="shared" si="1"/>
        <v>130690.3125</v>
      </c>
      <c r="M50" s="56">
        <f>LISTAS!$B$22*_xlfn.XLOOKUP(G50,LISTAS!$B$27:$B$36,LISTAS!$A$27:$A$36)*_xlfn.XLOOKUP(H50,LISTAS!$B$38:$B$47,LISTAS!$A$38:$A$47,,-1)*_xlfn.XLOOKUP(J50,LISTAS!$E$26:$H$26,LISTAS!$E$48:$H$48)*_xlfn.XLOOKUP(F50,LISTAS!$A$15:$A$18,LISTAS!$H$15:$H$18)</f>
        <v>3.485075E-2</v>
      </c>
      <c r="N50" s="54" cm="1">
        <f t="array" ref="N50">_xlfn.XLOOKUP(K50,LISTAS!$D$27:$D$47,_xlfn.XLOOKUP(J50,LISTAS!$E$26:$H$26,LISTAS!$E$27:$H$47))</f>
        <v>45000000</v>
      </c>
      <c r="O50" s="56" t="s">
        <v>1624</v>
      </c>
      <c r="P50" s="76" t="str">
        <f t="shared" ca="1" si="2"/>
        <v>Vigente</v>
      </c>
    </row>
    <row r="51" spans="1:16" x14ac:dyDescent="0.3">
      <c r="A51" s="58" t="s">
        <v>341</v>
      </c>
      <c r="B51" s="56" t="s">
        <v>115</v>
      </c>
      <c r="C51" s="50" t="str">
        <f>_xlfn.XLOOKUP(B51,CLIENTES!$A$2:$A$301,CLIENTES!$B$2:$B$301)</f>
        <v>Martín Pérez</v>
      </c>
      <c r="D51" s="60">
        <v>45685</v>
      </c>
      <c r="E51" s="60">
        <f t="shared" si="0"/>
        <v>46050</v>
      </c>
      <c r="F51" s="50" t="s">
        <v>1597</v>
      </c>
      <c r="G51" s="56" t="s">
        <v>1605</v>
      </c>
      <c r="H51" s="47">
        <v>58</v>
      </c>
      <c r="I51" s="60">
        <v>24902</v>
      </c>
      <c r="J51" s="56" t="s">
        <v>1612</v>
      </c>
      <c r="K51" s="56">
        <v>2025</v>
      </c>
      <c r="L51" s="52">
        <f t="shared" si="1"/>
        <v>51004.800000000017</v>
      </c>
      <c r="M51" s="56">
        <f>LISTAS!$B$22*_xlfn.XLOOKUP(G51,LISTAS!$B$27:$B$36,LISTAS!$A$27:$A$36)*_xlfn.XLOOKUP(H51,LISTAS!$B$38:$B$47,LISTAS!$A$38:$A$47,,-1)*_xlfn.XLOOKUP(J51,LISTAS!$E$26:$H$26,LISTAS!$E$48:$H$48)*_xlfn.XLOOKUP(F51,LISTAS!$A$15:$A$18,LISTAS!$H$15:$H$18)</f>
        <v>2.0790000000000006E-2</v>
      </c>
      <c r="N51" s="54" cm="1">
        <f t="array" ref="N51">_xlfn.XLOOKUP(K51,LISTAS!$D$27:$D$47,_xlfn.XLOOKUP(J51,LISTAS!$E$26:$H$26,LISTAS!$E$27:$H$47))</f>
        <v>29440000</v>
      </c>
      <c r="O51" s="56" t="s">
        <v>1623</v>
      </c>
      <c r="P51" s="76" t="str">
        <f t="shared" ca="1" si="2"/>
        <v>Vencida</v>
      </c>
    </row>
    <row r="52" spans="1:16" x14ac:dyDescent="0.3">
      <c r="A52" s="58" t="s">
        <v>342</v>
      </c>
      <c r="B52" s="56" t="s">
        <v>211</v>
      </c>
      <c r="C52" s="50" t="str">
        <f>_xlfn.XLOOKUP(B52,CLIENTES!$A$2:$A$301,CLIENTES!$B$2:$B$301)</f>
        <v>Mariana Peralta</v>
      </c>
      <c r="D52" s="60">
        <v>45326</v>
      </c>
      <c r="E52" s="60">
        <f t="shared" si="0"/>
        <v>45692</v>
      </c>
      <c r="F52" s="50" t="s">
        <v>1595</v>
      </c>
      <c r="G52" s="56" t="s">
        <v>1608</v>
      </c>
      <c r="H52" s="47">
        <v>40</v>
      </c>
      <c r="I52" s="60">
        <v>31495</v>
      </c>
      <c r="J52" s="56" t="s">
        <v>1609</v>
      </c>
      <c r="K52" s="56">
        <v>2022</v>
      </c>
      <c r="L52" s="52">
        <f t="shared" si="1"/>
        <v>15727.867499999998</v>
      </c>
      <c r="M52" s="56">
        <f>LISTAS!$B$22*_xlfn.XLOOKUP(G52,LISTAS!$B$27:$B$36,LISTAS!$A$27:$A$36)*_xlfn.XLOOKUP(H52,LISTAS!$B$38:$B$47,LISTAS!$A$38:$A$47,,-1)*_xlfn.XLOOKUP(J52,LISTAS!$E$26:$H$26,LISTAS!$E$48:$H$48)*_xlfn.XLOOKUP(F52,LISTAS!$A$15:$A$18,LISTAS!$H$15:$H$18)</f>
        <v>1.0829999999999999E-2</v>
      </c>
      <c r="N52" s="54" cm="1">
        <f t="array" ref="N52">_xlfn.XLOOKUP(K52,LISTAS!$D$27:$D$47,_xlfn.XLOOKUP(J52,LISTAS!$E$26:$H$26,LISTAS!$E$27:$H$47))</f>
        <v>17427000</v>
      </c>
      <c r="O52" s="56" t="s">
        <v>1624</v>
      </c>
      <c r="P52" s="76" t="str">
        <f t="shared" ca="1" si="2"/>
        <v>Vencida</v>
      </c>
    </row>
    <row r="53" spans="1:16" x14ac:dyDescent="0.3">
      <c r="A53" s="58" t="s">
        <v>343</v>
      </c>
      <c r="B53" s="56" t="s">
        <v>46</v>
      </c>
      <c r="C53" s="50" t="str">
        <f>_xlfn.XLOOKUP(B53,CLIENTES!$A$2:$A$301,CLIENTES!$B$2:$B$301)</f>
        <v>Gonzalo Molina</v>
      </c>
      <c r="D53" s="60">
        <v>45102</v>
      </c>
      <c r="E53" s="60">
        <f t="shared" si="0"/>
        <v>45468</v>
      </c>
      <c r="F53" s="50" t="s">
        <v>1595</v>
      </c>
      <c r="G53" s="56" t="s">
        <v>1607</v>
      </c>
      <c r="H53" s="47">
        <v>47</v>
      </c>
      <c r="I53" s="60">
        <v>29023</v>
      </c>
      <c r="J53" s="56" t="s">
        <v>1612</v>
      </c>
      <c r="K53" s="56">
        <v>2024</v>
      </c>
      <c r="L53" s="52">
        <f t="shared" si="1"/>
        <v>29557.720500000007</v>
      </c>
      <c r="M53" s="56">
        <f>LISTAS!$B$22*_xlfn.XLOOKUP(G53,LISTAS!$B$27:$B$36,LISTAS!$A$27:$A$36)*_xlfn.XLOOKUP(H53,LISTAS!$B$38:$B$47,LISTAS!$A$38:$A$47,,-1)*_xlfn.XLOOKUP(J53,LISTAS!$E$26:$H$26,LISTAS!$E$48:$H$48)*_xlfn.XLOOKUP(F53,LISTAS!$A$15:$A$18,LISTAS!$H$15:$H$18)</f>
        <v>1.3167000000000002E-2</v>
      </c>
      <c r="N53" s="54" cm="1">
        <f t="array" ref="N53">_xlfn.XLOOKUP(K53,LISTAS!$D$27:$D$47,_xlfn.XLOOKUP(J53,LISTAS!$E$26:$H$26,LISTAS!$E$27:$H$47))</f>
        <v>26938000</v>
      </c>
      <c r="O53" s="56" t="s">
        <v>1623</v>
      </c>
      <c r="P53" s="76" t="str">
        <f t="shared" ca="1" si="2"/>
        <v>Vencida</v>
      </c>
    </row>
    <row r="54" spans="1:16" x14ac:dyDescent="0.3">
      <c r="A54" s="58" t="s">
        <v>344</v>
      </c>
      <c r="B54" s="56" t="s">
        <v>211</v>
      </c>
      <c r="C54" s="50" t="str">
        <f>_xlfn.XLOOKUP(B54,CLIENTES!$A$2:$A$301,CLIENTES!$B$2:$B$301)</f>
        <v>Mariana Peralta</v>
      </c>
      <c r="D54" s="60">
        <v>45210</v>
      </c>
      <c r="E54" s="60">
        <f t="shared" si="0"/>
        <v>45576</v>
      </c>
      <c r="F54" s="50" t="s">
        <v>1598</v>
      </c>
      <c r="G54" s="56" t="s">
        <v>1599</v>
      </c>
      <c r="H54" s="47">
        <v>67</v>
      </c>
      <c r="I54" s="60">
        <v>21572</v>
      </c>
      <c r="J54" s="56" t="s">
        <v>1610</v>
      </c>
      <c r="K54" s="56">
        <v>2024</v>
      </c>
      <c r="L54" s="52">
        <f t="shared" si="1"/>
        <v>110747.208</v>
      </c>
      <c r="M54" s="56">
        <f>LISTAS!$B$22*_xlfn.XLOOKUP(G54,LISTAS!$B$27:$B$36,LISTAS!$A$27:$A$36)*_xlfn.XLOOKUP(H54,LISTAS!$B$38:$B$47,LISTAS!$A$38:$A$47,,-1)*_xlfn.XLOOKUP(J54,LISTAS!$E$26:$H$26,LISTAS!$E$48:$H$48)*_xlfn.XLOOKUP(F54,LISTAS!$A$15:$A$18,LISTAS!$H$15:$H$18)</f>
        <v>3.9468000000000003E-2</v>
      </c>
      <c r="N54" s="54" cm="1">
        <f t="array" ref="N54">_xlfn.XLOOKUP(K54,LISTAS!$D$27:$D$47,_xlfn.XLOOKUP(J54,LISTAS!$E$26:$H$26,LISTAS!$E$27:$H$47))</f>
        <v>33672000</v>
      </c>
      <c r="O54" s="56" t="s">
        <v>1623</v>
      </c>
      <c r="P54" s="76" t="str">
        <f t="shared" ca="1" si="2"/>
        <v>Vencida</v>
      </c>
    </row>
    <row r="55" spans="1:16" x14ac:dyDescent="0.3">
      <c r="A55" s="58" t="s">
        <v>345</v>
      </c>
      <c r="B55" s="56" t="s">
        <v>165</v>
      </c>
      <c r="C55" s="50" t="str">
        <f>_xlfn.XLOOKUP(B55,CLIENTES!$A$2:$A$301,CLIENTES!$B$2:$B$301)</f>
        <v>Gabriela Quiroga</v>
      </c>
      <c r="D55" s="60">
        <v>44981</v>
      </c>
      <c r="E55" s="60">
        <f t="shared" si="0"/>
        <v>45346</v>
      </c>
      <c r="F55" s="50" t="s">
        <v>1596</v>
      </c>
      <c r="G55" s="56" t="s">
        <v>1604</v>
      </c>
      <c r="H55" s="47">
        <v>52</v>
      </c>
      <c r="I55" s="60">
        <v>27141</v>
      </c>
      <c r="J55" s="56" t="s">
        <v>1611</v>
      </c>
      <c r="K55" s="56">
        <v>2021</v>
      </c>
      <c r="L55" s="52">
        <f t="shared" si="1"/>
        <v>48831.501250000001</v>
      </c>
      <c r="M55" s="56">
        <f>LISTAS!$B$22*_xlfn.XLOOKUP(G55,LISTAS!$B$27:$B$36,LISTAS!$A$27:$A$36)*_xlfn.XLOOKUP(H55,LISTAS!$B$38:$B$47,LISTAS!$A$38:$A$47,,-1)*_xlfn.XLOOKUP(J55,LISTAS!$E$26:$H$26,LISTAS!$E$48:$H$48)*_xlfn.XLOOKUP(F55,LISTAS!$A$15:$A$18,LISTAS!$H$15:$H$18)</f>
        <v>2.0527500000000001E-2</v>
      </c>
      <c r="N55" s="54" cm="1">
        <f t="array" ref="N55">_xlfn.XLOOKUP(K55,LISTAS!$D$27:$D$47,_xlfn.XLOOKUP(J55,LISTAS!$E$26:$H$26,LISTAS!$E$27:$H$47))</f>
        <v>28546000</v>
      </c>
      <c r="O55" s="56" t="s">
        <v>1623</v>
      </c>
      <c r="P55" s="76" t="str">
        <f t="shared" ca="1" si="2"/>
        <v>Vencida</v>
      </c>
    </row>
    <row r="56" spans="1:16" x14ac:dyDescent="0.3">
      <c r="A56" s="58" t="s">
        <v>346</v>
      </c>
      <c r="B56" s="56" t="s">
        <v>128</v>
      </c>
      <c r="C56" s="50" t="str">
        <f>_xlfn.XLOOKUP(B56,CLIENTES!$A$2:$A$301,CLIENTES!$B$2:$B$301)</f>
        <v>Emiliano Ortiz</v>
      </c>
      <c r="D56" s="60">
        <v>45452</v>
      </c>
      <c r="E56" s="60">
        <f t="shared" si="0"/>
        <v>45817</v>
      </c>
      <c r="F56" s="50" t="s">
        <v>1597</v>
      </c>
      <c r="G56" s="56" t="s">
        <v>1607</v>
      </c>
      <c r="H56" s="47">
        <v>64</v>
      </c>
      <c r="I56" s="60">
        <v>22546</v>
      </c>
      <c r="J56" s="56" t="s">
        <v>1610</v>
      </c>
      <c r="K56" s="56">
        <v>2022</v>
      </c>
      <c r="L56" s="52">
        <f t="shared" si="1"/>
        <v>64948.807000000023</v>
      </c>
      <c r="M56" s="56">
        <f>LISTAS!$B$22*_xlfn.XLOOKUP(G56,LISTAS!$B$27:$B$36,LISTAS!$A$27:$A$36)*_xlfn.XLOOKUP(H56,LISTAS!$B$38:$B$47,LISTAS!$A$38:$A$47,,-1)*_xlfn.XLOOKUP(J56,LISTAS!$E$26:$H$26,LISTAS!$E$48:$H$48)*_xlfn.XLOOKUP(F56,LISTAS!$A$15:$A$18,LISTAS!$H$15:$H$18)</f>
        <v>2.7951000000000007E-2</v>
      </c>
      <c r="N56" s="54" cm="1">
        <f t="array" ref="N56">_xlfn.XLOOKUP(K56,LISTAS!$D$27:$D$47,_xlfn.XLOOKUP(J56,LISTAS!$E$26:$H$26,LISTAS!$E$27:$H$47))</f>
        <v>27884000</v>
      </c>
      <c r="O56" s="56" t="s">
        <v>1623</v>
      </c>
      <c r="P56" s="76" t="str">
        <f t="shared" ca="1" si="2"/>
        <v>Vencida</v>
      </c>
    </row>
    <row r="57" spans="1:16" x14ac:dyDescent="0.3">
      <c r="A57" s="58" t="s">
        <v>347</v>
      </c>
      <c r="B57" s="56" t="s">
        <v>288</v>
      </c>
      <c r="C57" s="50" t="str">
        <f>_xlfn.XLOOKUP(B57,CLIENTES!$A$2:$A$301,CLIENTES!$B$2:$B$301)</f>
        <v>Nicolás Torres</v>
      </c>
      <c r="D57" s="60">
        <v>44881</v>
      </c>
      <c r="E57" s="60">
        <f t="shared" si="0"/>
        <v>45246</v>
      </c>
      <c r="F57" s="50" t="s">
        <v>1595</v>
      </c>
      <c r="G57" s="56" t="s">
        <v>1606</v>
      </c>
      <c r="H57" s="47">
        <v>33</v>
      </c>
      <c r="I57" s="60">
        <v>33993</v>
      </c>
      <c r="J57" s="56" t="s">
        <v>1609</v>
      </c>
      <c r="K57" s="56">
        <v>2022</v>
      </c>
      <c r="L57" s="52">
        <f t="shared" si="1"/>
        <v>17427</v>
      </c>
      <c r="M57" s="56">
        <f>LISTAS!$B$22*_xlfn.XLOOKUP(G57,LISTAS!$B$27:$B$36,LISTAS!$A$27:$A$36)*_xlfn.XLOOKUP(H57,LISTAS!$B$38:$B$47,LISTAS!$A$38:$A$47,,-1)*_xlfn.XLOOKUP(J57,LISTAS!$E$26:$H$26,LISTAS!$E$48:$H$48)*_xlfn.XLOOKUP(F57,LISTAS!$A$15:$A$18,LISTAS!$H$15:$H$18)</f>
        <v>1.2E-2</v>
      </c>
      <c r="N57" s="54" cm="1">
        <f t="array" ref="N57">_xlfn.XLOOKUP(K57,LISTAS!$D$27:$D$47,_xlfn.XLOOKUP(J57,LISTAS!$E$26:$H$26,LISTAS!$E$27:$H$47))</f>
        <v>17427000</v>
      </c>
      <c r="O57" s="56" t="s">
        <v>1623</v>
      </c>
      <c r="P57" s="76" t="str">
        <f t="shared" ca="1" si="2"/>
        <v>Vencida</v>
      </c>
    </row>
    <row r="58" spans="1:16" x14ac:dyDescent="0.3">
      <c r="A58" s="58" t="s">
        <v>348</v>
      </c>
      <c r="B58" s="56" t="s">
        <v>197</v>
      </c>
      <c r="C58" s="50" t="str">
        <f>_xlfn.XLOOKUP(B58,CLIENTES!$A$2:$A$301,CLIENTES!$B$2:$B$301)</f>
        <v>Sofía Mansilla</v>
      </c>
      <c r="D58" s="60">
        <v>45615</v>
      </c>
      <c r="E58" s="60">
        <f t="shared" si="0"/>
        <v>45980</v>
      </c>
      <c r="F58" s="50" t="s">
        <v>1595</v>
      </c>
      <c r="G58" s="56" t="s">
        <v>1599</v>
      </c>
      <c r="H58" s="47">
        <v>20</v>
      </c>
      <c r="I58" s="60">
        <v>38645</v>
      </c>
      <c r="J58" s="56" t="s">
        <v>1610</v>
      </c>
      <c r="K58" s="56">
        <v>2021</v>
      </c>
      <c r="L58" s="52">
        <f t="shared" si="1"/>
        <v>50240.520000000019</v>
      </c>
      <c r="M58" s="56">
        <f>LISTAS!$B$22*_xlfn.XLOOKUP(G58,LISTAS!$B$27:$B$36,LISTAS!$A$27:$A$36)*_xlfn.XLOOKUP(H58,LISTAS!$B$38:$B$47,LISTAS!$A$38:$A$47,,-1)*_xlfn.XLOOKUP(J58,LISTAS!$E$26:$H$26,LISTAS!$E$48:$H$48)*_xlfn.XLOOKUP(F58,LISTAS!$A$15:$A$18,LISTAS!$H$15:$H$18)</f>
        <v>2.3760000000000007E-2</v>
      </c>
      <c r="N58" s="54" cm="1">
        <f t="array" ref="N58">_xlfn.XLOOKUP(K58,LISTAS!$D$27:$D$47,_xlfn.XLOOKUP(J58,LISTAS!$E$26:$H$26,LISTAS!$E$27:$H$47))</f>
        <v>25374000</v>
      </c>
      <c r="O58" s="56" t="s">
        <v>1626</v>
      </c>
      <c r="P58" s="76" t="str">
        <f t="shared" ca="1" si="2"/>
        <v>Vencida</v>
      </c>
    </row>
    <row r="59" spans="1:16" x14ac:dyDescent="0.3">
      <c r="A59" s="58" t="s">
        <v>349</v>
      </c>
      <c r="B59" s="56" t="s">
        <v>203</v>
      </c>
      <c r="C59" s="50" t="str">
        <f>_xlfn.XLOOKUP(B59,CLIENTES!$A$2:$A$301,CLIENTES!$B$2:$B$301)</f>
        <v>Mariano Molina</v>
      </c>
      <c r="D59" s="60">
        <v>45758</v>
      </c>
      <c r="E59" s="60">
        <f t="shared" si="0"/>
        <v>46123</v>
      </c>
      <c r="F59" s="50" t="s">
        <v>1597</v>
      </c>
      <c r="G59" s="56" t="s">
        <v>1604</v>
      </c>
      <c r="H59" s="47">
        <v>41</v>
      </c>
      <c r="I59" s="60">
        <v>30960</v>
      </c>
      <c r="J59" s="56" t="s">
        <v>1610</v>
      </c>
      <c r="K59" s="56">
        <v>2026</v>
      </c>
      <c r="L59" s="52">
        <f t="shared" si="1"/>
        <v>80465</v>
      </c>
      <c r="M59" s="56">
        <f>LISTAS!$B$22*_xlfn.XLOOKUP(G59,LISTAS!$B$27:$B$36,LISTAS!$A$27:$A$36)*_xlfn.XLOOKUP(H59,LISTAS!$B$38:$B$47,LISTAS!$A$38:$A$47,,-1)*_xlfn.XLOOKUP(J59,LISTAS!$E$26:$H$26,LISTAS!$E$48:$H$48)*_xlfn.XLOOKUP(F59,LISTAS!$A$15:$A$18,LISTAS!$H$15:$H$18)</f>
        <v>2.4139500000000001E-2</v>
      </c>
      <c r="N59" s="54" cm="1">
        <f t="array" ref="N59">_xlfn.XLOOKUP(K59,LISTAS!$D$27:$D$47,_xlfn.XLOOKUP(J59,LISTAS!$E$26:$H$26,LISTAS!$E$27:$H$47))</f>
        <v>40000000</v>
      </c>
      <c r="O59" s="56" t="s">
        <v>1623</v>
      </c>
      <c r="P59" s="76" t="str">
        <f t="shared" ca="1" si="2"/>
        <v>Vencida</v>
      </c>
    </row>
    <row r="60" spans="1:16" x14ac:dyDescent="0.3">
      <c r="A60" s="58" t="s">
        <v>350</v>
      </c>
      <c r="B60" s="56" t="s">
        <v>180</v>
      </c>
      <c r="C60" s="50" t="str">
        <f>_xlfn.XLOOKUP(B60,CLIENTES!$A$2:$A$301,CLIENTES!$B$2:$B$301)</f>
        <v>Catalina Peralta</v>
      </c>
      <c r="D60" s="60">
        <v>46003</v>
      </c>
      <c r="E60" s="60">
        <f t="shared" si="0"/>
        <v>46368</v>
      </c>
      <c r="F60" s="50" t="s">
        <v>1596</v>
      </c>
      <c r="G60" s="56" t="s">
        <v>1602</v>
      </c>
      <c r="H60" s="47">
        <v>37</v>
      </c>
      <c r="I60" s="60">
        <v>32613</v>
      </c>
      <c r="J60" s="56" t="s">
        <v>1612</v>
      </c>
      <c r="K60" s="56">
        <v>2026</v>
      </c>
      <c r="L60" s="52">
        <f t="shared" si="1"/>
        <v>49980.000000000007</v>
      </c>
      <c r="M60" s="56">
        <f>LISTAS!$B$22*_xlfn.XLOOKUP(G60,LISTAS!$B$27:$B$36,LISTAS!$A$27:$A$36)*_xlfn.XLOOKUP(H60,LISTAS!$B$38:$B$47,LISTAS!$A$38:$A$47,,-1)*_xlfn.XLOOKUP(J60,LISTAS!$E$26:$H$26,LISTAS!$E$48:$H$48)*_xlfn.XLOOKUP(F60,LISTAS!$A$15:$A$18,LISTAS!$H$15:$H$18)</f>
        <v>1.8742500000000002E-2</v>
      </c>
      <c r="N60" s="54" cm="1">
        <f t="array" ref="N60">_xlfn.XLOOKUP(K60,LISTAS!$D$27:$D$47,_xlfn.XLOOKUP(J60,LISTAS!$E$26:$H$26,LISTAS!$E$27:$H$47))</f>
        <v>32000000</v>
      </c>
      <c r="O60" s="56" t="s">
        <v>1623</v>
      </c>
      <c r="P60" s="76" t="str">
        <f t="shared" ca="1" si="2"/>
        <v>Vigente</v>
      </c>
    </row>
    <row r="61" spans="1:16" x14ac:dyDescent="0.3">
      <c r="A61" s="58" t="s">
        <v>351</v>
      </c>
      <c r="B61" s="56" t="s">
        <v>176</v>
      </c>
      <c r="C61" s="50" t="str">
        <f>_xlfn.XLOOKUP(B61,CLIENTES!$A$2:$A$301,CLIENTES!$B$2:$B$301)</f>
        <v>Valentina Pérez</v>
      </c>
      <c r="D61" s="60">
        <v>45334</v>
      </c>
      <c r="E61" s="60">
        <f t="shared" si="0"/>
        <v>45700</v>
      </c>
      <c r="F61" s="50" t="s">
        <v>1597</v>
      </c>
      <c r="G61" s="56" t="s">
        <v>1606</v>
      </c>
      <c r="H61" s="47">
        <v>21</v>
      </c>
      <c r="I61" s="60">
        <v>38386</v>
      </c>
      <c r="J61" s="56" t="s">
        <v>1609</v>
      </c>
      <c r="K61" s="56">
        <v>2017</v>
      </c>
      <c r="L61" s="52">
        <f t="shared" si="1"/>
        <v>26915.625000000004</v>
      </c>
      <c r="M61" s="56">
        <f>LISTAS!$B$22*_xlfn.XLOOKUP(G61,LISTAS!$B$27:$B$36,LISTAS!$A$27:$A$36)*_xlfn.XLOOKUP(H61,LISTAS!$B$38:$B$47,LISTAS!$A$38:$A$47,,-1)*_xlfn.XLOOKUP(J61,LISTAS!$E$26:$H$26,LISTAS!$E$48:$H$48)*_xlfn.XLOOKUP(F61,LISTAS!$A$15:$A$18,LISTAS!$H$15:$H$18)</f>
        <v>2.9700000000000004E-2</v>
      </c>
      <c r="N61" s="54" cm="1">
        <f t="array" ref="N61">_xlfn.XLOOKUP(K61,LISTAS!$D$27:$D$47,_xlfn.XLOOKUP(J61,LISTAS!$E$26:$H$26,LISTAS!$E$27:$H$47))</f>
        <v>10875000</v>
      </c>
      <c r="O61" s="56" t="s">
        <v>1625</v>
      </c>
      <c r="P61" s="76" t="str">
        <f t="shared" ca="1" si="2"/>
        <v>Vencida</v>
      </c>
    </row>
    <row r="62" spans="1:16" x14ac:dyDescent="0.3">
      <c r="A62" s="58" t="s">
        <v>352</v>
      </c>
      <c r="B62" s="56" t="s">
        <v>179</v>
      </c>
      <c r="C62" s="50" t="str">
        <f>_xlfn.XLOOKUP(B62,CLIENTES!$A$2:$A$301,CLIENTES!$B$2:$B$301)</f>
        <v>Pedro Gómez</v>
      </c>
      <c r="D62" s="60">
        <v>45477</v>
      </c>
      <c r="E62" s="60">
        <f t="shared" si="0"/>
        <v>45842</v>
      </c>
      <c r="F62" s="50" t="s">
        <v>1596</v>
      </c>
      <c r="G62" s="56" t="s">
        <v>1607</v>
      </c>
      <c r="H62" s="47">
        <v>37</v>
      </c>
      <c r="I62" s="60">
        <v>32413</v>
      </c>
      <c r="J62" s="56" t="s">
        <v>1610</v>
      </c>
      <c r="K62" s="56">
        <v>2022</v>
      </c>
      <c r="L62" s="52">
        <f t="shared" si="1"/>
        <v>47797.823333333334</v>
      </c>
      <c r="M62" s="56">
        <f>LISTAS!$B$22*_xlfn.XLOOKUP(G62,LISTAS!$B$27:$B$36,LISTAS!$A$27:$A$36)*_xlfn.XLOOKUP(H62,LISTAS!$B$38:$B$47,LISTAS!$A$38:$A$47,,-1)*_xlfn.XLOOKUP(J62,LISTAS!$E$26:$H$26,LISTAS!$E$48:$H$48)*_xlfn.XLOOKUP(F62,LISTAS!$A$15:$A$18,LISTAS!$H$15:$H$18)</f>
        <v>2.0570000000000001E-2</v>
      </c>
      <c r="N62" s="54" cm="1">
        <f t="array" ref="N62">_xlfn.XLOOKUP(K62,LISTAS!$D$27:$D$47,_xlfn.XLOOKUP(J62,LISTAS!$E$26:$H$26,LISTAS!$E$27:$H$47))</f>
        <v>27884000</v>
      </c>
      <c r="O62" s="56" t="s">
        <v>1626</v>
      </c>
      <c r="P62" s="76" t="str">
        <f t="shared" ca="1" si="2"/>
        <v>Vencida</v>
      </c>
    </row>
    <row r="63" spans="1:16" x14ac:dyDescent="0.3">
      <c r="A63" s="58" t="s">
        <v>353</v>
      </c>
      <c r="B63" s="56" t="s">
        <v>69</v>
      </c>
      <c r="C63" s="50" t="str">
        <f>_xlfn.XLOOKUP(B63,CLIENTES!$A$2:$A$301,CLIENTES!$B$2:$B$301)</f>
        <v>Fernando Domínguez</v>
      </c>
      <c r="D63" s="60">
        <v>44544</v>
      </c>
      <c r="E63" s="60">
        <f t="shared" si="0"/>
        <v>44909</v>
      </c>
      <c r="F63" s="50" t="s">
        <v>1595</v>
      </c>
      <c r="G63" s="56" t="s">
        <v>1602</v>
      </c>
      <c r="H63" s="47">
        <v>35</v>
      </c>
      <c r="I63" s="60">
        <v>33419</v>
      </c>
      <c r="J63" s="56" t="s">
        <v>1610</v>
      </c>
      <c r="K63" s="56">
        <v>2021</v>
      </c>
      <c r="L63" s="52">
        <f t="shared" si="1"/>
        <v>29306.97</v>
      </c>
      <c r="M63" s="56">
        <f>LISTAS!$B$22*_xlfn.XLOOKUP(G63,LISTAS!$B$27:$B$36,LISTAS!$A$27:$A$36)*_xlfn.XLOOKUP(H63,LISTAS!$B$38:$B$47,LISTAS!$A$38:$A$47,,-1)*_xlfn.XLOOKUP(J63,LISTAS!$E$26:$H$26,LISTAS!$E$48:$H$48)*_xlfn.XLOOKUP(F63,LISTAS!$A$15:$A$18,LISTAS!$H$15:$H$18)</f>
        <v>1.3860000000000001E-2</v>
      </c>
      <c r="N63" s="54" cm="1">
        <f t="array" ref="N63">_xlfn.XLOOKUP(K63,LISTAS!$D$27:$D$47,_xlfn.XLOOKUP(J63,LISTAS!$E$26:$H$26,LISTAS!$E$27:$H$47))</f>
        <v>25374000</v>
      </c>
      <c r="O63" s="56" t="s">
        <v>1624</v>
      </c>
      <c r="P63" s="76" t="str">
        <f t="shared" ca="1" si="2"/>
        <v>Vencida</v>
      </c>
    </row>
    <row r="64" spans="1:16" x14ac:dyDescent="0.3">
      <c r="A64" s="58" t="s">
        <v>354</v>
      </c>
      <c r="B64" s="56" t="s">
        <v>51</v>
      </c>
      <c r="C64" s="50" t="str">
        <f>_xlfn.XLOOKUP(B64,CLIENTES!$A$2:$A$301,CLIENTES!$B$2:$B$301)</f>
        <v>Ignacio Silva</v>
      </c>
      <c r="D64" s="60">
        <v>46065</v>
      </c>
      <c r="E64" s="60">
        <f t="shared" si="0"/>
        <v>46430</v>
      </c>
      <c r="F64" s="50" t="s">
        <v>1596</v>
      </c>
      <c r="G64" s="56" t="s">
        <v>1599</v>
      </c>
      <c r="H64" s="47">
        <v>49</v>
      </c>
      <c r="I64" s="60">
        <v>28193</v>
      </c>
      <c r="J64" s="56" t="s">
        <v>1610</v>
      </c>
      <c r="K64" s="56">
        <v>2022</v>
      </c>
      <c r="L64" s="52">
        <f t="shared" si="1"/>
        <v>49535.925999999999</v>
      </c>
      <c r="M64" s="56">
        <f>LISTAS!$B$22*_xlfn.XLOOKUP(G64,LISTAS!$B$27:$B$36,LISTAS!$A$27:$A$36)*_xlfn.XLOOKUP(H64,LISTAS!$B$38:$B$47,LISTAS!$A$38:$A$47,,-1)*_xlfn.XLOOKUP(J64,LISTAS!$E$26:$H$26,LISTAS!$E$48:$H$48)*_xlfn.XLOOKUP(F64,LISTAS!$A$15:$A$18,LISTAS!$H$15:$H$18)</f>
        <v>2.1318E-2</v>
      </c>
      <c r="N64" s="54" cm="1">
        <f t="array" ref="N64">_xlfn.XLOOKUP(K64,LISTAS!$D$27:$D$47,_xlfn.XLOOKUP(J64,LISTAS!$E$26:$H$26,LISTAS!$E$27:$H$47))</f>
        <v>27884000</v>
      </c>
      <c r="O64" s="56" t="s">
        <v>1623</v>
      </c>
      <c r="P64" s="76" t="str">
        <f t="shared" ca="1" si="2"/>
        <v>Vigente</v>
      </c>
    </row>
    <row r="65" spans="1:16" x14ac:dyDescent="0.3">
      <c r="A65" s="58" t="s">
        <v>355</v>
      </c>
      <c r="B65" s="56" t="s">
        <v>144</v>
      </c>
      <c r="C65" s="50" t="str">
        <f>_xlfn.XLOOKUP(B65,CLIENTES!$A$2:$A$301,CLIENTES!$B$2:$B$301)</f>
        <v>Tomás González</v>
      </c>
      <c r="D65" s="60">
        <v>45253</v>
      </c>
      <c r="E65" s="60">
        <f t="shared" si="0"/>
        <v>45619</v>
      </c>
      <c r="F65" s="50" t="s">
        <v>1598</v>
      </c>
      <c r="G65" s="56" t="s">
        <v>1607</v>
      </c>
      <c r="H65" s="47">
        <v>34</v>
      </c>
      <c r="I65" s="60">
        <v>33708</v>
      </c>
      <c r="J65" s="56" t="s">
        <v>1609</v>
      </c>
      <c r="K65" s="56">
        <v>2016</v>
      </c>
      <c r="L65" s="52">
        <f t="shared" si="1"/>
        <v>23716.550000000003</v>
      </c>
      <c r="M65" s="56">
        <f>LISTAS!$B$22*_xlfn.XLOOKUP(G65,LISTAS!$B$27:$B$36,LISTAS!$A$27:$A$36)*_xlfn.XLOOKUP(H65,LISTAS!$B$38:$B$47,LISTAS!$A$38:$A$47,,-1)*_xlfn.XLOOKUP(J65,LISTAS!$E$26:$H$26,LISTAS!$E$48:$H$48)*_xlfn.XLOOKUP(F65,LISTAS!$A$15:$A$18,LISTAS!$H$15:$H$18)</f>
        <v>2.8600000000000004E-2</v>
      </c>
      <c r="N65" s="54" cm="1">
        <f t="array" ref="N65">_xlfn.XLOOKUP(K65,LISTAS!$D$27:$D$47,_xlfn.XLOOKUP(J65,LISTAS!$E$26:$H$26,LISTAS!$E$27:$H$47))</f>
        <v>9951000</v>
      </c>
      <c r="O65" s="56" t="s">
        <v>1623</v>
      </c>
      <c r="P65" s="76" t="str">
        <f t="shared" ca="1" si="2"/>
        <v>Vencida</v>
      </c>
    </row>
    <row r="66" spans="1:16" x14ac:dyDescent="0.3">
      <c r="A66" s="58" t="s">
        <v>356</v>
      </c>
      <c r="B66" s="56" t="s">
        <v>168</v>
      </c>
      <c r="C66" s="50" t="str">
        <f>_xlfn.XLOOKUP(B66,CLIENTES!$A$2:$A$301,CLIENTES!$B$2:$B$301)</f>
        <v>Agustina Rodríguez</v>
      </c>
      <c r="D66" s="60">
        <v>46136</v>
      </c>
      <c r="E66" s="60">
        <f t="shared" si="0"/>
        <v>46501</v>
      </c>
      <c r="F66" s="50" t="s">
        <v>1595</v>
      </c>
      <c r="G66" s="56" t="s">
        <v>1605</v>
      </c>
      <c r="H66" s="47">
        <v>79</v>
      </c>
      <c r="I66" s="60">
        <v>17112</v>
      </c>
      <c r="J66" s="56" t="s">
        <v>1611</v>
      </c>
      <c r="K66" s="56">
        <v>2023</v>
      </c>
      <c r="L66" s="52">
        <f t="shared" si="1"/>
        <v>51733.853999999999</v>
      </c>
      <c r="M66" s="56">
        <f>LISTAS!$B$22*_xlfn.XLOOKUP(G66,LISTAS!$B$27:$B$36,LISTAS!$A$27:$A$36)*_xlfn.XLOOKUP(H66,LISTAS!$B$38:$B$47,LISTAS!$A$38:$A$47,,-1)*_xlfn.XLOOKUP(J66,LISTAS!$E$26:$H$26,LISTAS!$E$48:$H$48)*_xlfn.XLOOKUP(F66,LISTAS!$A$15:$A$18,LISTAS!$H$15:$H$18)</f>
        <v>1.8009000000000001E-2</v>
      </c>
      <c r="N66" s="54" cm="1">
        <f t="array" ref="N66">_xlfn.XLOOKUP(K66,LISTAS!$D$27:$D$47,_xlfn.XLOOKUP(J66,LISTAS!$E$26:$H$26,LISTAS!$E$27:$H$47))</f>
        <v>34472000</v>
      </c>
      <c r="O66" s="56" t="s">
        <v>1624</v>
      </c>
      <c r="P66" s="76" t="str">
        <f t="shared" ca="1" si="2"/>
        <v>Vigente</v>
      </c>
    </row>
    <row r="67" spans="1:16" x14ac:dyDescent="0.3">
      <c r="A67" s="58" t="s">
        <v>357</v>
      </c>
      <c r="B67" s="56" t="s">
        <v>87</v>
      </c>
      <c r="C67" s="50" t="str">
        <f>_xlfn.XLOOKUP(B67,CLIENTES!$A$2:$A$301,CLIENTES!$B$2:$B$301)</f>
        <v>Nicolás López</v>
      </c>
      <c r="D67" s="60">
        <v>46241</v>
      </c>
      <c r="E67" s="60">
        <f t="shared" ref="E67:E130" si="3">EDATE(D67,12)</f>
        <v>46606</v>
      </c>
      <c r="F67" s="50" t="s">
        <v>1595</v>
      </c>
      <c r="G67" s="56" t="s">
        <v>1606</v>
      </c>
      <c r="H67" s="47">
        <v>47</v>
      </c>
      <c r="I67" s="60">
        <v>28846</v>
      </c>
      <c r="J67" s="56" t="s">
        <v>1610</v>
      </c>
      <c r="K67" s="56">
        <v>2025</v>
      </c>
      <c r="L67" s="52">
        <f t="shared" ref="L67:L130" si="4">(N67*M67)/12</f>
        <v>38456.000000000007</v>
      </c>
      <c r="M67" s="56">
        <f>LISTAS!$B$22*_xlfn.XLOOKUP(G67,LISTAS!$B$27:$B$36,LISTAS!$A$27:$A$36)*_xlfn.XLOOKUP(H67,LISTAS!$B$38:$B$47,LISTAS!$A$38:$A$47,,-1)*_xlfn.XLOOKUP(J67,LISTAS!$E$26:$H$26,LISTAS!$E$48:$H$48)*_xlfn.XLOOKUP(F67,LISTAS!$A$15:$A$18,LISTAS!$H$15:$H$18)</f>
        <v>1.2540000000000001E-2</v>
      </c>
      <c r="N67" s="54" cm="1">
        <f t="array" ref="N67">_xlfn.XLOOKUP(K67,LISTAS!$D$27:$D$47,_xlfn.XLOOKUP(J67,LISTAS!$E$26:$H$26,LISTAS!$E$27:$H$47))</f>
        <v>36800000</v>
      </c>
      <c r="O67" s="56" t="s">
        <v>1623</v>
      </c>
      <c r="P67" s="76" t="str">
        <f t="shared" ref="P67:P130" ca="1" si="5">IF(TODAY()&lt;D67,"Pendiente",IF(TODAY()&gt;E67,"Vencida","Vigente"))</f>
        <v>Vigente</v>
      </c>
    </row>
    <row r="68" spans="1:16" x14ac:dyDescent="0.3">
      <c r="A68" s="58" t="s">
        <v>358</v>
      </c>
      <c r="B68" s="56" t="s">
        <v>7</v>
      </c>
      <c r="C68" s="50" t="str">
        <f>_xlfn.XLOOKUP(B68,CLIENTES!$A$2:$A$301,CLIENTES!$B$2:$B$301)</f>
        <v>Federico Ramírez</v>
      </c>
      <c r="D68" s="60">
        <v>45265</v>
      </c>
      <c r="E68" s="60">
        <f t="shared" si="3"/>
        <v>45631</v>
      </c>
      <c r="F68" s="50" t="s">
        <v>1595</v>
      </c>
      <c r="G68" s="56" t="s">
        <v>1607</v>
      </c>
      <c r="H68" s="47">
        <v>52</v>
      </c>
      <c r="I68" s="60">
        <v>27182</v>
      </c>
      <c r="J68" s="56" t="s">
        <v>1610</v>
      </c>
      <c r="K68" s="56">
        <v>2020</v>
      </c>
      <c r="L68" s="52">
        <f t="shared" si="4"/>
        <v>27940.110000000004</v>
      </c>
      <c r="M68" s="56">
        <f>LISTAS!$B$22*_xlfn.XLOOKUP(G68,LISTAS!$B$27:$B$36,LISTAS!$A$27:$A$36)*_xlfn.XLOOKUP(H68,LISTAS!$B$38:$B$47,LISTAS!$A$38:$A$47,,-1)*_xlfn.XLOOKUP(J68,LISTAS!$E$26:$H$26,LISTAS!$E$48:$H$48)*_xlfn.XLOOKUP(F68,LISTAS!$A$15:$A$18,LISTAS!$H$15:$H$18)</f>
        <v>1.4520000000000002E-2</v>
      </c>
      <c r="N68" s="54" cm="1">
        <f t="array" ref="N68">_xlfn.XLOOKUP(K68,LISTAS!$D$27:$D$47,_xlfn.XLOOKUP(J68,LISTAS!$E$26:$H$26,LISTAS!$E$27:$H$47))</f>
        <v>23091000</v>
      </c>
      <c r="O68" s="56" t="s">
        <v>1624</v>
      </c>
      <c r="P68" s="76" t="str">
        <f t="shared" ca="1" si="5"/>
        <v>Vencida</v>
      </c>
    </row>
    <row r="69" spans="1:16" x14ac:dyDescent="0.3">
      <c r="A69" s="58" t="s">
        <v>359</v>
      </c>
      <c r="B69" s="56" t="s">
        <v>262</v>
      </c>
      <c r="C69" s="50" t="str">
        <f>_xlfn.XLOOKUP(B69,CLIENTES!$A$2:$A$301,CLIENTES!$B$2:$B$301)</f>
        <v>Andrés Gutiérrez</v>
      </c>
      <c r="D69" s="60">
        <v>45633</v>
      </c>
      <c r="E69" s="60">
        <f t="shared" si="3"/>
        <v>45998</v>
      </c>
      <c r="F69" s="50" t="s">
        <v>1597</v>
      </c>
      <c r="G69" s="56" t="s">
        <v>1608</v>
      </c>
      <c r="H69" s="47">
        <v>25</v>
      </c>
      <c r="I69" s="60">
        <v>37055</v>
      </c>
      <c r="J69" s="56" t="s">
        <v>1609</v>
      </c>
      <c r="K69" s="56">
        <v>2010</v>
      </c>
      <c r="L69" s="52">
        <f t="shared" si="4"/>
        <v>13026.97</v>
      </c>
      <c r="M69" s="56">
        <f>LISTAS!$B$22*_xlfn.XLOOKUP(G69,LISTAS!$B$27:$B$36,LISTAS!$A$27:$A$36)*_xlfn.XLOOKUP(H69,LISTAS!$B$38:$B$47,LISTAS!$A$38:$A$47,,-1)*_xlfn.XLOOKUP(J69,LISTAS!$E$26:$H$26,LISTAS!$E$48:$H$48)*_xlfn.XLOOKUP(F69,LISTAS!$A$15:$A$18,LISTAS!$H$15:$H$18)</f>
        <v>2.5079999999999998E-2</v>
      </c>
      <c r="N69" s="54" cm="1">
        <f t="array" ref="N69">_xlfn.XLOOKUP(K69,LISTAS!$D$27:$D$47,_xlfn.XLOOKUP(J69,LISTAS!$E$26:$H$26,LISTAS!$E$27:$H$47))</f>
        <v>6233000</v>
      </c>
      <c r="O69" s="56" t="s">
        <v>1623</v>
      </c>
      <c r="P69" s="76" t="str">
        <f t="shared" ca="1" si="5"/>
        <v>Vencida</v>
      </c>
    </row>
    <row r="70" spans="1:16" x14ac:dyDescent="0.3">
      <c r="A70" s="58" t="s">
        <v>360</v>
      </c>
      <c r="B70" s="56" t="s">
        <v>92</v>
      </c>
      <c r="C70" s="50" t="str">
        <f>_xlfn.XLOOKUP(B70,CLIENTES!$A$2:$A$301,CLIENTES!$B$2:$B$301)</f>
        <v>Rodrigo Méndez</v>
      </c>
      <c r="D70" s="60">
        <v>45937</v>
      </c>
      <c r="E70" s="60">
        <f t="shared" si="3"/>
        <v>46302</v>
      </c>
      <c r="F70" s="50" t="s">
        <v>1595</v>
      </c>
      <c r="G70" s="56" t="s">
        <v>1605</v>
      </c>
      <c r="H70" s="47">
        <v>80</v>
      </c>
      <c r="I70" s="60">
        <v>16696</v>
      </c>
      <c r="J70" s="56" t="s">
        <v>1611</v>
      </c>
      <c r="K70" s="56">
        <v>2016</v>
      </c>
      <c r="L70" s="52">
        <f t="shared" si="4"/>
        <v>26881.433999999997</v>
      </c>
      <c r="M70" s="56">
        <f>LISTAS!$B$22*_xlfn.XLOOKUP(G70,LISTAS!$B$27:$B$36,LISTAS!$A$27:$A$36)*_xlfn.XLOOKUP(H70,LISTAS!$B$38:$B$47,LISTAS!$A$38:$A$47,,-1)*_xlfn.XLOOKUP(J70,LISTAS!$E$26:$H$26,LISTAS!$E$48:$H$48)*_xlfn.XLOOKUP(F70,LISTAS!$A$15:$A$18,LISTAS!$H$15:$H$18)</f>
        <v>1.8009000000000001E-2</v>
      </c>
      <c r="N70" s="54" cm="1">
        <f t="array" ref="N70">_xlfn.XLOOKUP(K70,LISTAS!$D$27:$D$47,_xlfn.XLOOKUP(J70,LISTAS!$E$26:$H$26,LISTAS!$E$27:$H$47))</f>
        <v>17912000</v>
      </c>
      <c r="O70" s="56" t="s">
        <v>1623</v>
      </c>
      <c r="P70" s="76" t="str">
        <f t="shared" ca="1" si="5"/>
        <v>Vigente</v>
      </c>
    </row>
    <row r="71" spans="1:16" x14ac:dyDescent="0.3">
      <c r="A71" s="58" t="s">
        <v>361</v>
      </c>
      <c r="B71" s="56" t="s">
        <v>101</v>
      </c>
      <c r="C71" s="50" t="str">
        <f>_xlfn.XLOOKUP(B71,CLIENTES!$A$2:$A$301,CLIENTES!$B$2:$B$301)</f>
        <v>Sofía Vera</v>
      </c>
      <c r="D71" s="60">
        <v>45934</v>
      </c>
      <c r="E71" s="60">
        <f t="shared" si="3"/>
        <v>46299</v>
      </c>
      <c r="F71" s="50" t="s">
        <v>1597</v>
      </c>
      <c r="G71" s="56" t="s">
        <v>1603</v>
      </c>
      <c r="H71" s="47">
        <v>26</v>
      </c>
      <c r="I71" s="60">
        <v>36754</v>
      </c>
      <c r="J71" s="56" t="s">
        <v>1609</v>
      </c>
      <c r="K71" s="56">
        <v>2023</v>
      </c>
      <c r="L71" s="52">
        <f t="shared" si="4"/>
        <v>40025.589999999997</v>
      </c>
      <c r="M71" s="56">
        <f>LISTAS!$B$22*_xlfn.XLOOKUP(G71,LISTAS!$B$27:$B$36,LISTAS!$A$27:$A$36)*_xlfn.XLOOKUP(H71,LISTAS!$B$38:$B$47,LISTAS!$A$38:$A$47,,-1)*_xlfn.XLOOKUP(J71,LISTAS!$E$26:$H$26,LISTAS!$E$48:$H$48)*_xlfn.XLOOKUP(F71,LISTAS!$A$15:$A$18,LISTAS!$H$15:$H$18)</f>
        <v>2.5079999999999998E-2</v>
      </c>
      <c r="N71" s="54" cm="1">
        <f t="array" ref="N71">_xlfn.XLOOKUP(K71,LISTAS!$D$27:$D$47,_xlfn.XLOOKUP(J71,LISTAS!$E$26:$H$26,LISTAS!$E$27:$H$47))</f>
        <v>19151000</v>
      </c>
      <c r="O71" s="56" t="s">
        <v>1625</v>
      </c>
      <c r="P71" s="76" t="str">
        <f t="shared" ca="1" si="5"/>
        <v>Vigente</v>
      </c>
    </row>
    <row r="72" spans="1:16" x14ac:dyDescent="0.3">
      <c r="A72" s="58" t="s">
        <v>362</v>
      </c>
      <c r="B72" s="56" t="s">
        <v>82</v>
      </c>
      <c r="C72" s="50" t="str">
        <f>_xlfn.XLOOKUP(B72,CLIENTES!$A$2:$A$301,CLIENTES!$B$2:$B$301)</f>
        <v>Lucas Martínez</v>
      </c>
      <c r="D72" s="60">
        <v>45013</v>
      </c>
      <c r="E72" s="60">
        <f t="shared" si="3"/>
        <v>45379</v>
      </c>
      <c r="F72" s="50" t="s">
        <v>1597</v>
      </c>
      <c r="G72" s="56" t="s">
        <v>1601</v>
      </c>
      <c r="H72" s="47">
        <v>46</v>
      </c>
      <c r="I72" s="60">
        <v>29180</v>
      </c>
      <c r="J72" s="56" t="s">
        <v>1612</v>
      </c>
      <c r="K72" s="56">
        <v>2017</v>
      </c>
      <c r="L72" s="52">
        <f t="shared" si="4"/>
        <v>29274.63</v>
      </c>
      <c r="M72" s="56">
        <f>LISTAS!$B$22*_xlfn.XLOOKUP(G72,LISTAS!$B$27:$B$36,LISTAS!$A$27:$A$36)*_xlfn.XLOOKUP(H72,LISTAS!$B$38:$B$47,LISTAS!$A$38:$A$47,,-1)*_xlfn.XLOOKUP(J72,LISTAS!$E$26:$H$26,LISTAS!$E$48:$H$48)*_xlfn.XLOOKUP(F72,LISTAS!$A$15:$A$18,LISTAS!$H$15:$H$18)</f>
        <v>2.5236749999999999E-2</v>
      </c>
      <c r="N72" s="54" cm="1">
        <f t="array" ref="N72">_xlfn.XLOOKUP(K72,LISTAS!$D$27:$D$47,_xlfn.XLOOKUP(J72,LISTAS!$E$26:$H$26,LISTAS!$E$27:$H$47))</f>
        <v>13920000</v>
      </c>
      <c r="O72" s="56" t="s">
        <v>1623</v>
      </c>
      <c r="P72" s="76" t="str">
        <f t="shared" ca="1" si="5"/>
        <v>Vencida</v>
      </c>
    </row>
    <row r="73" spans="1:16" x14ac:dyDescent="0.3">
      <c r="A73" s="58" t="s">
        <v>363</v>
      </c>
      <c r="B73" s="56" t="s">
        <v>220</v>
      </c>
      <c r="C73" s="50" t="str">
        <f>_xlfn.XLOOKUP(B73,CLIENTES!$A$2:$A$301,CLIENTES!$B$2:$B$301)</f>
        <v>Paula Castro</v>
      </c>
      <c r="D73" s="60">
        <v>44871</v>
      </c>
      <c r="E73" s="60">
        <f t="shared" si="3"/>
        <v>45236</v>
      </c>
      <c r="F73" s="50" t="s">
        <v>1596</v>
      </c>
      <c r="G73" s="56" t="s">
        <v>1599</v>
      </c>
      <c r="H73" s="47">
        <v>77</v>
      </c>
      <c r="I73" s="60">
        <v>18051</v>
      </c>
      <c r="J73" s="56" t="s">
        <v>1609</v>
      </c>
      <c r="K73" s="56">
        <v>2021</v>
      </c>
      <c r="L73" s="52">
        <f t="shared" si="4"/>
        <v>39092.434999999998</v>
      </c>
      <c r="M73" s="56">
        <f>LISTAS!$B$22*_xlfn.XLOOKUP(G73,LISTAS!$B$27:$B$36,LISTAS!$A$27:$A$36)*_xlfn.XLOOKUP(H73,LISTAS!$B$38:$B$47,LISTAS!$A$38:$A$47,,-1)*_xlfn.XLOOKUP(J73,LISTAS!$E$26:$H$26,LISTAS!$E$48:$H$48)*_xlfn.XLOOKUP(F73,LISTAS!$A$15:$A$18,LISTAS!$H$15:$H$18)</f>
        <v>2.9579999999999999E-2</v>
      </c>
      <c r="N73" s="54" cm="1">
        <f t="array" ref="N73">_xlfn.XLOOKUP(K73,LISTAS!$D$27:$D$47,_xlfn.XLOOKUP(J73,LISTAS!$E$26:$H$26,LISTAS!$E$27:$H$47))</f>
        <v>15859000</v>
      </c>
      <c r="O73" s="56" t="s">
        <v>1623</v>
      </c>
      <c r="P73" s="76" t="str">
        <f t="shared" ca="1" si="5"/>
        <v>Vencida</v>
      </c>
    </row>
    <row r="74" spans="1:16" x14ac:dyDescent="0.3">
      <c r="A74" s="58" t="s">
        <v>364</v>
      </c>
      <c r="B74" s="56" t="s">
        <v>24</v>
      </c>
      <c r="C74" s="50" t="str">
        <f>_xlfn.XLOOKUP(B74,CLIENTES!$A$2:$A$301,CLIENTES!$B$2:$B$301)</f>
        <v>Pablo Álvarez</v>
      </c>
      <c r="D74" s="60">
        <v>44741</v>
      </c>
      <c r="E74" s="60">
        <f t="shared" si="3"/>
        <v>45106</v>
      </c>
      <c r="F74" s="50" t="s">
        <v>1597</v>
      </c>
      <c r="G74" s="56" t="s">
        <v>1602</v>
      </c>
      <c r="H74" s="47">
        <v>50</v>
      </c>
      <c r="I74" s="60">
        <v>27676</v>
      </c>
      <c r="J74" s="56" t="s">
        <v>1612</v>
      </c>
      <c r="K74" s="56">
        <v>2025</v>
      </c>
      <c r="L74" s="52">
        <f t="shared" si="4"/>
        <v>59505.600000000013</v>
      </c>
      <c r="M74" s="56">
        <f>LISTAS!$B$22*_xlfn.XLOOKUP(G74,LISTAS!$B$27:$B$36,LISTAS!$A$27:$A$36)*_xlfn.XLOOKUP(H74,LISTAS!$B$38:$B$47,LISTAS!$A$38:$A$47,,-1)*_xlfn.XLOOKUP(J74,LISTAS!$E$26:$H$26,LISTAS!$E$48:$H$48)*_xlfn.XLOOKUP(F74,LISTAS!$A$15:$A$18,LISTAS!$H$15:$H$18)</f>
        <v>2.4255000000000006E-2</v>
      </c>
      <c r="N74" s="54" cm="1">
        <f t="array" ref="N74">_xlfn.XLOOKUP(K74,LISTAS!$D$27:$D$47,_xlfn.XLOOKUP(J74,LISTAS!$E$26:$H$26,LISTAS!$E$27:$H$47))</f>
        <v>29440000</v>
      </c>
      <c r="O74" s="56" t="s">
        <v>1624</v>
      </c>
      <c r="P74" s="76" t="str">
        <f t="shared" ca="1" si="5"/>
        <v>Vencida</v>
      </c>
    </row>
    <row r="75" spans="1:16" x14ac:dyDescent="0.3">
      <c r="A75" s="58" t="s">
        <v>365</v>
      </c>
      <c r="B75" s="56" t="s">
        <v>60</v>
      </c>
      <c r="C75" s="50" t="str">
        <f>_xlfn.XLOOKUP(B75,CLIENTES!$A$2:$A$301,CLIENTES!$B$2:$B$301)</f>
        <v>Nicolás Díaz</v>
      </c>
      <c r="D75" s="60">
        <v>44730</v>
      </c>
      <c r="E75" s="60">
        <f t="shared" si="3"/>
        <v>45095</v>
      </c>
      <c r="F75" s="50" t="s">
        <v>1596</v>
      </c>
      <c r="G75" s="56" t="s">
        <v>1606</v>
      </c>
      <c r="H75" s="47">
        <v>65</v>
      </c>
      <c r="I75" s="60">
        <v>22255</v>
      </c>
      <c r="J75" s="56" t="s">
        <v>1610</v>
      </c>
      <c r="K75" s="56">
        <v>2020</v>
      </c>
      <c r="L75" s="52">
        <f t="shared" si="4"/>
        <v>41380.996250000004</v>
      </c>
      <c r="M75" s="56">
        <f>LISTAS!$B$22*_xlfn.XLOOKUP(G75,LISTAS!$B$27:$B$36,LISTAS!$A$27:$A$36)*_xlfn.XLOOKUP(H75,LISTAS!$B$38:$B$47,LISTAS!$A$38:$A$47,,-1)*_xlfn.XLOOKUP(J75,LISTAS!$E$26:$H$26,LISTAS!$E$48:$H$48)*_xlfn.XLOOKUP(F75,LISTAS!$A$15:$A$18,LISTAS!$H$15:$H$18)</f>
        <v>2.1505000000000003E-2</v>
      </c>
      <c r="N75" s="54" cm="1">
        <f t="array" ref="N75">_xlfn.XLOOKUP(K75,LISTAS!$D$27:$D$47,_xlfn.XLOOKUP(J75,LISTAS!$E$26:$H$26,LISTAS!$E$27:$H$47))</f>
        <v>23091000</v>
      </c>
      <c r="O75" s="56" t="s">
        <v>1626</v>
      </c>
      <c r="P75" s="76" t="str">
        <f t="shared" ca="1" si="5"/>
        <v>Vencida</v>
      </c>
    </row>
    <row r="76" spans="1:16" x14ac:dyDescent="0.3">
      <c r="A76" s="58" t="s">
        <v>366</v>
      </c>
      <c r="B76" s="56" t="s">
        <v>239</v>
      </c>
      <c r="C76" s="50" t="str">
        <f>_xlfn.XLOOKUP(B76,CLIENTES!$A$2:$A$301,CLIENTES!$B$2:$B$301)</f>
        <v>Matías Flores</v>
      </c>
      <c r="D76" s="60">
        <v>45301</v>
      </c>
      <c r="E76" s="60">
        <f t="shared" si="3"/>
        <v>45667</v>
      </c>
      <c r="F76" s="50" t="s">
        <v>1598</v>
      </c>
      <c r="G76" s="56" t="s">
        <v>1606</v>
      </c>
      <c r="H76" s="47">
        <v>69</v>
      </c>
      <c r="I76" s="60">
        <v>20835</v>
      </c>
      <c r="J76" s="56" t="s">
        <v>1611</v>
      </c>
      <c r="K76" s="56">
        <v>2024</v>
      </c>
      <c r="L76" s="52">
        <f t="shared" si="4"/>
        <v>108544.84875</v>
      </c>
      <c r="M76" s="56">
        <f>LISTAS!$B$22*_xlfn.XLOOKUP(G76,LISTAS!$B$27:$B$36,LISTAS!$A$27:$A$36)*_xlfn.XLOOKUP(H76,LISTAS!$B$38:$B$47,LISTAS!$A$38:$A$47,,-1)*_xlfn.XLOOKUP(J76,LISTAS!$E$26:$H$26,LISTAS!$E$48:$H$48)*_xlfn.XLOOKUP(F76,LISTAS!$A$15:$A$18,LISTAS!$H$15:$H$18)</f>
        <v>3.4384999999999999E-2</v>
      </c>
      <c r="N76" s="54" cm="1">
        <f t="array" ref="N76">_xlfn.XLOOKUP(K76,LISTAS!$D$27:$D$47,_xlfn.XLOOKUP(J76,LISTAS!$E$26:$H$26,LISTAS!$E$27:$H$47))</f>
        <v>37881000</v>
      </c>
      <c r="O76" s="56" t="s">
        <v>1623</v>
      </c>
      <c r="P76" s="76" t="str">
        <f t="shared" ca="1" si="5"/>
        <v>Vencida</v>
      </c>
    </row>
    <row r="77" spans="1:16" x14ac:dyDescent="0.3">
      <c r="A77" s="58" t="s">
        <v>367</v>
      </c>
      <c r="B77" s="56" t="s">
        <v>44</v>
      </c>
      <c r="C77" s="50" t="str">
        <f>_xlfn.XLOOKUP(B77,CLIENTES!$A$2:$A$301,CLIENTES!$B$2:$B$301)</f>
        <v>Mateo López</v>
      </c>
      <c r="D77" s="60">
        <v>45066</v>
      </c>
      <c r="E77" s="60">
        <f t="shared" si="3"/>
        <v>45432</v>
      </c>
      <c r="F77" s="50" t="s">
        <v>1597</v>
      </c>
      <c r="G77" s="56" t="s">
        <v>1607</v>
      </c>
      <c r="H77" s="47">
        <v>68</v>
      </c>
      <c r="I77" s="60">
        <v>21256</v>
      </c>
      <c r="J77" s="56" t="s">
        <v>1609</v>
      </c>
      <c r="K77" s="56">
        <v>2007</v>
      </c>
      <c r="L77" s="52">
        <f t="shared" si="4"/>
        <v>11878.771666666667</v>
      </c>
      <c r="M77" s="56">
        <f>LISTAS!$B$22*_xlfn.XLOOKUP(G77,LISTAS!$B$27:$B$36,LISTAS!$A$27:$A$36)*_xlfn.XLOOKUP(H77,LISTAS!$B$38:$B$47,LISTAS!$A$38:$A$47,,-1)*_xlfn.XLOOKUP(J77,LISTAS!$E$26:$H$26,LISTAS!$E$48:$H$48)*_xlfn.XLOOKUP(F77,LISTAS!$A$15:$A$18,LISTAS!$H$15:$H$18)</f>
        <v>2.7830000000000001E-2</v>
      </c>
      <c r="N77" s="54" cm="1">
        <f t="array" ref="N77">_xlfn.XLOOKUP(K77,LISTAS!$D$27:$D$47,_xlfn.XLOOKUP(J77,LISTAS!$E$26:$H$26,LISTAS!$E$27:$H$47))</f>
        <v>5122000</v>
      </c>
      <c r="O77" s="56" t="s">
        <v>1626</v>
      </c>
      <c r="P77" s="76" t="str">
        <f t="shared" ca="1" si="5"/>
        <v>Vencida</v>
      </c>
    </row>
    <row r="78" spans="1:16" x14ac:dyDescent="0.3">
      <c r="A78" s="58" t="s">
        <v>368</v>
      </c>
      <c r="B78" s="56" t="s">
        <v>83</v>
      </c>
      <c r="C78" s="50" t="str">
        <f>_xlfn.XLOOKUP(B78,CLIENTES!$A$2:$A$301,CLIENTES!$B$2:$B$301)</f>
        <v>Valentina Cabrera</v>
      </c>
      <c r="D78" s="60">
        <v>44836</v>
      </c>
      <c r="E78" s="60">
        <f t="shared" si="3"/>
        <v>45201</v>
      </c>
      <c r="F78" s="50" t="s">
        <v>1598</v>
      </c>
      <c r="G78" s="56" t="s">
        <v>1600</v>
      </c>
      <c r="H78" s="47">
        <v>66</v>
      </c>
      <c r="I78" s="60">
        <v>21930</v>
      </c>
      <c r="J78" s="56" t="s">
        <v>1609</v>
      </c>
      <c r="K78" s="56">
        <v>2023</v>
      </c>
      <c r="L78" s="52">
        <f t="shared" si="4"/>
        <v>54875.594583333332</v>
      </c>
      <c r="M78" s="56">
        <f>LISTAS!$B$22*_xlfn.XLOOKUP(G78,LISTAS!$B$27:$B$36,LISTAS!$A$27:$A$36)*_xlfn.XLOOKUP(H78,LISTAS!$B$38:$B$47,LISTAS!$A$38:$A$47,,-1)*_xlfn.XLOOKUP(J78,LISTAS!$E$26:$H$26,LISTAS!$E$48:$H$48)*_xlfn.XLOOKUP(F78,LISTAS!$A$15:$A$18,LISTAS!$H$15:$H$18)</f>
        <v>3.4384999999999999E-2</v>
      </c>
      <c r="N78" s="54" cm="1">
        <f t="array" ref="N78">_xlfn.XLOOKUP(K78,LISTAS!$D$27:$D$47,_xlfn.XLOOKUP(J78,LISTAS!$E$26:$H$26,LISTAS!$E$27:$H$47))</f>
        <v>19151000</v>
      </c>
      <c r="O78" s="56" t="s">
        <v>1625</v>
      </c>
      <c r="P78" s="76" t="str">
        <f t="shared" ca="1" si="5"/>
        <v>Vencida</v>
      </c>
    </row>
    <row r="79" spans="1:16" x14ac:dyDescent="0.3">
      <c r="A79" s="58" t="s">
        <v>369</v>
      </c>
      <c r="B79" s="56" t="s">
        <v>41</v>
      </c>
      <c r="C79" s="50" t="str">
        <f>_xlfn.XLOOKUP(B79,CLIENTES!$A$2:$A$301,CLIENTES!$B$2:$B$301)</f>
        <v>Ignacio Ortiz</v>
      </c>
      <c r="D79" s="60">
        <v>44662</v>
      </c>
      <c r="E79" s="60">
        <f t="shared" si="3"/>
        <v>45027</v>
      </c>
      <c r="F79" s="50" t="s">
        <v>1598</v>
      </c>
      <c r="G79" s="56" t="s">
        <v>1599</v>
      </c>
      <c r="H79" s="47">
        <v>39</v>
      </c>
      <c r="I79" s="60">
        <v>31710</v>
      </c>
      <c r="J79" s="56" t="s">
        <v>1611</v>
      </c>
      <c r="K79" s="56">
        <v>2014</v>
      </c>
      <c r="L79" s="52">
        <f t="shared" si="4"/>
        <v>45328.4</v>
      </c>
      <c r="M79" s="56">
        <f>LISTAS!$B$22*_xlfn.XLOOKUP(G79,LISTAS!$B$27:$B$36,LISTAS!$A$27:$A$36)*_xlfn.XLOOKUP(H79,LISTAS!$B$38:$B$47,LISTAS!$A$38:$A$47,,-1)*_xlfn.XLOOKUP(J79,LISTAS!$E$26:$H$26,LISTAS!$E$48:$H$48)*_xlfn.XLOOKUP(F79,LISTAS!$A$15:$A$18,LISTAS!$H$15:$H$18)</f>
        <v>3.5880000000000002E-2</v>
      </c>
      <c r="N79" s="54" cm="1">
        <f t="array" ref="N79">_xlfn.XLOOKUP(K79,LISTAS!$D$27:$D$47,_xlfn.XLOOKUP(J79,LISTAS!$E$26:$H$26,LISTAS!$E$27:$H$47))</f>
        <v>15160000</v>
      </c>
      <c r="O79" s="56" t="s">
        <v>1624</v>
      </c>
      <c r="P79" s="76" t="str">
        <f t="shared" ca="1" si="5"/>
        <v>Vencida</v>
      </c>
    </row>
    <row r="80" spans="1:16" x14ac:dyDescent="0.3">
      <c r="A80" s="58" t="s">
        <v>370</v>
      </c>
      <c r="B80" s="56" t="s">
        <v>78</v>
      </c>
      <c r="C80" s="50" t="str">
        <f>_xlfn.XLOOKUP(B80,CLIENTES!$A$2:$A$301,CLIENTES!$B$2:$B$301)</f>
        <v>Sofía Luna</v>
      </c>
      <c r="D80" s="60">
        <v>44583</v>
      </c>
      <c r="E80" s="60">
        <f t="shared" si="3"/>
        <v>44948</v>
      </c>
      <c r="F80" s="50" t="s">
        <v>1598</v>
      </c>
      <c r="G80" s="56" t="s">
        <v>1604</v>
      </c>
      <c r="H80" s="47">
        <v>32</v>
      </c>
      <c r="I80" s="60">
        <v>34353</v>
      </c>
      <c r="J80" s="56" t="s">
        <v>1611</v>
      </c>
      <c r="K80" s="56">
        <v>2020</v>
      </c>
      <c r="L80" s="52">
        <f t="shared" si="4"/>
        <v>67962.326250000013</v>
      </c>
      <c r="M80" s="56">
        <f>LISTAS!$B$22*_xlfn.XLOOKUP(G80,LISTAS!$B$27:$B$36,LISTAS!$A$27:$A$36)*_xlfn.XLOOKUP(H80,LISTAS!$B$38:$B$47,LISTAS!$A$38:$A$47,,-1)*_xlfn.XLOOKUP(J80,LISTAS!$E$26:$H$26,LISTAS!$E$48:$H$48)*_xlfn.XLOOKUP(F80,LISTAS!$A$15:$A$18,LISTAS!$H$15:$H$18)</f>
        <v>3.1395000000000006E-2</v>
      </c>
      <c r="N80" s="54" cm="1">
        <f t="array" ref="N80">_xlfn.XLOOKUP(K80,LISTAS!$D$27:$D$47,_xlfn.XLOOKUP(J80,LISTAS!$E$26:$H$26,LISTAS!$E$27:$H$47))</f>
        <v>25977000</v>
      </c>
      <c r="O80" s="56" t="s">
        <v>1626</v>
      </c>
      <c r="P80" s="76" t="str">
        <f t="shared" ca="1" si="5"/>
        <v>Vencida</v>
      </c>
    </row>
    <row r="81" spans="1:16" x14ac:dyDescent="0.3">
      <c r="A81" s="58" t="s">
        <v>371</v>
      </c>
      <c r="B81" s="56" t="s">
        <v>247</v>
      </c>
      <c r="C81" s="50" t="str">
        <f>_xlfn.XLOOKUP(B81,CLIENTES!$A$2:$A$301,CLIENTES!$B$2:$B$301)</f>
        <v>Rodrigo Navarro</v>
      </c>
      <c r="D81" s="60">
        <v>45294</v>
      </c>
      <c r="E81" s="60">
        <f t="shared" si="3"/>
        <v>45660</v>
      </c>
      <c r="F81" s="50" t="s">
        <v>1595</v>
      </c>
      <c r="G81" s="56" t="s">
        <v>1606</v>
      </c>
      <c r="H81" s="47">
        <v>39</v>
      </c>
      <c r="I81" s="60">
        <v>31953</v>
      </c>
      <c r="J81" s="56" t="s">
        <v>1610</v>
      </c>
      <c r="K81" s="56">
        <v>2016</v>
      </c>
      <c r="L81" s="52">
        <f t="shared" si="4"/>
        <v>17513.100000000002</v>
      </c>
      <c r="M81" s="56">
        <f>LISTAS!$B$22*_xlfn.XLOOKUP(G81,LISTAS!$B$27:$B$36,LISTAS!$A$27:$A$36)*_xlfn.XLOOKUP(H81,LISTAS!$B$38:$B$47,LISTAS!$A$38:$A$47,,-1)*_xlfn.XLOOKUP(J81,LISTAS!$E$26:$H$26,LISTAS!$E$48:$H$48)*_xlfn.XLOOKUP(F81,LISTAS!$A$15:$A$18,LISTAS!$H$15:$H$18)</f>
        <v>1.3200000000000002E-2</v>
      </c>
      <c r="N81" s="54" cm="1">
        <f t="array" ref="N81">_xlfn.XLOOKUP(K81,LISTAS!$D$27:$D$47,_xlfn.XLOOKUP(J81,LISTAS!$E$26:$H$26,LISTAS!$E$27:$H$47))</f>
        <v>15921000</v>
      </c>
      <c r="O81" s="56" t="s">
        <v>1625</v>
      </c>
      <c r="P81" s="76" t="str">
        <f t="shared" ca="1" si="5"/>
        <v>Vencida</v>
      </c>
    </row>
    <row r="82" spans="1:16" x14ac:dyDescent="0.3">
      <c r="A82" s="58" t="s">
        <v>372</v>
      </c>
      <c r="B82" s="56" t="s">
        <v>99</v>
      </c>
      <c r="C82" s="50" t="str">
        <f>_xlfn.XLOOKUP(B82,CLIENTES!$A$2:$A$301,CLIENTES!$B$2:$B$301)</f>
        <v>Diego Domínguez</v>
      </c>
      <c r="D82" s="60">
        <v>46141</v>
      </c>
      <c r="E82" s="60">
        <f t="shared" si="3"/>
        <v>46506</v>
      </c>
      <c r="F82" s="50" t="s">
        <v>1596</v>
      </c>
      <c r="G82" s="56" t="s">
        <v>1606</v>
      </c>
      <c r="H82" s="47">
        <v>55</v>
      </c>
      <c r="I82" s="60">
        <v>26025</v>
      </c>
      <c r="J82" s="56" t="s">
        <v>1612</v>
      </c>
      <c r="K82" s="56">
        <v>2010</v>
      </c>
      <c r="L82" s="52">
        <f t="shared" si="4"/>
        <v>11867.275000000001</v>
      </c>
      <c r="M82" s="56">
        <f>LISTAS!$B$22*_xlfn.XLOOKUP(G82,LISTAS!$B$27:$B$36,LISTAS!$A$27:$A$36)*_xlfn.XLOOKUP(H82,LISTAS!$B$38:$B$47,LISTAS!$A$38:$A$47,,-1)*_xlfn.XLOOKUP(J82,LISTAS!$E$26:$H$26,LISTAS!$E$48:$H$48)*_xlfn.XLOOKUP(F82,LISTAS!$A$15:$A$18,LISTAS!$H$15:$H$18)</f>
        <v>1.7850000000000001E-2</v>
      </c>
      <c r="N82" s="54" cm="1">
        <f t="array" ref="N82">_xlfn.XLOOKUP(K82,LISTAS!$D$27:$D$47,_xlfn.XLOOKUP(J82,LISTAS!$E$26:$H$26,LISTAS!$E$27:$H$47))</f>
        <v>7978000</v>
      </c>
      <c r="O82" s="56" t="s">
        <v>1623</v>
      </c>
      <c r="P82" s="76" t="str">
        <f t="shared" ca="1" si="5"/>
        <v>Vigente</v>
      </c>
    </row>
    <row r="83" spans="1:16" x14ac:dyDescent="0.3">
      <c r="A83" s="58" t="s">
        <v>373</v>
      </c>
      <c r="B83" s="56" t="s">
        <v>278</v>
      </c>
      <c r="C83" s="50" t="str">
        <f>_xlfn.XLOOKUP(B83,CLIENTES!$A$2:$A$301,CLIENTES!$B$2:$B$301)</f>
        <v>Sebastián Benítez</v>
      </c>
      <c r="D83" s="60">
        <v>46230</v>
      </c>
      <c r="E83" s="60">
        <f t="shared" si="3"/>
        <v>46595</v>
      </c>
      <c r="F83" s="50" t="s">
        <v>1596</v>
      </c>
      <c r="G83" s="56" t="s">
        <v>1603</v>
      </c>
      <c r="H83" s="47">
        <v>68</v>
      </c>
      <c r="I83" s="60">
        <v>21289</v>
      </c>
      <c r="J83" s="56" t="s">
        <v>1609</v>
      </c>
      <c r="K83" s="56">
        <v>2018</v>
      </c>
      <c r="L83" s="52">
        <f t="shared" si="4"/>
        <v>18496.662291666664</v>
      </c>
      <c r="M83" s="56">
        <f>LISTAS!$B$22*_xlfn.XLOOKUP(G83,LISTAS!$B$27:$B$36,LISTAS!$A$27:$A$36)*_xlfn.XLOOKUP(H83,LISTAS!$B$38:$B$47,LISTAS!$A$38:$A$47,,-1)*_xlfn.XLOOKUP(J83,LISTAS!$E$26:$H$26,LISTAS!$E$48:$H$48)*_xlfn.XLOOKUP(F83,LISTAS!$A$15:$A$18,LISTAS!$H$15:$H$18)</f>
        <v>1.8572499999999999E-2</v>
      </c>
      <c r="N83" s="54" cm="1">
        <f t="array" ref="N83">_xlfn.XLOOKUP(K83,LISTAS!$D$27:$D$47,_xlfn.XLOOKUP(J83,LISTAS!$E$26:$H$26,LISTAS!$E$27:$H$47))</f>
        <v>11951000</v>
      </c>
      <c r="O83" s="56" t="s">
        <v>1625</v>
      </c>
      <c r="P83" s="76" t="str">
        <f t="shared" ca="1" si="5"/>
        <v>Vigente</v>
      </c>
    </row>
    <row r="84" spans="1:16" x14ac:dyDescent="0.3">
      <c r="A84" s="58" t="s">
        <v>374</v>
      </c>
      <c r="B84" s="56" t="s">
        <v>226</v>
      </c>
      <c r="C84" s="50" t="str">
        <f>_xlfn.XLOOKUP(B84,CLIENTES!$A$2:$A$301,CLIENTES!$B$2:$B$301)</f>
        <v>Andrés Aguirre</v>
      </c>
      <c r="D84" s="60">
        <v>44457</v>
      </c>
      <c r="E84" s="60">
        <f t="shared" si="3"/>
        <v>44822</v>
      </c>
      <c r="F84" s="50" t="s">
        <v>1595</v>
      </c>
      <c r="G84" s="56" t="s">
        <v>1605</v>
      </c>
      <c r="H84" s="47">
        <v>60</v>
      </c>
      <c r="I84" s="60">
        <v>24183</v>
      </c>
      <c r="J84" s="56" t="s">
        <v>1611</v>
      </c>
      <c r="K84" s="56">
        <v>2021</v>
      </c>
      <c r="L84" s="52">
        <f t="shared" si="4"/>
        <v>31022.3655</v>
      </c>
      <c r="M84" s="56">
        <f>LISTAS!$B$22*_xlfn.XLOOKUP(G84,LISTAS!$B$27:$B$36,LISTAS!$A$27:$A$36)*_xlfn.XLOOKUP(H84,LISTAS!$B$38:$B$47,LISTAS!$A$38:$A$47,,-1)*_xlfn.XLOOKUP(J84,LISTAS!$E$26:$H$26,LISTAS!$E$48:$H$48)*_xlfn.XLOOKUP(F84,LISTAS!$A$15:$A$18,LISTAS!$H$15:$H$18)</f>
        <v>1.3041000000000001E-2</v>
      </c>
      <c r="N84" s="54" cm="1">
        <f t="array" ref="N84">_xlfn.XLOOKUP(K84,LISTAS!$D$27:$D$47,_xlfn.XLOOKUP(J84,LISTAS!$E$26:$H$26,LISTAS!$E$27:$H$47))</f>
        <v>28546000</v>
      </c>
      <c r="O84" s="56" t="s">
        <v>1624</v>
      </c>
      <c r="P84" s="76" t="str">
        <f t="shared" ca="1" si="5"/>
        <v>Vencida</v>
      </c>
    </row>
    <row r="85" spans="1:16" x14ac:dyDescent="0.3">
      <c r="A85" s="58" t="s">
        <v>375</v>
      </c>
      <c r="B85" s="56" t="s">
        <v>59</v>
      </c>
      <c r="C85" s="50" t="str">
        <f>_xlfn.XLOOKUP(B85,CLIENTES!$A$2:$A$301,CLIENTES!$B$2:$B$301)</f>
        <v>Lautaro Arias</v>
      </c>
      <c r="D85" s="60">
        <v>46044</v>
      </c>
      <c r="E85" s="60">
        <f t="shared" si="3"/>
        <v>46409</v>
      </c>
      <c r="F85" s="50" t="s">
        <v>1595</v>
      </c>
      <c r="G85" s="56" t="s">
        <v>1606</v>
      </c>
      <c r="H85" s="47">
        <v>50</v>
      </c>
      <c r="I85" s="60">
        <v>27834</v>
      </c>
      <c r="J85" s="56" t="s">
        <v>1612</v>
      </c>
      <c r="K85" s="56">
        <v>2023</v>
      </c>
      <c r="L85" s="52">
        <f t="shared" si="4"/>
        <v>25738.649999999998</v>
      </c>
      <c r="M85" s="56">
        <f>LISTAS!$B$22*_xlfn.XLOOKUP(G85,LISTAS!$B$27:$B$36,LISTAS!$A$27:$A$36)*_xlfn.XLOOKUP(H85,LISTAS!$B$38:$B$47,LISTAS!$A$38:$A$47,,-1)*_xlfn.XLOOKUP(J85,LISTAS!$E$26:$H$26,LISTAS!$E$48:$H$48)*_xlfn.XLOOKUP(F85,LISTAS!$A$15:$A$18,LISTAS!$H$15:$H$18)</f>
        <v>1.26E-2</v>
      </c>
      <c r="N85" s="54" cm="1">
        <f t="array" ref="N85">_xlfn.XLOOKUP(K85,LISTAS!$D$27:$D$47,_xlfn.XLOOKUP(J85,LISTAS!$E$26:$H$26,LISTAS!$E$27:$H$47))</f>
        <v>24513000</v>
      </c>
      <c r="O85" s="56" t="s">
        <v>1623</v>
      </c>
      <c r="P85" s="76" t="str">
        <f t="shared" ca="1" si="5"/>
        <v>Vigente</v>
      </c>
    </row>
    <row r="86" spans="1:16" x14ac:dyDescent="0.3">
      <c r="A86" s="58" t="s">
        <v>376</v>
      </c>
      <c r="B86" s="56" t="s">
        <v>132</v>
      </c>
      <c r="C86" s="50" t="str">
        <f>_xlfn.XLOOKUP(B86,CLIENTES!$A$2:$A$301,CLIENTES!$B$2:$B$301)</f>
        <v>Paula Roldán</v>
      </c>
      <c r="D86" s="60">
        <v>45841</v>
      </c>
      <c r="E86" s="60">
        <f t="shared" si="3"/>
        <v>46206</v>
      </c>
      <c r="F86" s="50" t="s">
        <v>1596</v>
      </c>
      <c r="G86" s="56" t="s">
        <v>1601</v>
      </c>
      <c r="H86" s="47">
        <v>60</v>
      </c>
      <c r="I86" s="60">
        <v>24299</v>
      </c>
      <c r="J86" s="56" t="s">
        <v>1611</v>
      </c>
      <c r="K86" s="56">
        <v>2021</v>
      </c>
      <c r="L86" s="52">
        <f t="shared" si="4"/>
        <v>56156.226437500001</v>
      </c>
      <c r="M86" s="56">
        <f>LISTAS!$B$22*_xlfn.XLOOKUP(G86,LISTAS!$B$27:$B$36,LISTAS!$A$27:$A$36)*_xlfn.XLOOKUP(H86,LISTAS!$B$38:$B$47,LISTAS!$A$38:$A$47,,-1)*_xlfn.XLOOKUP(J86,LISTAS!$E$26:$H$26,LISTAS!$E$48:$H$48)*_xlfn.XLOOKUP(F86,LISTAS!$A$15:$A$18,LISTAS!$H$15:$H$18)</f>
        <v>2.3606624999999999E-2</v>
      </c>
      <c r="N86" s="54" cm="1">
        <f t="array" ref="N86">_xlfn.XLOOKUP(K86,LISTAS!$D$27:$D$47,_xlfn.XLOOKUP(J86,LISTAS!$E$26:$H$26,LISTAS!$E$27:$H$47))</f>
        <v>28546000</v>
      </c>
      <c r="O86" s="56" t="s">
        <v>1624</v>
      </c>
      <c r="P86" s="76" t="str">
        <f t="shared" ca="1" si="5"/>
        <v>Vencida</v>
      </c>
    </row>
    <row r="87" spans="1:16" x14ac:dyDescent="0.3">
      <c r="A87" s="58" t="s">
        <v>377</v>
      </c>
      <c r="B87" s="56" t="s">
        <v>15</v>
      </c>
      <c r="C87" s="50" t="str">
        <f>_xlfn.XLOOKUP(B87,CLIENTES!$A$2:$A$301,CLIENTES!$B$2:$B$301)</f>
        <v>Catalina Roldán</v>
      </c>
      <c r="D87" s="60">
        <v>44708</v>
      </c>
      <c r="E87" s="60">
        <f t="shared" si="3"/>
        <v>45073</v>
      </c>
      <c r="F87" s="50" t="s">
        <v>1596</v>
      </c>
      <c r="G87" s="56" t="s">
        <v>1603</v>
      </c>
      <c r="H87" s="47">
        <v>32</v>
      </c>
      <c r="I87" s="60">
        <v>34386</v>
      </c>
      <c r="J87" s="56" t="s">
        <v>1611</v>
      </c>
      <c r="K87" s="56">
        <v>2021</v>
      </c>
      <c r="L87" s="52">
        <f t="shared" si="4"/>
        <v>44180.88208333333</v>
      </c>
      <c r="M87" s="56">
        <f>LISTAS!$B$22*_xlfn.XLOOKUP(G87,LISTAS!$B$27:$B$36,LISTAS!$A$27:$A$36)*_xlfn.XLOOKUP(H87,LISTAS!$B$38:$B$47,LISTAS!$A$38:$A$47,,-1)*_xlfn.XLOOKUP(J87,LISTAS!$E$26:$H$26,LISTAS!$E$48:$H$48)*_xlfn.XLOOKUP(F87,LISTAS!$A$15:$A$18,LISTAS!$H$15:$H$18)</f>
        <v>1.8572499999999999E-2</v>
      </c>
      <c r="N87" s="54" cm="1">
        <f t="array" ref="N87">_xlfn.XLOOKUP(K87,LISTAS!$D$27:$D$47,_xlfn.XLOOKUP(J87,LISTAS!$E$26:$H$26,LISTAS!$E$27:$H$47))</f>
        <v>28546000</v>
      </c>
      <c r="O87" s="56" t="s">
        <v>1626</v>
      </c>
      <c r="P87" s="76" t="str">
        <f t="shared" ca="1" si="5"/>
        <v>Vencida</v>
      </c>
    </row>
    <row r="88" spans="1:16" x14ac:dyDescent="0.3">
      <c r="A88" s="58" t="s">
        <v>378</v>
      </c>
      <c r="B88" s="56" t="s">
        <v>82</v>
      </c>
      <c r="C88" s="50" t="str">
        <f>_xlfn.XLOOKUP(B88,CLIENTES!$A$2:$A$301,CLIENTES!$B$2:$B$301)</f>
        <v>Lucas Martínez</v>
      </c>
      <c r="D88" s="60">
        <v>44948</v>
      </c>
      <c r="E88" s="60">
        <f t="shared" si="3"/>
        <v>45313</v>
      </c>
      <c r="F88" s="50" t="s">
        <v>1595</v>
      </c>
      <c r="G88" s="56" t="s">
        <v>1608</v>
      </c>
      <c r="H88" s="47">
        <v>70</v>
      </c>
      <c r="I88" s="60">
        <v>20624</v>
      </c>
      <c r="J88" s="56" t="s">
        <v>1610</v>
      </c>
      <c r="K88" s="56">
        <v>2023</v>
      </c>
      <c r="L88" s="52">
        <f t="shared" si="4"/>
        <v>44829.245999999992</v>
      </c>
      <c r="M88" s="56">
        <f>LISTAS!$B$22*_xlfn.XLOOKUP(G88,LISTAS!$B$27:$B$36,LISTAS!$A$27:$A$36)*_xlfn.XLOOKUP(H88,LISTAS!$B$38:$B$47,LISTAS!$A$38:$A$47,,-1)*_xlfn.XLOOKUP(J88,LISTAS!$E$26:$H$26,LISTAS!$E$48:$H$48)*_xlfn.XLOOKUP(F88,LISTAS!$A$15:$A$18,LISTAS!$H$15:$H$18)</f>
        <v>1.7555999999999999E-2</v>
      </c>
      <c r="N88" s="54" cm="1">
        <f t="array" ref="N88">_xlfn.XLOOKUP(K88,LISTAS!$D$27:$D$47,_xlfn.XLOOKUP(J88,LISTAS!$E$26:$H$26,LISTAS!$E$27:$H$47))</f>
        <v>30642000</v>
      </c>
      <c r="O88" s="56" t="s">
        <v>1625</v>
      </c>
      <c r="P88" s="76" t="str">
        <f t="shared" ca="1" si="5"/>
        <v>Vencida</v>
      </c>
    </row>
    <row r="89" spans="1:16" x14ac:dyDescent="0.3">
      <c r="A89" s="58" t="s">
        <v>379</v>
      </c>
      <c r="B89" s="56" t="s">
        <v>231</v>
      </c>
      <c r="C89" s="50" t="str">
        <f>_xlfn.XLOOKUP(B89,CLIENTES!$A$2:$A$301,CLIENTES!$B$2:$B$301)</f>
        <v>Carolina Bravo</v>
      </c>
      <c r="D89" s="60">
        <v>45230</v>
      </c>
      <c r="E89" s="60">
        <f t="shared" si="3"/>
        <v>45596</v>
      </c>
      <c r="F89" s="50" t="s">
        <v>1595</v>
      </c>
      <c r="G89" s="56" t="s">
        <v>1600</v>
      </c>
      <c r="H89" s="47">
        <v>32</v>
      </c>
      <c r="I89" s="60">
        <v>34522</v>
      </c>
      <c r="J89" s="56" t="s">
        <v>1612</v>
      </c>
      <c r="K89" s="56">
        <v>2024</v>
      </c>
      <c r="L89" s="52">
        <f t="shared" si="4"/>
        <v>32527.634999999998</v>
      </c>
      <c r="M89" s="56">
        <f>LISTAS!$B$22*_xlfn.XLOOKUP(G89,LISTAS!$B$27:$B$36,LISTAS!$A$27:$A$36)*_xlfn.XLOOKUP(H89,LISTAS!$B$38:$B$47,LISTAS!$A$38:$A$47,,-1)*_xlfn.XLOOKUP(J89,LISTAS!$E$26:$H$26,LISTAS!$E$48:$H$48)*_xlfn.XLOOKUP(F89,LISTAS!$A$15:$A$18,LISTAS!$H$15:$H$18)</f>
        <v>1.4489999999999999E-2</v>
      </c>
      <c r="N89" s="54" cm="1">
        <f t="array" ref="N89">_xlfn.XLOOKUP(K89,LISTAS!$D$27:$D$47,_xlfn.XLOOKUP(J89,LISTAS!$E$26:$H$26,LISTAS!$E$27:$H$47))</f>
        <v>26938000</v>
      </c>
      <c r="O89" s="56" t="s">
        <v>1624</v>
      </c>
      <c r="P89" s="76" t="str">
        <f t="shared" ca="1" si="5"/>
        <v>Vencida</v>
      </c>
    </row>
    <row r="90" spans="1:16" x14ac:dyDescent="0.3">
      <c r="A90" s="58" t="s">
        <v>380</v>
      </c>
      <c r="B90" s="56" t="s">
        <v>106</v>
      </c>
      <c r="C90" s="50" t="str">
        <f>_xlfn.XLOOKUP(B90,CLIENTES!$A$2:$A$301,CLIENTES!$B$2:$B$301)</f>
        <v>Maximiliano Gutiérrez</v>
      </c>
      <c r="D90" s="60">
        <v>45047</v>
      </c>
      <c r="E90" s="60">
        <f t="shared" si="3"/>
        <v>45413</v>
      </c>
      <c r="F90" s="50" t="s">
        <v>1596</v>
      </c>
      <c r="G90" s="56" t="s">
        <v>1603</v>
      </c>
      <c r="H90" s="47">
        <v>58</v>
      </c>
      <c r="I90" s="60">
        <v>24761</v>
      </c>
      <c r="J90" s="56" t="s">
        <v>1610</v>
      </c>
      <c r="K90" s="56">
        <v>2010</v>
      </c>
      <c r="L90" s="52">
        <f t="shared" si="4"/>
        <v>14764.195416666667</v>
      </c>
      <c r="M90" s="56">
        <f>LISTAS!$B$22*_xlfn.XLOOKUP(G90,LISTAS!$B$27:$B$36,LISTAS!$A$27:$A$36)*_xlfn.XLOOKUP(H90,LISTAS!$B$38:$B$47,LISTAS!$A$38:$A$47,,-1)*_xlfn.XLOOKUP(J90,LISTAS!$E$26:$H$26,LISTAS!$E$48:$H$48)*_xlfn.XLOOKUP(F90,LISTAS!$A$15:$A$18,LISTAS!$H$15:$H$18)</f>
        <v>1.7765E-2</v>
      </c>
      <c r="N90" s="54" cm="1">
        <f t="array" ref="N90">_xlfn.XLOOKUP(K90,LISTAS!$D$27:$D$47,_xlfn.XLOOKUP(J90,LISTAS!$E$26:$H$26,LISTAS!$E$27:$H$47))</f>
        <v>9973000</v>
      </c>
      <c r="O90" s="56" t="s">
        <v>1623</v>
      </c>
      <c r="P90" s="76" t="str">
        <f t="shared" ca="1" si="5"/>
        <v>Vencida</v>
      </c>
    </row>
    <row r="91" spans="1:16" x14ac:dyDescent="0.3">
      <c r="A91" s="58" t="s">
        <v>381</v>
      </c>
      <c r="B91" s="56" t="s">
        <v>11</v>
      </c>
      <c r="C91" s="50" t="str">
        <f>_xlfn.XLOOKUP(B91,CLIENTES!$A$2:$A$301,CLIENTES!$B$2:$B$301)</f>
        <v>Andrés Cabrera</v>
      </c>
      <c r="D91" s="60">
        <v>45818</v>
      </c>
      <c r="E91" s="60">
        <f t="shared" si="3"/>
        <v>46183</v>
      </c>
      <c r="F91" s="50" t="s">
        <v>1596</v>
      </c>
      <c r="G91" s="56" t="s">
        <v>1605</v>
      </c>
      <c r="H91" s="47">
        <v>65</v>
      </c>
      <c r="I91" s="60">
        <v>22205</v>
      </c>
      <c r="J91" s="56" t="s">
        <v>1609</v>
      </c>
      <c r="K91" s="56">
        <v>2021</v>
      </c>
      <c r="L91" s="52">
        <f t="shared" si="4"/>
        <v>23253.258749999997</v>
      </c>
      <c r="M91" s="56">
        <f>LISTAS!$B$22*_xlfn.XLOOKUP(G91,LISTAS!$B$27:$B$36,LISTAS!$A$27:$A$36)*_xlfn.XLOOKUP(H91,LISTAS!$B$38:$B$47,LISTAS!$A$38:$A$47,,-1)*_xlfn.XLOOKUP(J91,LISTAS!$E$26:$H$26,LISTAS!$E$48:$H$48)*_xlfn.XLOOKUP(F91,LISTAS!$A$15:$A$18,LISTAS!$H$15:$H$18)</f>
        <v>1.7595E-2</v>
      </c>
      <c r="N91" s="54" cm="1">
        <f t="array" ref="N91">_xlfn.XLOOKUP(K91,LISTAS!$D$27:$D$47,_xlfn.XLOOKUP(J91,LISTAS!$E$26:$H$26,LISTAS!$E$27:$H$47))</f>
        <v>15859000</v>
      </c>
      <c r="O91" s="56" t="s">
        <v>1625</v>
      </c>
      <c r="P91" s="76" t="str">
        <f t="shared" ca="1" si="5"/>
        <v>Vencida</v>
      </c>
    </row>
    <row r="92" spans="1:16" x14ac:dyDescent="0.3">
      <c r="A92" s="58" t="s">
        <v>382</v>
      </c>
      <c r="B92" s="56" t="s">
        <v>59</v>
      </c>
      <c r="C92" s="50" t="str">
        <f>_xlfn.XLOOKUP(B92,CLIENTES!$A$2:$A$301,CLIENTES!$B$2:$B$301)</f>
        <v>Lautaro Arias</v>
      </c>
      <c r="D92" s="60">
        <v>45950</v>
      </c>
      <c r="E92" s="60">
        <f t="shared" si="3"/>
        <v>46315</v>
      </c>
      <c r="F92" s="50" t="s">
        <v>1595</v>
      </c>
      <c r="G92" s="56" t="s">
        <v>1600</v>
      </c>
      <c r="H92" s="47">
        <v>45</v>
      </c>
      <c r="I92" s="60">
        <v>29511</v>
      </c>
      <c r="J92" s="56" t="s">
        <v>1612</v>
      </c>
      <c r="K92" s="56">
        <v>2015</v>
      </c>
      <c r="L92" s="52">
        <f t="shared" si="4"/>
        <v>13442.010749999999</v>
      </c>
      <c r="M92" s="56">
        <f>LISTAS!$B$22*_xlfn.XLOOKUP(G92,LISTAS!$B$27:$B$36,LISTAS!$A$27:$A$36)*_xlfn.XLOOKUP(H92,LISTAS!$B$38:$B$47,LISTAS!$A$38:$A$47,,-1)*_xlfn.XLOOKUP(J92,LISTAS!$E$26:$H$26,LISTAS!$E$48:$H$48)*_xlfn.XLOOKUP(F92,LISTAS!$A$15:$A$18,LISTAS!$H$15:$H$18)</f>
        <v>1.3765499999999998E-2</v>
      </c>
      <c r="N92" s="54" cm="1">
        <f t="array" ref="N92">_xlfn.XLOOKUP(K92,LISTAS!$D$27:$D$47,_xlfn.XLOOKUP(J92,LISTAS!$E$26:$H$26,LISTAS!$E$27:$H$47))</f>
        <v>11718000</v>
      </c>
      <c r="O92" s="56" t="s">
        <v>1624</v>
      </c>
      <c r="P92" s="76" t="str">
        <f t="shared" ca="1" si="5"/>
        <v>Vigente</v>
      </c>
    </row>
    <row r="93" spans="1:16" x14ac:dyDescent="0.3">
      <c r="A93" s="58" t="s">
        <v>383</v>
      </c>
      <c r="B93" s="56" t="s">
        <v>17</v>
      </c>
      <c r="C93" s="50" t="str">
        <f>_xlfn.XLOOKUP(B93,CLIENTES!$A$2:$A$301,CLIENTES!$B$2:$B$301)</f>
        <v>Mariano Miranda</v>
      </c>
      <c r="D93" s="60">
        <v>45084</v>
      </c>
      <c r="E93" s="60">
        <f t="shared" si="3"/>
        <v>45450</v>
      </c>
      <c r="F93" s="50" t="s">
        <v>1597</v>
      </c>
      <c r="G93" s="56" t="s">
        <v>1599</v>
      </c>
      <c r="H93" s="47">
        <v>43</v>
      </c>
      <c r="I93" s="60">
        <v>30236</v>
      </c>
      <c r="J93" s="56" t="s">
        <v>1611</v>
      </c>
      <c r="K93" s="56">
        <v>2021</v>
      </c>
      <c r="L93" s="52">
        <f t="shared" si="4"/>
        <v>68610.311000000002</v>
      </c>
      <c r="M93" s="56">
        <f>LISTAS!$B$22*_xlfn.XLOOKUP(G93,LISTAS!$B$27:$B$36,LISTAS!$A$27:$A$36)*_xlfn.XLOOKUP(H93,LISTAS!$B$38:$B$47,LISTAS!$A$38:$A$47,,-1)*_xlfn.XLOOKUP(J93,LISTAS!$E$26:$H$26,LISTAS!$E$48:$H$48)*_xlfn.XLOOKUP(F93,LISTAS!$A$15:$A$18,LISTAS!$H$15:$H$18)</f>
        <v>2.8842000000000003E-2</v>
      </c>
      <c r="N93" s="54" cm="1">
        <f t="array" ref="N93">_xlfn.XLOOKUP(K93,LISTAS!$D$27:$D$47,_xlfn.XLOOKUP(J93,LISTAS!$E$26:$H$26,LISTAS!$E$27:$H$47))</f>
        <v>28546000</v>
      </c>
      <c r="O93" s="56" t="s">
        <v>1623</v>
      </c>
      <c r="P93" s="76" t="str">
        <f t="shared" ca="1" si="5"/>
        <v>Vencida</v>
      </c>
    </row>
    <row r="94" spans="1:16" x14ac:dyDescent="0.3">
      <c r="A94" s="58" t="s">
        <v>384</v>
      </c>
      <c r="B94" s="56" t="s">
        <v>99</v>
      </c>
      <c r="C94" s="50" t="str">
        <f>_xlfn.XLOOKUP(B94,CLIENTES!$A$2:$A$301,CLIENTES!$B$2:$B$301)</f>
        <v>Diego Domínguez</v>
      </c>
      <c r="D94" s="60">
        <v>44619</v>
      </c>
      <c r="E94" s="60">
        <f t="shared" si="3"/>
        <v>44984</v>
      </c>
      <c r="F94" s="50" t="s">
        <v>1595</v>
      </c>
      <c r="G94" s="56" t="s">
        <v>1600</v>
      </c>
      <c r="H94" s="47">
        <v>51</v>
      </c>
      <c r="I94" s="60">
        <v>27322</v>
      </c>
      <c r="J94" s="56" t="s">
        <v>1609</v>
      </c>
      <c r="K94" s="56">
        <v>2023</v>
      </c>
      <c r="L94" s="52">
        <f t="shared" si="4"/>
        <v>22023.649999999998</v>
      </c>
      <c r="M94" s="56">
        <f>LISTAS!$B$22*_xlfn.XLOOKUP(G94,LISTAS!$B$27:$B$36,LISTAS!$A$27:$A$36)*_xlfn.XLOOKUP(H94,LISTAS!$B$38:$B$47,LISTAS!$A$38:$A$47,,-1)*_xlfn.XLOOKUP(J94,LISTAS!$E$26:$H$26,LISTAS!$E$48:$H$48)*_xlfn.XLOOKUP(F94,LISTAS!$A$15:$A$18,LISTAS!$H$15:$H$18)</f>
        <v>1.38E-2</v>
      </c>
      <c r="N94" s="54" cm="1">
        <f t="array" ref="N94">_xlfn.XLOOKUP(K94,LISTAS!$D$27:$D$47,_xlfn.XLOOKUP(J94,LISTAS!$E$26:$H$26,LISTAS!$E$27:$H$47))</f>
        <v>19151000</v>
      </c>
      <c r="O94" s="56" t="s">
        <v>1624</v>
      </c>
      <c r="P94" s="76" t="str">
        <f t="shared" ca="1" si="5"/>
        <v>Vencida</v>
      </c>
    </row>
    <row r="95" spans="1:16" x14ac:dyDescent="0.3">
      <c r="A95" s="58" t="s">
        <v>385</v>
      </c>
      <c r="B95" s="56" t="s">
        <v>251</v>
      </c>
      <c r="C95" s="50" t="str">
        <f>_xlfn.XLOOKUP(B95,CLIENTES!$A$2:$A$301,CLIENTES!$B$2:$B$301)</f>
        <v>Camila Correa</v>
      </c>
      <c r="D95" s="60">
        <v>46150</v>
      </c>
      <c r="E95" s="60">
        <f t="shared" si="3"/>
        <v>46515</v>
      </c>
      <c r="F95" s="50" t="s">
        <v>1598</v>
      </c>
      <c r="G95" s="56" t="s">
        <v>1599</v>
      </c>
      <c r="H95" s="47">
        <v>58</v>
      </c>
      <c r="I95" s="60">
        <v>24898</v>
      </c>
      <c r="J95" s="56" t="s">
        <v>1609</v>
      </c>
      <c r="K95" s="56">
        <v>2021</v>
      </c>
      <c r="L95" s="52">
        <f t="shared" si="4"/>
        <v>41233.4</v>
      </c>
      <c r="M95" s="56">
        <f>LISTAS!$B$22*_xlfn.XLOOKUP(G95,LISTAS!$B$27:$B$36,LISTAS!$A$27:$A$36)*_xlfn.XLOOKUP(H95,LISTAS!$B$38:$B$47,LISTAS!$A$38:$A$47,,-1)*_xlfn.XLOOKUP(J95,LISTAS!$E$26:$H$26,LISTAS!$E$48:$H$48)*_xlfn.XLOOKUP(F95,LISTAS!$A$15:$A$18,LISTAS!$H$15:$H$18)</f>
        <v>3.1200000000000002E-2</v>
      </c>
      <c r="N95" s="54" cm="1">
        <f t="array" ref="N95">_xlfn.XLOOKUP(K95,LISTAS!$D$27:$D$47,_xlfn.XLOOKUP(J95,LISTAS!$E$26:$H$26,LISTAS!$E$27:$H$47))</f>
        <v>15859000</v>
      </c>
      <c r="O95" s="56" t="s">
        <v>1624</v>
      </c>
      <c r="P95" s="76" t="str">
        <f t="shared" ca="1" si="5"/>
        <v>Vigente</v>
      </c>
    </row>
    <row r="96" spans="1:16" x14ac:dyDescent="0.3">
      <c r="A96" s="58" t="s">
        <v>386</v>
      </c>
      <c r="B96" s="56" t="s">
        <v>274</v>
      </c>
      <c r="C96" s="50" t="str">
        <f>_xlfn.XLOOKUP(B96,CLIENTES!$A$2:$A$301,CLIENTES!$B$2:$B$301)</f>
        <v>Lautaro Medina</v>
      </c>
      <c r="D96" s="60">
        <v>45955</v>
      </c>
      <c r="E96" s="60">
        <f t="shared" si="3"/>
        <v>46320</v>
      </c>
      <c r="F96" s="50" t="s">
        <v>1597</v>
      </c>
      <c r="G96" s="56" t="s">
        <v>1607</v>
      </c>
      <c r="H96" s="47">
        <v>67</v>
      </c>
      <c r="I96" s="60">
        <v>21765</v>
      </c>
      <c r="J96" s="56" t="s">
        <v>1610</v>
      </c>
      <c r="K96" s="56">
        <v>2021</v>
      </c>
      <c r="L96" s="52">
        <f t="shared" si="4"/>
        <v>64731.188500000011</v>
      </c>
      <c r="M96" s="56">
        <f>LISTAS!$B$22*_xlfn.XLOOKUP(G96,LISTAS!$B$27:$B$36,LISTAS!$A$27:$A$36)*_xlfn.XLOOKUP(H96,LISTAS!$B$38:$B$47,LISTAS!$A$38:$A$47,,-1)*_xlfn.XLOOKUP(J96,LISTAS!$E$26:$H$26,LISTAS!$E$48:$H$48)*_xlfn.XLOOKUP(F96,LISTAS!$A$15:$A$18,LISTAS!$H$15:$H$18)</f>
        <v>3.0613000000000005E-2</v>
      </c>
      <c r="N96" s="54" cm="1">
        <f t="array" ref="N96">_xlfn.XLOOKUP(K96,LISTAS!$D$27:$D$47,_xlfn.XLOOKUP(J96,LISTAS!$E$26:$H$26,LISTAS!$E$27:$H$47))</f>
        <v>25374000</v>
      </c>
      <c r="O96" s="56" t="s">
        <v>1624</v>
      </c>
      <c r="P96" s="76" t="str">
        <f t="shared" ca="1" si="5"/>
        <v>Vigente</v>
      </c>
    </row>
    <row r="97" spans="1:16" x14ac:dyDescent="0.3">
      <c r="A97" s="58" t="s">
        <v>387</v>
      </c>
      <c r="B97" s="56" t="s">
        <v>164</v>
      </c>
      <c r="C97" s="50" t="str">
        <f>_xlfn.XLOOKUP(B97,CLIENTES!$A$2:$A$301,CLIENTES!$B$2:$B$301)</f>
        <v>Julieta Ferreyra</v>
      </c>
      <c r="D97" s="60">
        <v>45493</v>
      </c>
      <c r="E97" s="60">
        <f t="shared" si="3"/>
        <v>45858</v>
      </c>
      <c r="F97" s="50" t="s">
        <v>1595</v>
      </c>
      <c r="G97" s="56" t="s">
        <v>1606</v>
      </c>
      <c r="H97" s="47">
        <v>78</v>
      </c>
      <c r="I97" s="60">
        <v>17677</v>
      </c>
      <c r="J97" s="56" t="s">
        <v>1612</v>
      </c>
      <c r="K97" s="56">
        <v>2023</v>
      </c>
      <c r="L97" s="52">
        <f t="shared" si="4"/>
        <v>37321.042499999996</v>
      </c>
      <c r="M97" s="56">
        <f>LISTAS!$B$22*_xlfn.XLOOKUP(G97,LISTAS!$B$27:$B$36,LISTAS!$A$27:$A$36)*_xlfn.XLOOKUP(H97,LISTAS!$B$38:$B$47,LISTAS!$A$38:$A$47,,-1)*_xlfn.XLOOKUP(J97,LISTAS!$E$26:$H$26,LISTAS!$E$48:$H$48)*_xlfn.XLOOKUP(F97,LISTAS!$A$15:$A$18,LISTAS!$H$15:$H$18)</f>
        <v>1.8269999999999998E-2</v>
      </c>
      <c r="N97" s="54" cm="1">
        <f t="array" ref="N97">_xlfn.XLOOKUP(K97,LISTAS!$D$27:$D$47,_xlfn.XLOOKUP(J97,LISTAS!$E$26:$H$26,LISTAS!$E$27:$H$47))</f>
        <v>24513000</v>
      </c>
      <c r="O97" s="56" t="s">
        <v>1623</v>
      </c>
      <c r="P97" s="76" t="str">
        <f t="shared" ca="1" si="5"/>
        <v>Vencida</v>
      </c>
    </row>
    <row r="98" spans="1:16" x14ac:dyDescent="0.3">
      <c r="A98" s="58" t="s">
        <v>388</v>
      </c>
      <c r="B98" s="56" t="s">
        <v>244</v>
      </c>
      <c r="C98" s="50" t="str">
        <f>_xlfn.XLOOKUP(B98,CLIENTES!$A$2:$A$301,CLIENTES!$B$2:$B$301)</f>
        <v>Matías Medina</v>
      </c>
      <c r="D98" s="60">
        <v>45162</v>
      </c>
      <c r="E98" s="60">
        <f t="shared" si="3"/>
        <v>45528</v>
      </c>
      <c r="F98" s="50" t="s">
        <v>1596</v>
      </c>
      <c r="G98" s="56" t="s">
        <v>1608</v>
      </c>
      <c r="H98" s="47">
        <v>39</v>
      </c>
      <c r="I98" s="60">
        <v>31916</v>
      </c>
      <c r="J98" s="56" t="s">
        <v>1611</v>
      </c>
      <c r="K98" s="56">
        <v>2024</v>
      </c>
      <c r="L98" s="52">
        <f t="shared" si="4"/>
        <v>58628.739374999997</v>
      </c>
      <c r="M98" s="56">
        <f>LISTAS!$B$22*_xlfn.XLOOKUP(G98,LISTAS!$B$27:$B$36,LISTAS!$A$27:$A$36)*_xlfn.XLOOKUP(H98,LISTAS!$B$38:$B$47,LISTAS!$A$38:$A$47,,-1)*_xlfn.XLOOKUP(J98,LISTAS!$E$26:$H$26,LISTAS!$E$48:$H$48)*_xlfn.XLOOKUP(F98,LISTAS!$A$15:$A$18,LISTAS!$H$15:$H$18)</f>
        <v>1.8572499999999999E-2</v>
      </c>
      <c r="N98" s="54" cm="1">
        <f t="array" ref="N98">_xlfn.XLOOKUP(K98,LISTAS!$D$27:$D$47,_xlfn.XLOOKUP(J98,LISTAS!$E$26:$H$26,LISTAS!$E$27:$H$47))</f>
        <v>37881000</v>
      </c>
      <c r="O98" s="56" t="s">
        <v>1623</v>
      </c>
      <c r="P98" s="76" t="str">
        <f t="shared" ca="1" si="5"/>
        <v>Vencida</v>
      </c>
    </row>
    <row r="99" spans="1:16" x14ac:dyDescent="0.3">
      <c r="A99" s="58" t="s">
        <v>389</v>
      </c>
      <c r="B99" s="56" t="s">
        <v>69</v>
      </c>
      <c r="C99" s="50" t="str">
        <f>_xlfn.XLOOKUP(B99,CLIENTES!$A$2:$A$301,CLIENTES!$B$2:$B$301)</f>
        <v>Fernando Domínguez</v>
      </c>
      <c r="D99" s="60">
        <v>45651</v>
      </c>
      <c r="E99" s="60">
        <f t="shared" si="3"/>
        <v>46016</v>
      </c>
      <c r="F99" s="50" t="s">
        <v>1596</v>
      </c>
      <c r="G99" s="56" t="s">
        <v>1604</v>
      </c>
      <c r="H99" s="47">
        <v>79</v>
      </c>
      <c r="I99" s="60">
        <v>17301</v>
      </c>
      <c r="J99" s="56" t="s">
        <v>1610</v>
      </c>
      <c r="K99" s="56">
        <v>2024</v>
      </c>
      <c r="L99" s="52">
        <f t="shared" si="4"/>
        <v>79888.924500000008</v>
      </c>
      <c r="M99" s="56">
        <f>LISTAS!$B$22*_xlfn.XLOOKUP(G99,LISTAS!$B$27:$B$36,LISTAS!$A$27:$A$36)*_xlfn.XLOOKUP(H99,LISTAS!$B$38:$B$47,LISTAS!$A$38:$A$47,,-1)*_xlfn.XLOOKUP(J99,LISTAS!$E$26:$H$26,LISTAS!$E$48:$H$48)*_xlfn.XLOOKUP(F99,LISTAS!$A$15:$A$18,LISTAS!$H$15:$H$18)</f>
        <v>2.8470750000000003E-2</v>
      </c>
      <c r="N99" s="54" cm="1">
        <f t="array" ref="N99">_xlfn.XLOOKUP(K99,LISTAS!$D$27:$D$47,_xlfn.XLOOKUP(J99,LISTAS!$E$26:$H$26,LISTAS!$E$27:$H$47))</f>
        <v>33672000</v>
      </c>
      <c r="O99" s="56" t="s">
        <v>1624</v>
      </c>
      <c r="P99" s="76" t="str">
        <f t="shared" ca="1" si="5"/>
        <v>Vencida</v>
      </c>
    </row>
    <row r="100" spans="1:16" x14ac:dyDescent="0.3">
      <c r="A100" s="58" t="s">
        <v>390</v>
      </c>
      <c r="B100" s="56" t="s">
        <v>42</v>
      </c>
      <c r="C100" s="50" t="str">
        <f>_xlfn.XLOOKUP(B100,CLIENTES!$A$2:$A$301,CLIENTES!$B$2:$B$301)</f>
        <v>Pablo Torres</v>
      </c>
      <c r="D100" s="60">
        <v>45149</v>
      </c>
      <c r="E100" s="60">
        <f t="shared" si="3"/>
        <v>45515</v>
      </c>
      <c r="F100" s="50" t="s">
        <v>1598</v>
      </c>
      <c r="G100" s="56" t="s">
        <v>1607</v>
      </c>
      <c r="H100" s="47">
        <v>32</v>
      </c>
      <c r="I100" s="60">
        <v>34300</v>
      </c>
      <c r="J100" s="56" t="s">
        <v>1612</v>
      </c>
      <c r="K100" s="56">
        <v>2020</v>
      </c>
      <c r="L100" s="52">
        <f t="shared" si="4"/>
        <v>46226.18</v>
      </c>
      <c r="M100" s="56">
        <f>LISTAS!$B$22*_xlfn.XLOOKUP(G100,LISTAS!$B$27:$B$36,LISTAS!$A$27:$A$36)*_xlfn.XLOOKUP(H100,LISTAS!$B$38:$B$47,LISTAS!$A$38:$A$47,,-1)*_xlfn.XLOOKUP(J100,LISTAS!$E$26:$H$26,LISTAS!$E$48:$H$48)*_xlfn.XLOOKUP(F100,LISTAS!$A$15:$A$18,LISTAS!$H$15:$H$18)</f>
        <v>3.0030000000000005E-2</v>
      </c>
      <c r="N100" s="54" cm="1">
        <f t="array" ref="N100">_xlfn.XLOOKUP(K100,LISTAS!$D$27:$D$47,_xlfn.XLOOKUP(J100,LISTAS!$E$26:$H$26,LISTAS!$E$27:$H$47))</f>
        <v>18472000</v>
      </c>
      <c r="O100" s="56" t="s">
        <v>1623</v>
      </c>
      <c r="P100" s="76" t="str">
        <f t="shared" ca="1" si="5"/>
        <v>Vencida</v>
      </c>
    </row>
    <row r="101" spans="1:16" x14ac:dyDescent="0.3">
      <c r="A101" s="58" t="s">
        <v>391</v>
      </c>
      <c r="B101" s="56" t="s">
        <v>24</v>
      </c>
      <c r="C101" s="50" t="str">
        <f>_xlfn.XLOOKUP(B101,CLIENTES!$A$2:$A$301,CLIENTES!$B$2:$B$301)</f>
        <v>Pablo Álvarez</v>
      </c>
      <c r="D101" s="60">
        <v>44587</v>
      </c>
      <c r="E101" s="60">
        <f t="shared" si="3"/>
        <v>44952</v>
      </c>
      <c r="F101" s="50" t="s">
        <v>1595</v>
      </c>
      <c r="G101" s="56" t="s">
        <v>1603</v>
      </c>
      <c r="H101" s="47">
        <v>45</v>
      </c>
      <c r="I101" s="60">
        <v>29453</v>
      </c>
      <c r="J101" s="56" t="s">
        <v>1611</v>
      </c>
      <c r="K101" s="56">
        <v>2020</v>
      </c>
      <c r="L101" s="52">
        <f t="shared" si="4"/>
        <v>26960.878874999995</v>
      </c>
      <c r="M101" s="56">
        <f>LISTAS!$B$22*_xlfn.XLOOKUP(G101,LISTAS!$B$27:$B$36,LISTAS!$A$27:$A$36)*_xlfn.XLOOKUP(H101,LISTAS!$B$38:$B$47,LISTAS!$A$38:$A$47,,-1)*_xlfn.XLOOKUP(J101,LISTAS!$E$26:$H$26,LISTAS!$E$48:$H$48)*_xlfn.XLOOKUP(F101,LISTAS!$A$15:$A$18,LISTAS!$H$15:$H$18)</f>
        <v>1.2454499999999999E-2</v>
      </c>
      <c r="N101" s="54" cm="1">
        <f t="array" ref="N101">_xlfn.XLOOKUP(K101,LISTAS!$D$27:$D$47,_xlfn.XLOOKUP(J101,LISTAS!$E$26:$H$26,LISTAS!$E$27:$H$47))</f>
        <v>25977000</v>
      </c>
      <c r="O101" s="56" t="s">
        <v>1623</v>
      </c>
      <c r="P101" s="76" t="str">
        <f t="shared" ca="1" si="5"/>
        <v>Vencida</v>
      </c>
    </row>
    <row r="102" spans="1:16" x14ac:dyDescent="0.3">
      <c r="A102" s="58" t="s">
        <v>392</v>
      </c>
      <c r="B102" s="56" t="s">
        <v>188</v>
      </c>
      <c r="C102" s="50" t="str">
        <f>_xlfn.XLOOKUP(B102,CLIENTES!$A$2:$A$301,CLIENTES!$B$2:$B$301)</f>
        <v>Diego Torres</v>
      </c>
      <c r="D102" s="60">
        <v>45309</v>
      </c>
      <c r="E102" s="60">
        <f t="shared" si="3"/>
        <v>45675</v>
      </c>
      <c r="F102" s="50" t="s">
        <v>1598</v>
      </c>
      <c r="G102" s="56" t="s">
        <v>1600</v>
      </c>
      <c r="H102" s="47">
        <v>72</v>
      </c>
      <c r="I102" s="60">
        <v>19801</v>
      </c>
      <c r="J102" s="56" t="s">
        <v>1610</v>
      </c>
      <c r="K102" s="56">
        <v>2023</v>
      </c>
      <c r="L102" s="52">
        <f t="shared" si="4"/>
        <v>117578.46100000001</v>
      </c>
      <c r="M102" s="56">
        <f>LISTAS!$B$22*_xlfn.XLOOKUP(G102,LISTAS!$B$27:$B$36,LISTAS!$A$27:$A$36)*_xlfn.XLOOKUP(H102,LISTAS!$B$38:$B$47,LISTAS!$A$38:$A$47,,-1)*_xlfn.XLOOKUP(J102,LISTAS!$E$26:$H$26,LISTAS!$E$48:$H$48)*_xlfn.XLOOKUP(F102,LISTAS!$A$15:$A$18,LISTAS!$H$15:$H$18)</f>
        <v>4.6046000000000004E-2</v>
      </c>
      <c r="N102" s="54" cm="1">
        <f t="array" ref="N102">_xlfn.XLOOKUP(K102,LISTAS!$D$27:$D$47,_xlfn.XLOOKUP(J102,LISTAS!$E$26:$H$26,LISTAS!$E$27:$H$47))</f>
        <v>30642000</v>
      </c>
      <c r="O102" s="56" t="s">
        <v>1623</v>
      </c>
      <c r="P102" s="76" t="str">
        <f t="shared" ca="1" si="5"/>
        <v>Vencida</v>
      </c>
    </row>
    <row r="103" spans="1:16" x14ac:dyDescent="0.3">
      <c r="A103" s="58" t="s">
        <v>393</v>
      </c>
      <c r="B103" s="56" t="s">
        <v>16</v>
      </c>
      <c r="C103" s="50" t="str">
        <f>_xlfn.XLOOKUP(B103,CLIENTES!$A$2:$A$301,CLIENTES!$B$2:$B$301)</f>
        <v>Clara Vázquez</v>
      </c>
      <c r="D103" s="60">
        <v>44510</v>
      </c>
      <c r="E103" s="60">
        <f t="shared" si="3"/>
        <v>44875</v>
      </c>
      <c r="F103" s="50" t="s">
        <v>1595</v>
      </c>
      <c r="G103" s="56" t="s">
        <v>1601</v>
      </c>
      <c r="H103" s="47">
        <v>44</v>
      </c>
      <c r="I103" s="60">
        <v>29860</v>
      </c>
      <c r="J103" s="56" t="s">
        <v>1609</v>
      </c>
      <c r="K103" s="56">
        <v>2023</v>
      </c>
      <c r="L103" s="52">
        <f t="shared" si="4"/>
        <v>20922.467499999995</v>
      </c>
      <c r="M103" s="56">
        <f>LISTAS!$B$22*_xlfn.XLOOKUP(G103,LISTAS!$B$27:$B$36,LISTAS!$A$27:$A$36)*_xlfn.XLOOKUP(H103,LISTAS!$B$38:$B$47,LISTAS!$A$38:$A$47,,-1)*_xlfn.XLOOKUP(J103,LISTAS!$E$26:$H$26,LISTAS!$E$48:$H$48)*_xlfn.XLOOKUP(F103,LISTAS!$A$15:$A$18,LISTAS!$H$15:$H$18)</f>
        <v>1.3109999999999998E-2</v>
      </c>
      <c r="N103" s="54" cm="1">
        <f t="array" ref="N103">_xlfn.XLOOKUP(K103,LISTAS!$D$27:$D$47,_xlfn.XLOOKUP(J103,LISTAS!$E$26:$H$26,LISTAS!$E$27:$H$47))</f>
        <v>19151000</v>
      </c>
      <c r="O103" s="56" t="s">
        <v>1623</v>
      </c>
      <c r="P103" s="76" t="str">
        <f t="shared" ca="1" si="5"/>
        <v>Vencida</v>
      </c>
    </row>
    <row r="104" spans="1:16" x14ac:dyDescent="0.3">
      <c r="A104" s="58" t="s">
        <v>394</v>
      </c>
      <c r="B104" s="56" t="s">
        <v>93</v>
      </c>
      <c r="C104" s="50" t="str">
        <f>_xlfn.XLOOKUP(B104,CLIENTES!$A$2:$A$301,CLIENTES!$B$2:$B$301)</f>
        <v>Daniel Núñez</v>
      </c>
      <c r="D104" s="60">
        <v>45969</v>
      </c>
      <c r="E104" s="60">
        <f t="shared" si="3"/>
        <v>46334</v>
      </c>
      <c r="F104" s="50" t="s">
        <v>1595</v>
      </c>
      <c r="G104" s="56" t="s">
        <v>1607</v>
      </c>
      <c r="H104" s="47">
        <v>32</v>
      </c>
      <c r="I104" s="60">
        <v>34444</v>
      </c>
      <c r="J104" s="56" t="s">
        <v>1610</v>
      </c>
      <c r="K104" s="56">
        <v>2025</v>
      </c>
      <c r="L104" s="52">
        <f t="shared" si="4"/>
        <v>44528.000000000007</v>
      </c>
      <c r="M104" s="56">
        <f>LISTAS!$B$22*_xlfn.XLOOKUP(G104,LISTAS!$B$27:$B$36,LISTAS!$A$27:$A$36)*_xlfn.XLOOKUP(H104,LISTAS!$B$38:$B$47,LISTAS!$A$38:$A$47,,-1)*_xlfn.XLOOKUP(J104,LISTAS!$E$26:$H$26,LISTAS!$E$48:$H$48)*_xlfn.XLOOKUP(F104,LISTAS!$A$15:$A$18,LISTAS!$H$15:$H$18)</f>
        <v>1.4520000000000002E-2</v>
      </c>
      <c r="N104" s="54" cm="1">
        <f t="array" ref="N104">_xlfn.XLOOKUP(K104,LISTAS!$D$27:$D$47,_xlfn.XLOOKUP(J104,LISTAS!$E$26:$H$26,LISTAS!$E$27:$H$47))</f>
        <v>36800000</v>
      </c>
      <c r="O104" s="56" t="s">
        <v>1623</v>
      </c>
      <c r="P104" s="76" t="str">
        <f t="shared" ca="1" si="5"/>
        <v>Vigente</v>
      </c>
    </row>
    <row r="105" spans="1:16" x14ac:dyDescent="0.3">
      <c r="A105" s="58" t="s">
        <v>395</v>
      </c>
      <c r="B105" s="56" t="s">
        <v>37</v>
      </c>
      <c r="C105" s="50" t="str">
        <f>_xlfn.XLOOKUP(B105,CLIENTES!$A$2:$A$301,CLIENTES!$B$2:$B$301)</f>
        <v>Sebastián Medina</v>
      </c>
      <c r="D105" s="60">
        <v>45805</v>
      </c>
      <c r="E105" s="60">
        <f t="shared" si="3"/>
        <v>46170</v>
      </c>
      <c r="F105" s="50" t="s">
        <v>1597</v>
      </c>
      <c r="G105" s="56" t="s">
        <v>1602</v>
      </c>
      <c r="H105" s="47">
        <v>28</v>
      </c>
      <c r="I105" s="60">
        <v>35716</v>
      </c>
      <c r="J105" s="56" t="s">
        <v>1611</v>
      </c>
      <c r="K105" s="56">
        <v>2023</v>
      </c>
      <c r="L105" s="52">
        <f t="shared" si="4"/>
        <v>91574.868000000017</v>
      </c>
      <c r="M105" s="56">
        <f>LISTAS!$B$22*_xlfn.XLOOKUP(G105,LISTAS!$B$27:$B$36,LISTAS!$A$27:$A$36)*_xlfn.XLOOKUP(H105,LISTAS!$B$38:$B$47,LISTAS!$A$38:$A$47,,-1)*_xlfn.XLOOKUP(J105,LISTAS!$E$26:$H$26,LISTAS!$E$48:$H$48)*_xlfn.XLOOKUP(F105,LISTAS!$A$15:$A$18,LISTAS!$H$15:$H$18)</f>
        <v>3.1878000000000004E-2</v>
      </c>
      <c r="N105" s="54" cm="1">
        <f t="array" ref="N105">_xlfn.XLOOKUP(K105,LISTAS!$D$27:$D$47,_xlfn.XLOOKUP(J105,LISTAS!$E$26:$H$26,LISTAS!$E$27:$H$47))</f>
        <v>34472000</v>
      </c>
      <c r="O105" s="56" t="s">
        <v>1623</v>
      </c>
      <c r="P105" s="76" t="str">
        <f t="shared" ca="1" si="5"/>
        <v>Vencida</v>
      </c>
    </row>
    <row r="106" spans="1:16" x14ac:dyDescent="0.3">
      <c r="A106" s="58" t="s">
        <v>396</v>
      </c>
      <c r="B106" s="56" t="s">
        <v>59</v>
      </c>
      <c r="C106" s="50" t="str">
        <f>_xlfn.XLOOKUP(B106,CLIENTES!$A$2:$A$301,CLIENTES!$B$2:$B$301)</f>
        <v>Lautaro Arias</v>
      </c>
      <c r="D106" s="60">
        <v>46066</v>
      </c>
      <c r="E106" s="60">
        <f t="shared" si="3"/>
        <v>46431</v>
      </c>
      <c r="F106" s="50" t="s">
        <v>1595</v>
      </c>
      <c r="G106" s="56" t="s">
        <v>1601</v>
      </c>
      <c r="H106" s="47">
        <v>34</v>
      </c>
      <c r="I106" s="60">
        <v>33531</v>
      </c>
      <c r="J106" s="56" t="s">
        <v>1612</v>
      </c>
      <c r="K106" s="56">
        <v>2019</v>
      </c>
      <c r="L106" s="52">
        <f t="shared" si="4"/>
        <v>20298.075000000001</v>
      </c>
      <c r="M106" s="56">
        <f>LISTAS!$B$22*_xlfn.XLOOKUP(G106,LISTAS!$B$27:$B$36,LISTAS!$A$27:$A$36)*_xlfn.XLOOKUP(H106,LISTAS!$B$38:$B$47,LISTAS!$A$38:$A$47,,-1)*_xlfn.XLOOKUP(J106,LISTAS!$E$26:$H$26,LISTAS!$E$48:$H$48)*_xlfn.XLOOKUP(F106,LISTAS!$A$15:$A$18,LISTAS!$H$15:$H$18)</f>
        <v>1.4489999999999999E-2</v>
      </c>
      <c r="N106" s="54" cm="1">
        <f t="array" ref="N106">_xlfn.XLOOKUP(K106,LISTAS!$D$27:$D$47,_xlfn.XLOOKUP(J106,LISTAS!$E$26:$H$26,LISTAS!$E$27:$H$47))</f>
        <v>16810000</v>
      </c>
      <c r="O106" s="56" t="s">
        <v>1624</v>
      </c>
      <c r="P106" s="76" t="str">
        <f t="shared" ca="1" si="5"/>
        <v>Vigente</v>
      </c>
    </row>
    <row r="107" spans="1:16" x14ac:dyDescent="0.3">
      <c r="A107" s="58" t="s">
        <v>397</v>
      </c>
      <c r="B107" s="56" t="s">
        <v>213</v>
      </c>
      <c r="C107" s="50" t="str">
        <f>_xlfn.XLOOKUP(B107,CLIENTES!$A$2:$A$301,CLIENTES!$B$2:$B$301)</f>
        <v>Agustina Méndez</v>
      </c>
      <c r="D107" s="60">
        <v>45629</v>
      </c>
      <c r="E107" s="60">
        <f t="shared" si="3"/>
        <v>45994</v>
      </c>
      <c r="F107" s="50" t="s">
        <v>1596</v>
      </c>
      <c r="G107" s="56" t="s">
        <v>1605</v>
      </c>
      <c r="H107" s="47">
        <v>39</v>
      </c>
      <c r="I107" s="60">
        <v>32007</v>
      </c>
      <c r="J107" s="56" t="s">
        <v>1612</v>
      </c>
      <c r="K107" s="56">
        <v>2022</v>
      </c>
      <c r="L107" s="52">
        <f t="shared" si="4"/>
        <v>29863.496250000007</v>
      </c>
      <c r="M107" s="56">
        <f>LISTAS!$B$22*_xlfn.XLOOKUP(G107,LISTAS!$B$27:$B$36,LISTAS!$A$27:$A$36)*_xlfn.XLOOKUP(H107,LISTAS!$B$38:$B$47,LISTAS!$A$38:$A$47,,-1)*_xlfn.XLOOKUP(J107,LISTAS!$E$26:$H$26,LISTAS!$E$48:$H$48)*_xlfn.XLOOKUP(F107,LISTAS!$A$15:$A$18,LISTAS!$H$15:$H$18)</f>
        <v>1.6065000000000003E-2</v>
      </c>
      <c r="N107" s="54" cm="1">
        <f t="array" ref="N107">_xlfn.XLOOKUP(K107,LISTAS!$D$27:$D$47,_xlfn.XLOOKUP(J107,LISTAS!$E$26:$H$26,LISTAS!$E$27:$H$47))</f>
        <v>22307000</v>
      </c>
      <c r="O107" s="56" t="s">
        <v>1625</v>
      </c>
      <c r="P107" s="76" t="str">
        <f t="shared" ca="1" si="5"/>
        <v>Vencida</v>
      </c>
    </row>
    <row r="108" spans="1:16" x14ac:dyDescent="0.3">
      <c r="A108" s="58" t="s">
        <v>398</v>
      </c>
      <c r="B108" s="56" t="s">
        <v>236</v>
      </c>
      <c r="C108" s="50" t="str">
        <f>_xlfn.XLOOKUP(B108,CLIENTES!$A$2:$A$301,CLIENTES!$B$2:$B$301)</f>
        <v>Joaquín Herrera</v>
      </c>
      <c r="D108" s="60">
        <v>45854</v>
      </c>
      <c r="E108" s="60">
        <f t="shared" si="3"/>
        <v>46219</v>
      </c>
      <c r="F108" s="50" t="s">
        <v>1597</v>
      </c>
      <c r="G108" s="56" t="s">
        <v>1605</v>
      </c>
      <c r="H108" s="47">
        <v>75</v>
      </c>
      <c r="I108" s="60">
        <v>18681</v>
      </c>
      <c r="J108" s="56" t="s">
        <v>1611</v>
      </c>
      <c r="K108" s="56">
        <v>2022</v>
      </c>
      <c r="L108" s="52">
        <f t="shared" si="4"/>
        <v>86307.882375000016</v>
      </c>
      <c r="M108" s="56">
        <f>LISTAS!$B$22*_xlfn.XLOOKUP(G108,LISTAS!$B$27:$B$36,LISTAS!$A$27:$A$36)*_xlfn.XLOOKUP(H108,LISTAS!$B$38:$B$47,LISTAS!$A$38:$A$47,,-1)*_xlfn.XLOOKUP(J108,LISTAS!$E$26:$H$26,LISTAS!$E$48:$H$48)*_xlfn.XLOOKUP(F108,LISTAS!$A$15:$A$18,LISTAS!$H$15:$H$18)</f>
        <v>3.3016500000000004E-2</v>
      </c>
      <c r="N108" s="54" cm="1">
        <f t="array" ref="N108">_xlfn.XLOOKUP(K108,LISTAS!$D$27:$D$47,_xlfn.XLOOKUP(J108,LISTAS!$E$26:$H$26,LISTAS!$E$27:$H$47))</f>
        <v>31369000</v>
      </c>
      <c r="O108" s="56" t="s">
        <v>1623</v>
      </c>
      <c r="P108" s="76" t="str">
        <f t="shared" ca="1" si="5"/>
        <v>Vencida</v>
      </c>
    </row>
    <row r="109" spans="1:16" x14ac:dyDescent="0.3">
      <c r="A109" s="58" t="s">
        <v>399</v>
      </c>
      <c r="B109" s="56" t="s">
        <v>185</v>
      </c>
      <c r="C109" s="50" t="str">
        <f>_xlfn.XLOOKUP(B109,CLIENTES!$A$2:$A$301,CLIENTES!$B$2:$B$301)</f>
        <v>Mateo Gómez</v>
      </c>
      <c r="D109" s="60">
        <v>44942</v>
      </c>
      <c r="E109" s="60">
        <f t="shared" si="3"/>
        <v>45307</v>
      </c>
      <c r="F109" s="50" t="s">
        <v>1597</v>
      </c>
      <c r="G109" s="56" t="s">
        <v>1602</v>
      </c>
      <c r="H109" s="47">
        <v>66</v>
      </c>
      <c r="I109" s="60">
        <v>22004</v>
      </c>
      <c r="J109" s="56" t="s">
        <v>1612</v>
      </c>
      <c r="K109" s="56">
        <v>2012</v>
      </c>
      <c r="L109" s="52">
        <f t="shared" si="4"/>
        <v>21440.611500000003</v>
      </c>
      <c r="M109" s="56">
        <f>LISTAS!$B$22*_xlfn.XLOOKUP(G109,LISTAS!$B$27:$B$36,LISTAS!$A$27:$A$36)*_xlfn.XLOOKUP(H109,LISTAS!$B$38:$B$47,LISTAS!$A$38:$A$47,,-1)*_xlfn.XLOOKUP(J109,LISTAS!$E$26:$H$26,LISTAS!$E$48:$H$48)*_xlfn.XLOOKUP(F109,LISTAS!$A$15:$A$18,LISTAS!$H$15:$H$18)</f>
        <v>2.7893250000000005E-2</v>
      </c>
      <c r="N109" s="54" cm="1">
        <f t="array" ref="N109">_xlfn.XLOOKUP(K109,LISTAS!$D$27:$D$47,_xlfn.XLOOKUP(J109,LISTAS!$E$26:$H$26,LISTAS!$E$27:$H$47))</f>
        <v>9224000</v>
      </c>
      <c r="O109" s="56" t="s">
        <v>1623</v>
      </c>
      <c r="P109" s="76" t="str">
        <f t="shared" ca="1" si="5"/>
        <v>Vencida</v>
      </c>
    </row>
    <row r="110" spans="1:16" x14ac:dyDescent="0.3">
      <c r="A110" s="58" t="s">
        <v>400</v>
      </c>
      <c r="B110" s="56" t="s">
        <v>245</v>
      </c>
      <c r="C110" s="50" t="str">
        <f>_xlfn.XLOOKUP(B110,CLIENTES!$A$2:$A$301,CLIENTES!$B$2:$B$301)</f>
        <v>Ignacio Campos</v>
      </c>
      <c r="D110" s="60">
        <v>44683</v>
      </c>
      <c r="E110" s="60">
        <f t="shared" si="3"/>
        <v>45048</v>
      </c>
      <c r="F110" s="50" t="s">
        <v>1597</v>
      </c>
      <c r="G110" s="56" t="s">
        <v>1606</v>
      </c>
      <c r="H110" s="47">
        <v>60</v>
      </c>
      <c r="I110" s="60">
        <v>24288</v>
      </c>
      <c r="J110" s="56" t="s">
        <v>1610</v>
      </c>
      <c r="K110" s="56">
        <v>2020</v>
      </c>
      <c r="L110" s="52">
        <f t="shared" si="4"/>
        <v>48895.192500000012</v>
      </c>
      <c r="M110" s="56">
        <f>LISTAS!$B$22*_xlfn.XLOOKUP(G110,LISTAS!$B$27:$B$36,LISTAS!$A$27:$A$36)*_xlfn.XLOOKUP(H110,LISTAS!$B$38:$B$47,LISTAS!$A$38:$A$47,,-1)*_xlfn.XLOOKUP(J110,LISTAS!$E$26:$H$26,LISTAS!$E$48:$H$48)*_xlfn.XLOOKUP(F110,LISTAS!$A$15:$A$18,LISTAS!$H$15:$H$18)</f>
        <v>2.5410000000000005E-2</v>
      </c>
      <c r="N110" s="54" cm="1">
        <f t="array" ref="N110">_xlfn.XLOOKUP(K110,LISTAS!$D$27:$D$47,_xlfn.XLOOKUP(J110,LISTAS!$E$26:$H$26,LISTAS!$E$27:$H$47))</f>
        <v>23091000</v>
      </c>
      <c r="O110" s="56" t="s">
        <v>1625</v>
      </c>
      <c r="P110" s="76" t="str">
        <f t="shared" ca="1" si="5"/>
        <v>Vencida</v>
      </c>
    </row>
    <row r="111" spans="1:16" x14ac:dyDescent="0.3">
      <c r="A111" s="58" t="s">
        <v>401</v>
      </c>
      <c r="B111" s="56" t="s">
        <v>218</v>
      </c>
      <c r="C111" s="50" t="str">
        <f>_xlfn.XLOOKUP(B111,CLIENTES!$A$2:$A$301,CLIENTES!$B$2:$B$301)</f>
        <v>Carolina Vera</v>
      </c>
      <c r="D111" s="60">
        <v>45741</v>
      </c>
      <c r="E111" s="60">
        <f t="shared" si="3"/>
        <v>46106</v>
      </c>
      <c r="F111" s="50" t="s">
        <v>1595</v>
      </c>
      <c r="G111" s="56" t="s">
        <v>1604</v>
      </c>
      <c r="H111" s="47">
        <v>21</v>
      </c>
      <c r="I111" s="60">
        <v>38469</v>
      </c>
      <c r="J111" s="56" t="s">
        <v>1609</v>
      </c>
      <c r="K111" s="56">
        <v>2026</v>
      </c>
      <c r="L111" s="52">
        <f t="shared" si="4"/>
        <v>35437.5</v>
      </c>
      <c r="M111" s="56">
        <f>LISTAS!$B$22*_xlfn.XLOOKUP(G111,LISTAS!$B$27:$B$36,LISTAS!$A$27:$A$36)*_xlfn.XLOOKUP(H111,LISTAS!$B$38:$B$47,LISTAS!$A$38:$A$47,,-1)*_xlfn.XLOOKUP(J111,LISTAS!$E$26:$H$26,LISTAS!$E$48:$H$48)*_xlfn.XLOOKUP(F111,LISTAS!$A$15:$A$18,LISTAS!$H$15:$H$18)</f>
        <v>1.7010000000000001E-2</v>
      </c>
      <c r="N111" s="54" cm="1">
        <f t="array" ref="N111">_xlfn.XLOOKUP(K111,LISTAS!$D$27:$D$47,_xlfn.XLOOKUP(J111,LISTAS!$E$26:$H$26,LISTAS!$E$27:$H$47))</f>
        <v>25000000</v>
      </c>
      <c r="O111" s="56" t="s">
        <v>1623</v>
      </c>
      <c r="P111" s="76" t="str">
        <f t="shared" ca="1" si="5"/>
        <v>Vencida</v>
      </c>
    </row>
    <row r="112" spans="1:16" x14ac:dyDescent="0.3">
      <c r="A112" s="58" t="s">
        <v>402</v>
      </c>
      <c r="B112" s="56" t="s">
        <v>272</v>
      </c>
      <c r="C112" s="50" t="str">
        <f>_xlfn.XLOOKUP(B112,CLIENTES!$A$2:$A$301,CLIENTES!$B$2:$B$301)</f>
        <v>Catalina Miranda</v>
      </c>
      <c r="D112" s="60">
        <v>46169</v>
      </c>
      <c r="E112" s="60">
        <f t="shared" si="3"/>
        <v>46534</v>
      </c>
      <c r="F112" s="50" t="s">
        <v>1598</v>
      </c>
      <c r="G112" s="56" t="s">
        <v>1608</v>
      </c>
      <c r="H112" s="47">
        <v>70</v>
      </c>
      <c r="I112" s="60">
        <v>20561</v>
      </c>
      <c r="J112" s="56" t="s">
        <v>1611</v>
      </c>
      <c r="K112" s="56">
        <v>2020</v>
      </c>
      <c r="L112" s="52">
        <f t="shared" si="4"/>
        <v>86085.613249999995</v>
      </c>
      <c r="M112" s="56">
        <f>LISTAS!$B$22*_xlfn.XLOOKUP(G112,LISTAS!$B$27:$B$36,LISTAS!$A$27:$A$36)*_xlfn.XLOOKUP(H112,LISTAS!$B$38:$B$47,LISTAS!$A$38:$A$47,,-1)*_xlfn.XLOOKUP(J112,LISTAS!$E$26:$H$26,LISTAS!$E$48:$H$48)*_xlfn.XLOOKUP(F112,LISTAS!$A$15:$A$18,LISTAS!$H$15:$H$18)</f>
        <v>3.9766999999999997E-2</v>
      </c>
      <c r="N112" s="54" cm="1">
        <f t="array" ref="N112">_xlfn.XLOOKUP(K112,LISTAS!$D$27:$D$47,_xlfn.XLOOKUP(J112,LISTAS!$E$26:$H$26,LISTAS!$E$27:$H$47))</f>
        <v>25977000</v>
      </c>
      <c r="O112" s="56" t="s">
        <v>1624</v>
      </c>
      <c r="P112" s="76" t="str">
        <f t="shared" ca="1" si="5"/>
        <v>Vigente</v>
      </c>
    </row>
    <row r="113" spans="1:16" x14ac:dyDescent="0.3">
      <c r="A113" s="58" t="s">
        <v>403</v>
      </c>
      <c r="B113" s="56" t="s">
        <v>251</v>
      </c>
      <c r="C113" s="50" t="str">
        <f>_xlfn.XLOOKUP(B113,CLIENTES!$A$2:$A$301,CLIENTES!$B$2:$B$301)</f>
        <v>Camila Correa</v>
      </c>
      <c r="D113" s="60">
        <v>46242</v>
      </c>
      <c r="E113" s="60">
        <f t="shared" si="3"/>
        <v>46607</v>
      </c>
      <c r="F113" s="50" t="s">
        <v>1597</v>
      </c>
      <c r="G113" s="56" t="s">
        <v>1600</v>
      </c>
      <c r="H113" s="47">
        <v>58</v>
      </c>
      <c r="I113" s="60">
        <v>24746</v>
      </c>
      <c r="J113" s="56" t="s">
        <v>1610</v>
      </c>
      <c r="K113" s="56">
        <v>2024</v>
      </c>
      <c r="L113" s="52">
        <f t="shared" si="4"/>
        <v>78090.98000000001</v>
      </c>
      <c r="M113" s="56">
        <f>LISTAS!$B$22*_xlfn.XLOOKUP(G113,LISTAS!$B$27:$B$36,LISTAS!$A$27:$A$36)*_xlfn.XLOOKUP(H113,LISTAS!$B$38:$B$47,LISTAS!$A$38:$A$47,,-1)*_xlfn.XLOOKUP(J113,LISTAS!$E$26:$H$26,LISTAS!$E$48:$H$48)*_xlfn.XLOOKUP(F113,LISTAS!$A$15:$A$18,LISTAS!$H$15:$H$18)</f>
        <v>2.7830000000000004E-2</v>
      </c>
      <c r="N113" s="54" cm="1">
        <f t="array" ref="N113">_xlfn.XLOOKUP(K113,LISTAS!$D$27:$D$47,_xlfn.XLOOKUP(J113,LISTAS!$E$26:$H$26,LISTAS!$E$27:$H$47))</f>
        <v>33672000</v>
      </c>
      <c r="O113" s="56" t="s">
        <v>1624</v>
      </c>
      <c r="P113" s="76" t="str">
        <f t="shared" ca="1" si="5"/>
        <v>Vigente</v>
      </c>
    </row>
    <row r="114" spans="1:16" x14ac:dyDescent="0.3">
      <c r="A114" s="58" t="s">
        <v>404</v>
      </c>
      <c r="B114" s="56" t="s">
        <v>206</v>
      </c>
      <c r="C114" s="50" t="str">
        <f>_xlfn.XLOOKUP(B114,CLIENTES!$A$2:$A$301,CLIENTES!$B$2:$B$301)</f>
        <v>Pedro Díaz</v>
      </c>
      <c r="D114" s="60">
        <v>45798</v>
      </c>
      <c r="E114" s="60">
        <f t="shared" si="3"/>
        <v>46163</v>
      </c>
      <c r="F114" s="50" t="s">
        <v>1596</v>
      </c>
      <c r="G114" s="56" t="s">
        <v>1600</v>
      </c>
      <c r="H114" s="47">
        <v>73</v>
      </c>
      <c r="I114" s="60">
        <v>19304</v>
      </c>
      <c r="J114" s="56" t="s">
        <v>1610</v>
      </c>
      <c r="K114" s="56">
        <v>2018</v>
      </c>
      <c r="L114" s="52">
        <f t="shared" si="4"/>
        <v>47972.99558333333</v>
      </c>
      <c r="M114" s="56">
        <f>LISTAS!$B$22*_xlfn.XLOOKUP(G114,LISTAS!$B$27:$B$36,LISTAS!$A$27:$A$36)*_xlfn.XLOOKUP(H114,LISTAS!$B$38:$B$47,LISTAS!$A$38:$A$47,,-1)*_xlfn.XLOOKUP(J114,LISTAS!$E$26:$H$26,LISTAS!$E$48:$H$48)*_xlfn.XLOOKUP(F114,LISTAS!$A$15:$A$18,LISTAS!$H$15:$H$18)</f>
        <v>3.0106999999999998E-2</v>
      </c>
      <c r="N114" s="54" cm="1">
        <f t="array" ref="N114">_xlfn.XLOOKUP(K114,LISTAS!$D$27:$D$47,_xlfn.XLOOKUP(J114,LISTAS!$E$26:$H$26,LISTAS!$E$27:$H$47))</f>
        <v>19121000</v>
      </c>
      <c r="O114" s="56" t="s">
        <v>1623</v>
      </c>
      <c r="P114" s="76" t="str">
        <f t="shared" ca="1" si="5"/>
        <v>Vencida</v>
      </c>
    </row>
    <row r="115" spans="1:16" x14ac:dyDescent="0.3">
      <c r="A115" s="58" t="s">
        <v>405</v>
      </c>
      <c r="B115" s="56" t="s">
        <v>66</v>
      </c>
      <c r="C115" s="50" t="str">
        <f>_xlfn.XLOOKUP(B115,CLIENTES!$A$2:$A$301,CLIENTES!$B$2:$B$301)</f>
        <v>Tomás Pérez</v>
      </c>
      <c r="D115" s="60">
        <v>45395</v>
      </c>
      <c r="E115" s="60">
        <f t="shared" si="3"/>
        <v>45760</v>
      </c>
      <c r="F115" s="50" t="s">
        <v>1596</v>
      </c>
      <c r="G115" s="56" t="s">
        <v>1606</v>
      </c>
      <c r="H115" s="47">
        <v>21</v>
      </c>
      <c r="I115" s="60">
        <v>38538</v>
      </c>
      <c r="J115" s="56" t="s">
        <v>1609</v>
      </c>
      <c r="K115" s="56">
        <v>2022</v>
      </c>
      <c r="L115" s="52">
        <f t="shared" si="4"/>
        <v>33329.137500000004</v>
      </c>
      <c r="M115" s="56">
        <f>LISTAS!$B$22*_xlfn.XLOOKUP(G115,LISTAS!$B$27:$B$36,LISTAS!$A$27:$A$36)*_xlfn.XLOOKUP(H115,LISTAS!$B$38:$B$47,LISTAS!$A$38:$A$47,,-1)*_xlfn.XLOOKUP(J115,LISTAS!$E$26:$H$26,LISTAS!$E$48:$H$48)*_xlfn.XLOOKUP(F115,LISTAS!$A$15:$A$18,LISTAS!$H$15:$H$18)</f>
        <v>2.2950000000000002E-2</v>
      </c>
      <c r="N115" s="54" cm="1">
        <f t="array" ref="N115">_xlfn.XLOOKUP(K115,LISTAS!$D$27:$D$47,_xlfn.XLOOKUP(J115,LISTAS!$E$26:$H$26,LISTAS!$E$27:$H$47))</f>
        <v>17427000</v>
      </c>
      <c r="O115" s="56" t="s">
        <v>1623</v>
      </c>
      <c r="P115" s="76" t="str">
        <f t="shared" ca="1" si="5"/>
        <v>Vencida</v>
      </c>
    </row>
    <row r="116" spans="1:16" x14ac:dyDescent="0.3">
      <c r="A116" s="58" t="s">
        <v>406</v>
      </c>
      <c r="B116" s="56" t="s">
        <v>248</v>
      </c>
      <c r="C116" s="50" t="str">
        <f>_xlfn.XLOOKUP(B116,CLIENTES!$A$2:$A$301,CLIENTES!$B$2:$B$301)</f>
        <v>Sebastián Acosta</v>
      </c>
      <c r="D116" s="60">
        <v>44999</v>
      </c>
      <c r="E116" s="60">
        <f t="shared" si="3"/>
        <v>45365</v>
      </c>
      <c r="F116" s="50" t="s">
        <v>1596</v>
      </c>
      <c r="G116" s="56" t="s">
        <v>1608</v>
      </c>
      <c r="H116" s="47">
        <v>61</v>
      </c>
      <c r="I116" s="60">
        <v>23968</v>
      </c>
      <c r="J116" s="56" t="s">
        <v>1611</v>
      </c>
      <c r="K116" s="56">
        <v>2025</v>
      </c>
      <c r="L116" s="52">
        <f t="shared" si="4"/>
        <v>67278.881249999991</v>
      </c>
      <c r="M116" s="56">
        <f>LISTAS!$B$22*_xlfn.XLOOKUP(G116,LISTAS!$B$27:$B$36,LISTAS!$A$27:$A$36)*_xlfn.XLOOKUP(H116,LISTAS!$B$38:$B$47,LISTAS!$A$38:$A$47,,-1)*_xlfn.XLOOKUP(J116,LISTAS!$E$26:$H$26,LISTAS!$E$48:$H$48)*_xlfn.XLOOKUP(F116,LISTAS!$A$15:$A$18,LISTAS!$H$15:$H$18)</f>
        <v>1.9501124999999998E-2</v>
      </c>
      <c r="N116" s="54" cm="1">
        <f t="array" ref="N116">_xlfn.XLOOKUP(K116,LISTAS!$D$27:$D$47,_xlfn.XLOOKUP(J116,LISTAS!$E$26:$H$26,LISTAS!$E$27:$H$47))</f>
        <v>41400000</v>
      </c>
      <c r="O116" s="56" t="s">
        <v>1624</v>
      </c>
      <c r="P116" s="76" t="str">
        <f t="shared" ca="1" si="5"/>
        <v>Vencida</v>
      </c>
    </row>
    <row r="117" spans="1:16" x14ac:dyDescent="0.3">
      <c r="A117" s="58" t="s">
        <v>407</v>
      </c>
      <c r="B117" s="56" t="s">
        <v>167</v>
      </c>
      <c r="C117" s="50" t="str">
        <f>_xlfn.XLOOKUP(B117,CLIENTES!$A$2:$A$301,CLIENTES!$B$2:$B$301)</f>
        <v>Diego Herrera</v>
      </c>
      <c r="D117" s="60">
        <v>45949</v>
      </c>
      <c r="E117" s="60">
        <f t="shared" si="3"/>
        <v>46314</v>
      </c>
      <c r="F117" s="50" t="s">
        <v>1596</v>
      </c>
      <c r="G117" s="56" t="s">
        <v>1607</v>
      </c>
      <c r="H117" s="47">
        <v>35</v>
      </c>
      <c r="I117" s="60">
        <v>33181</v>
      </c>
      <c r="J117" s="56" t="s">
        <v>1610</v>
      </c>
      <c r="K117" s="56">
        <v>2022</v>
      </c>
      <c r="L117" s="52">
        <f t="shared" si="4"/>
        <v>47797.823333333334</v>
      </c>
      <c r="M117" s="56">
        <f>LISTAS!$B$22*_xlfn.XLOOKUP(G117,LISTAS!$B$27:$B$36,LISTAS!$A$27:$A$36)*_xlfn.XLOOKUP(H117,LISTAS!$B$38:$B$47,LISTAS!$A$38:$A$47,,-1)*_xlfn.XLOOKUP(J117,LISTAS!$E$26:$H$26,LISTAS!$E$48:$H$48)*_xlfn.XLOOKUP(F117,LISTAS!$A$15:$A$18,LISTAS!$H$15:$H$18)</f>
        <v>2.0570000000000001E-2</v>
      </c>
      <c r="N117" s="54" cm="1">
        <f t="array" ref="N117">_xlfn.XLOOKUP(K117,LISTAS!$D$27:$D$47,_xlfn.XLOOKUP(J117,LISTAS!$E$26:$H$26,LISTAS!$E$27:$H$47))</f>
        <v>27884000</v>
      </c>
      <c r="O117" s="56" t="s">
        <v>1626</v>
      </c>
      <c r="P117" s="76" t="str">
        <f t="shared" ca="1" si="5"/>
        <v>Vigente</v>
      </c>
    </row>
    <row r="118" spans="1:16" x14ac:dyDescent="0.3">
      <c r="A118" s="58" t="s">
        <v>408</v>
      </c>
      <c r="B118" s="56" t="s">
        <v>23</v>
      </c>
      <c r="C118" s="50" t="str">
        <f>_xlfn.XLOOKUP(B118,CLIENTES!$A$2:$A$301,CLIENTES!$B$2:$B$301)</f>
        <v>Tomás Álvarez</v>
      </c>
      <c r="D118" s="60">
        <v>45702</v>
      </c>
      <c r="E118" s="60">
        <f t="shared" si="3"/>
        <v>46067</v>
      </c>
      <c r="F118" s="50" t="s">
        <v>1597</v>
      </c>
      <c r="G118" s="56" t="s">
        <v>1608</v>
      </c>
      <c r="H118" s="47">
        <v>47</v>
      </c>
      <c r="I118" s="60">
        <v>28966</v>
      </c>
      <c r="J118" s="56" t="s">
        <v>1611</v>
      </c>
      <c r="K118" s="56">
        <v>2024</v>
      </c>
      <c r="L118" s="52">
        <f t="shared" si="4"/>
        <v>72078.861937499998</v>
      </c>
      <c r="M118" s="56">
        <f>LISTAS!$B$22*_xlfn.XLOOKUP(G118,LISTAS!$B$27:$B$36,LISTAS!$A$27:$A$36)*_xlfn.XLOOKUP(H118,LISTAS!$B$38:$B$47,LISTAS!$A$38:$A$47,,-1)*_xlfn.XLOOKUP(J118,LISTAS!$E$26:$H$26,LISTAS!$E$48:$H$48)*_xlfn.XLOOKUP(F118,LISTAS!$A$15:$A$18,LISTAS!$H$15:$H$18)</f>
        <v>2.2833249999999999E-2</v>
      </c>
      <c r="N118" s="54" cm="1">
        <f t="array" ref="N118">_xlfn.XLOOKUP(K118,LISTAS!$D$27:$D$47,_xlfn.XLOOKUP(J118,LISTAS!$E$26:$H$26,LISTAS!$E$27:$H$47))</f>
        <v>37881000</v>
      </c>
      <c r="O118" s="56" t="s">
        <v>1624</v>
      </c>
      <c r="P118" s="76" t="str">
        <f t="shared" ca="1" si="5"/>
        <v>Vencida</v>
      </c>
    </row>
    <row r="119" spans="1:16" x14ac:dyDescent="0.3">
      <c r="A119" s="58" t="s">
        <v>409</v>
      </c>
      <c r="B119" s="56" t="s">
        <v>259</v>
      </c>
      <c r="C119" s="50" t="str">
        <f>_xlfn.XLOOKUP(B119,CLIENTES!$A$2:$A$301,CLIENTES!$B$2:$B$301)</f>
        <v>Sebastián Benítez</v>
      </c>
      <c r="D119" s="60">
        <v>46157</v>
      </c>
      <c r="E119" s="60">
        <f t="shared" si="3"/>
        <v>46522</v>
      </c>
      <c r="F119" s="50" t="s">
        <v>1597</v>
      </c>
      <c r="G119" s="56" t="s">
        <v>1605</v>
      </c>
      <c r="H119" s="47">
        <v>25</v>
      </c>
      <c r="I119" s="60">
        <v>37013</v>
      </c>
      <c r="J119" s="56" t="s">
        <v>1611</v>
      </c>
      <c r="K119" s="56">
        <v>2025</v>
      </c>
      <c r="L119" s="52">
        <f t="shared" si="4"/>
        <v>94267.8</v>
      </c>
      <c r="M119" s="56">
        <f>LISTAS!$B$22*_xlfn.XLOOKUP(G119,LISTAS!$B$27:$B$36,LISTAS!$A$27:$A$36)*_xlfn.XLOOKUP(H119,LISTAS!$B$38:$B$47,LISTAS!$A$38:$A$47,,-1)*_xlfn.XLOOKUP(J119,LISTAS!$E$26:$H$26,LISTAS!$E$48:$H$48)*_xlfn.XLOOKUP(F119,LISTAS!$A$15:$A$18,LISTAS!$H$15:$H$18)</f>
        <v>2.7324000000000005E-2</v>
      </c>
      <c r="N119" s="54" cm="1">
        <f t="array" ref="N119">_xlfn.XLOOKUP(K119,LISTAS!$D$27:$D$47,_xlfn.XLOOKUP(J119,LISTAS!$E$26:$H$26,LISTAS!$E$27:$H$47))</f>
        <v>41400000</v>
      </c>
      <c r="O119" s="56" t="s">
        <v>1623</v>
      </c>
      <c r="P119" s="76" t="str">
        <f t="shared" ca="1" si="5"/>
        <v>Vigente</v>
      </c>
    </row>
    <row r="120" spans="1:16" x14ac:dyDescent="0.3">
      <c r="A120" s="58" t="s">
        <v>410</v>
      </c>
      <c r="B120" s="56" t="s">
        <v>238</v>
      </c>
      <c r="C120" s="50" t="str">
        <f>_xlfn.XLOOKUP(B120,CLIENTES!$A$2:$A$301,CLIENTES!$B$2:$B$301)</f>
        <v>Victoria Campos</v>
      </c>
      <c r="D120" s="60">
        <v>45091</v>
      </c>
      <c r="E120" s="60">
        <f t="shared" si="3"/>
        <v>45457</v>
      </c>
      <c r="F120" s="50" t="s">
        <v>1598</v>
      </c>
      <c r="G120" s="56" t="s">
        <v>1607</v>
      </c>
      <c r="H120" s="47">
        <v>40</v>
      </c>
      <c r="I120" s="60">
        <v>31443</v>
      </c>
      <c r="J120" s="56" t="s">
        <v>1612</v>
      </c>
      <c r="K120" s="56">
        <v>2025</v>
      </c>
      <c r="L120" s="52">
        <f t="shared" si="4"/>
        <v>69989.920000000013</v>
      </c>
      <c r="M120" s="56">
        <f>LISTAS!$B$22*_xlfn.XLOOKUP(G120,LISTAS!$B$27:$B$36,LISTAS!$A$27:$A$36)*_xlfn.XLOOKUP(H120,LISTAS!$B$38:$B$47,LISTAS!$A$38:$A$47,,-1)*_xlfn.XLOOKUP(J120,LISTAS!$E$26:$H$26,LISTAS!$E$48:$H$48)*_xlfn.XLOOKUP(F120,LISTAS!$A$15:$A$18,LISTAS!$H$15:$H$18)</f>
        <v>2.8528500000000005E-2</v>
      </c>
      <c r="N120" s="54" cm="1">
        <f t="array" ref="N120">_xlfn.XLOOKUP(K120,LISTAS!$D$27:$D$47,_xlfn.XLOOKUP(J120,LISTAS!$E$26:$H$26,LISTAS!$E$27:$H$47))</f>
        <v>29440000</v>
      </c>
      <c r="O120" s="56" t="s">
        <v>1624</v>
      </c>
      <c r="P120" s="76" t="str">
        <f t="shared" ca="1" si="5"/>
        <v>Vencida</v>
      </c>
    </row>
    <row r="121" spans="1:16" x14ac:dyDescent="0.3">
      <c r="A121" s="58" t="s">
        <v>411</v>
      </c>
      <c r="B121" s="56" t="s">
        <v>105</v>
      </c>
      <c r="C121" s="50" t="str">
        <f>_xlfn.XLOOKUP(B121,CLIENTES!$A$2:$A$301,CLIENTES!$B$2:$B$301)</f>
        <v>Sofía Arias</v>
      </c>
      <c r="D121" s="60">
        <v>45803</v>
      </c>
      <c r="E121" s="60">
        <f t="shared" si="3"/>
        <v>46168</v>
      </c>
      <c r="F121" s="50" t="s">
        <v>1595</v>
      </c>
      <c r="G121" s="56" t="s">
        <v>1606</v>
      </c>
      <c r="H121" s="47">
        <v>20</v>
      </c>
      <c r="I121" s="60">
        <v>38723</v>
      </c>
      <c r="J121" s="56" t="s">
        <v>1610</v>
      </c>
      <c r="K121" s="56">
        <v>2022</v>
      </c>
      <c r="L121" s="52">
        <f t="shared" si="4"/>
        <v>46008.600000000006</v>
      </c>
      <c r="M121" s="56">
        <f>LISTAS!$B$22*_xlfn.XLOOKUP(G121,LISTAS!$B$27:$B$36,LISTAS!$A$27:$A$36)*_xlfn.XLOOKUP(H121,LISTAS!$B$38:$B$47,LISTAS!$A$38:$A$47,,-1)*_xlfn.XLOOKUP(J121,LISTAS!$E$26:$H$26,LISTAS!$E$48:$H$48)*_xlfn.XLOOKUP(F121,LISTAS!$A$15:$A$18,LISTAS!$H$15:$H$18)</f>
        <v>1.9800000000000002E-2</v>
      </c>
      <c r="N121" s="54" cm="1">
        <f t="array" ref="N121">_xlfn.XLOOKUP(K121,LISTAS!$D$27:$D$47,_xlfn.XLOOKUP(J121,LISTAS!$E$26:$H$26,LISTAS!$E$27:$H$47))</f>
        <v>27884000</v>
      </c>
      <c r="O121" s="56" t="s">
        <v>1624</v>
      </c>
      <c r="P121" s="76" t="str">
        <f t="shared" ca="1" si="5"/>
        <v>Vencida</v>
      </c>
    </row>
    <row r="122" spans="1:16" x14ac:dyDescent="0.3">
      <c r="A122" s="58" t="s">
        <v>412</v>
      </c>
      <c r="B122" s="56" t="s">
        <v>276</v>
      </c>
      <c r="C122" s="50" t="str">
        <f>_xlfn.XLOOKUP(B122,CLIENTES!$A$2:$A$301,CLIENTES!$B$2:$B$301)</f>
        <v>Agustina Bravo</v>
      </c>
      <c r="D122" s="60">
        <v>44983</v>
      </c>
      <c r="E122" s="60">
        <f t="shared" si="3"/>
        <v>45348</v>
      </c>
      <c r="F122" s="50" t="s">
        <v>1595</v>
      </c>
      <c r="G122" s="56" t="s">
        <v>1606</v>
      </c>
      <c r="H122" s="47">
        <v>43</v>
      </c>
      <c r="I122" s="60">
        <v>30483</v>
      </c>
      <c r="J122" s="56" t="s">
        <v>1609</v>
      </c>
      <c r="K122" s="56">
        <v>2025</v>
      </c>
      <c r="L122" s="52">
        <f t="shared" si="4"/>
        <v>21849.999999999996</v>
      </c>
      <c r="M122" s="56">
        <f>LISTAS!$B$22*_xlfn.XLOOKUP(G122,LISTAS!$B$27:$B$36,LISTAS!$A$27:$A$36)*_xlfn.XLOOKUP(H122,LISTAS!$B$38:$B$47,LISTAS!$A$38:$A$47,,-1)*_xlfn.XLOOKUP(J122,LISTAS!$E$26:$H$26,LISTAS!$E$48:$H$48)*_xlfn.XLOOKUP(F122,LISTAS!$A$15:$A$18,LISTAS!$H$15:$H$18)</f>
        <v>1.1399999999999999E-2</v>
      </c>
      <c r="N122" s="54" cm="1">
        <f t="array" ref="N122">_xlfn.XLOOKUP(K122,LISTAS!$D$27:$D$47,_xlfn.XLOOKUP(J122,LISTAS!$E$26:$H$26,LISTAS!$E$27:$H$47))</f>
        <v>23000000</v>
      </c>
      <c r="O122" s="56" t="s">
        <v>1623</v>
      </c>
      <c r="P122" s="76" t="str">
        <f t="shared" ca="1" si="5"/>
        <v>Vencida</v>
      </c>
    </row>
    <row r="123" spans="1:16" x14ac:dyDescent="0.3">
      <c r="A123" s="58" t="s">
        <v>413</v>
      </c>
      <c r="B123" s="56" t="s">
        <v>150</v>
      </c>
      <c r="C123" s="50" t="str">
        <f>_xlfn.XLOOKUP(B123,CLIENTES!$A$2:$A$301,CLIENTES!$B$2:$B$301)</f>
        <v>Martín Cabrera</v>
      </c>
      <c r="D123" s="60">
        <v>46243</v>
      </c>
      <c r="E123" s="60">
        <f t="shared" si="3"/>
        <v>46608</v>
      </c>
      <c r="F123" s="50" t="s">
        <v>1596</v>
      </c>
      <c r="G123" s="56" t="s">
        <v>1605</v>
      </c>
      <c r="H123" s="47">
        <v>35</v>
      </c>
      <c r="I123" s="60">
        <v>33415</v>
      </c>
      <c r="J123" s="56" t="s">
        <v>1611</v>
      </c>
      <c r="K123" s="56">
        <v>2022</v>
      </c>
      <c r="L123" s="52">
        <f t="shared" si="4"/>
        <v>45994.796249999992</v>
      </c>
      <c r="M123" s="56">
        <f>LISTAS!$B$22*_xlfn.XLOOKUP(G123,LISTAS!$B$27:$B$36,LISTAS!$A$27:$A$36)*_xlfn.XLOOKUP(H123,LISTAS!$B$38:$B$47,LISTAS!$A$38:$A$47,,-1)*_xlfn.XLOOKUP(J123,LISTAS!$E$26:$H$26,LISTAS!$E$48:$H$48)*_xlfn.XLOOKUP(F123,LISTAS!$A$15:$A$18,LISTAS!$H$15:$H$18)</f>
        <v>1.7595E-2</v>
      </c>
      <c r="N123" s="54" cm="1">
        <f t="array" ref="N123">_xlfn.XLOOKUP(K123,LISTAS!$D$27:$D$47,_xlfn.XLOOKUP(J123,LISTAS!$E$26:$H$26,LISTAS!$E$27:$H$47))</f>
        <v>31369000</v>
      </c>
      <c r="O123" s="56" t="s">
        <v>1623</v>
      </c>
      <c r="P123" s="76" t="str">
        <f t="shared" ca="1" si="5"/>
        <v>Vigente</v>
      </c>
    </row>
    <row r="124" spans="1:16" x14ac:dyDescent="0.3">
      <c r="A124" s="58" t="s">
        <v>414</v>
      </c>
      <c r="B124" s="56" t="s">
        <v>79</v>
      </c>
      <c r="C124" s="50" t="str">
        <f>_xlfn.XLOOKUP(B124,CLIENTES!$A$2:$A$301,CLIENTES!$B$2:$B$301)</f>
        <v>Bruno Rojas</v>
      </c>
      <c r="D124" s="60">
        <v>44450</v>
      </c>
      <c r="E124" s="60">
        <f t="shared" si="3"/>
        <v>44815</v>
      </c>
      <c r="F124" s="50" t="s">
        <v>1597</v>
      </c>
      <c r="G124" s="56" t="s">
        <v>1599</v>
      </c>
      <c r="H124" s="47">
        <v>70</v>
      </c>
      <c r="I124" s="60">
        <v>20321</v>
      </c>
      <c r="J124" s="56" t="s">
        <v>1612</v>
      </c>
      <c r="K124" s="56">
        <v>2018</v>
      </c>
      <c r="L124" s="52">
        <f t="shared" si="4"/>
        <v>49470.498</v>
      </c>
      <c r="M124" s="56">
        <f>LISTAS!$B$22*_xlfn.XLOOKUP(G124,LISTAS!$B$27:$B$36,LISTAS!$A$27:$A$36)*_xlfn.XLOOKUP(H124,LISTAS!$B$38:$B$47,LISTAS!$A$38:$A$47,,-1)*_xlfn.XLOOKUP(J124,LISTAS!$E$26:$H$26,LISTAS!$E$48:$H$48)*_xlfn.XLOOKUP(F124,LISTAS!$A$15:$A$18,LISTAS!$H$15:$H$18)</f>
        <v>3.8808000000000002E-2</v>
      </c>
      <c r="N124" s="54" cm="1">
        <f t="array" ref="N124">_xlfn.XLOOKUP(K124,LISTAS!$D$27:$D$47,_xlfn.XLOOKUP(J124,LISTAS!$E$26:$H$26,LISTAS!$E$27:$H$47))</f>
        <v>15297000</v>
      </c>
      <c r="O124" s="56" t="s">
        <v>1626</v>
      </c>
      <c r="P124" s="76" t="str">
        <f t="shared" ca="1" si="5"/>
        <v>Vencida</v>
      </c>
    </row>
    <row r="125" spans="1:16" x14ac:dyDescent="0.3">
      <c r="A125" s="58" t="s">
        <v>415</v>
      </c>
      <c r="B125" s="56" t="s">
        <v>78</v>
      </c>
      <c r="C125" s="50" t="str">
        <f>_xlfn.XLOOKUP(B125,CLIENTES!$A$2:$A$301,CLIENTES!$B$2:$B$301)</f>
        <v>Sofía Luna</v>
      </c>
      <c r="D125" s="60">
        <v>46114</v>
      </c>
      <c r="E125" s="60">
        <f t="shared" si="3"/>
        <v>46479</v>
      </c>
      <c r="F125" s="50" t="s">
        <v>1597</v>
      </c>
      <c r="G125" s="56" t="s">
        <v>1602</v>
      </c>
      <c r="H125" s="47">
        <v>21</v>
      </c>
      <c r="I125" s="60">
        <v>38321</v>
      </c>
      <c r="J125" s="56" t="s">
        <v>1612</v>
      </c>
      <c r="K125" s="56">
        <v>2025</v>
      </c>
      <c r="L125" s="52">
        <f t="shared" si="4"/>
        <v>80332.560000000027</v>
      </c>
      <c r="M125" s="56">
        <f>LISTAS!$B$22*_xlfn.XLOOKUP(G125,LISTAS!$B$27:$B$36,LISTAS!$A$27:$A$36)*_xlfn.XLOOKUP(H125,LISTAS!$B$38:$B$47,LISTAS!$A$38:$A$47,,-1)*_xlfn.XLOOKUP(J125,LISTAS!$E$26:$H$26,LISTAS!$E$48:$H$48)*_xlfn.XLOOKUP(F125,LISTAS!$A$15:$A$18,LISTAS!$H$15:$H$18)</f>
        <v>3.2744250000000009E-2</v>
      </c>
      <c r="N125" s="54" cm="1">
        <f t="array" ref="N125">_xlfn.XLOOKUP(K125,LISTAS!$D$27:$D$47,_xlfn.XLOOKUP(J125,LISTAS!$E$26:$H$26,LISTAS!$E$27:$H$47))</f>
        <v>29440000</v>
      </c>
      <c r="O125" s="56" t="s">
        <v>1623</v>
      </c>
      <c r="P125" s="76" t="str">
        <f t="shared" ca="1" si="5"/>
        <v>Vigente</v>
      </c>
    </row>
    <row r="126" spans="1:16" x14ac:dyDescent="0.3">
      <c r="A126" s="58" t="s">
        <v>416</v>
      </c>
      <c r="B126" s="56" t="s">
        <v>193</v>
      </c>
      <c r="C126" s="50" t="str">
        <f>_xlfn.XLOOKUP(B126,CLIENTES!$A$2:$A$301,CLIENTES!$B$2:$B$301)</f>
        <v>Maximiliano Benítez</v>
      </c>
      <c r="D126" s="60">
        <v>45837</v>
      </c>
      <c r="E126" s="60">
        <f t="shared" si="3"/>
        <v>46202</v>
      </c>
      <c r="F126" s="50" t="s">
        <v>1595</v>
      </c>
      <c r="G126" s="56" t="s">
        <v>1602</v>
      </c>
      <c r="H126" s="47">
        <v>27</v>
      </c>
      <c r="I126" s="60">
        <v>36362</v>
      </c>
      <c r="J126" s="56" t="s">
        <v>1612</v>
      </c>
      <c r="K126" s="56">
        <v>2021</v>
      </c>
      <c r="L126" s="52">
        <f t="shared" si="4"/>
        <v>26855.577000000001</v>
      </c>
      <c r="M126" s="56">
        <f>LISTAS!$B$22*_xlfn.XLOOKUP(G126,LISTAS!$B$27:$B$36,LISTAS!$A$27:$A$36)*_xlfn.XLOOKUP(H126,LISTAS!$B$38:$B$47,LISTAS!$A$38:$A$47,,-1)*_xlfn.XLOOKUP(J126,LISTAS!$E$26:$H$26,LISTAS!$E$48:$H$48)*_xlfn.XLOOKUP(F126,LISTAS!$A$15:$A$18,LISTAS!$H$15:$H$18)</f>
        <v>1.5876000000000001E-2</v>
      </c>
      <c r="N126" s="54" cm="1">
        <f t="array" ref="N126">_xlfn.XLOOKUP(K126,LISTAS!$D$27:$D$47,_xlfn.XLOOKUP(J126,LISTAS!$E$26:$H$26,LISTAS!$E$27:$H$47))</f>
        <v>20299000</v>
      </c>
      <c r="O126" s="56" t="s">
        <v>1624</v>
      </c>
      <c r="P126" s="76" t="str">
        <f t="shared" ca="1" si="5"/>
        <v>Vencida</v>
      </c>
    </row>
    <row r="127" spans="1:16" x14ac:dyDescent="0.3">
      <c r="A127" s="58" t="s">
        <v>417</v>
      </c>
      <c r="B127" s="56" t="s">
        <v>48</v>
      </c>
      <c r="C127" s="50" t="str">
        <f>_xlfn.XLOOKUP(B127,CLIENTES!$A$2:$A$301,CLIENTES!$B$2:$B$301)</f>
        <v>Alejandro Herrera</v>
      </c>
      <c r="D127" s="60">
        <v>44655</v>
      </c>
      <c r="E127" s="60">
        <f t="shared" si="3"/>
        <v>45020</v>
      </c>
      <c r="F127" s="50" t="s">
        <v>1597</v>
      </c>
      <c r="G127" s="56" t="s">
        <v>1603</v>
      </c>
      <c r="H127" s="47">
        <v>60</v>
      </c>
      <c r="I127" s="60">
        <v>24058</v>
      </c>
      <c r="J127" s="56" t="s">
        <v>1609</v>
      </c>
      <c r="K127" s="56">
        <v>2024</v>
      </c>
      <c r="L127" s="52">
        <f t="shared" si="4"/>
        <v>38486.043749999997</v>
      </c>
      <c r="M127" s="56">
        <f>LISTAS!$B$22*_xlfn.XLOOKUP(G127,LISTAS!$B$27:$B$36,LISTAS!$A$27:$A$36)*_xlfn.XLOOKUP(H127,LISTAS!$B$38:$B$47,LISTAS!$A$38:$A$47,,-1)*_xlfn.XLOOKUP(J127,LISTAS!$E$26:$H$26,LISTAS!$E$48:$H$48)*_xlfn.XLOOKUP(F127,LISTAS!$A$15:$A$18,LISTAS!$H$15:$H$18)</f>
        <v>2.1944999999999999E-2</v>
      </c>
      <c r="N127" s="54" cm="1">
        <f t="array" ref="N127">_xlfn.XLOOKUP(K127,LISTAS!$D$27:$D$47,_xlfn.XLOOKUP(J127,LISTAS!$E$26:$H$26,LISTAS!$E$27:$H$47))</f>
        <v>21045000</v>
      </c>
      <c r="O127" s="56" t="s">
        <v>1623</v>
      </c>
      <c r="P127" s="76" t="str">
        <f t="shared" ca="1" si="5"/>
        <v>Vencida</v>
      </c>
    </row>
    <row r="128" spans="1:16" x14ac:dyDescent="0.3">
      <c r="A128" s="58" t="s">
        <v>418</v>
      </c>
      <c r="B128" s="56" t="s">
        <v>263</v>
      </c>
      <c r="C128" s="50" t="str">
        <f>_xlfn.XLOOKUP(B128,CLIENTES!$A$2:$A$301,CLIENTES!$B$2:$B$301)</f>
        <v>Bruno Núñez</v>
      </c>
      <c r="D128" s="60">
        <v>44635</v>
      </c>
      <c r="E128" s="60">
        <f t="shared" si="3"/>
        <v>45000</v>
      </c>
      <c r="F128" s="50" t="s">
        <v>1597</v>
      </c>
      <c r="G128" s="56" t="s">
        <v>1603</v>
      </c>
      <c r="H128" s="47">
        <v>42</v>
      </c>
      <c r="I128" s="60">
        <v>30699</v>
      </c>
      <c r="J128" s="56" t="s">
        <v>1612</v>
      </c>
      <c r="K128" s="56">
        <v>2024</v>
      </c>
      <c r="L128" s="52">
        <f t="shared" si="4"/>
        <v>46799.724125000008</v>
      </c>
      <c r="M128" s="56">
        <f>LISTAS!$B$22*_xlfn.XLOOKUP(G128,LISTAS!$B$27:$B$36,LISTAS!$A$27:$A$36)*_xlfn.XLOOKUP(H128,LISTAS!$B$38:$B$47,LISTAS!$A$38:$A$47,,-1)*_xlfn.XLOOKUP(J128,LISTAS!$E$26:$H$26,LISTAS!$E$48:$H$48)*_xlfn.XLOOKUP(F128,LISTAS!$A$15:$A$18,LISTAS!$H$15:$H$18)</f>
        <v>2.0847750000000002E-2</v>
      </c>
      <c r="N128" s="54" cm="1">
        <f t="array" ref="N128">_xlfn.XLOOKUP(K128,LISTAS!$D$27:$D$47,_xlfn.XLOOKUP(J128,LISTAS!$E$26:$H$26,LISTAS!$E$27:$H$47))</f>
        <v>26938000</v>
      </c>
      <c r="O128" s="56" t="s">
        <v>1623</v>
      </c>
      <c r="P128" s="76" t="str">
        <f t="shared" ca="1" si="5"/>
        <v>Vencida</v>
      </c>
    </row>
    <row r="129" spans="1:16" x14ac:dyDescent="0.3">
      <c r="A129" s="58" t="s">
        <v>419</v>
      </c>
      <c r="B129" s="56" t="s">
        <v>239</v>
      </c>
      <c r="C129" s="50" t="str">
        <f>_xlfn.XLOOKUP(B129,CLIENTES!$A$2:$A$301,CLIENTES!$B$2:$B$301)</f>
        <v>Matías Flores</v>
      </c>
      <c r="D129" s="60">
        <v>45705</v>
      </c>
      <c r="E129" s="60">
        <f t="shared" si="3"/>
        <v>46070</v>
      </c>
      <c r="F129" s="50" t="s">
        <v>1598</v>
      </c>
      <c r="G129" s="56" t="s">
        <v>1601</v>
      </c>
      <c r="H129" s="47">
        <v>39</v>
      </c>
      <c r="I129" s="60">
        <v>31643</v>
      </c>
      <c r="J129" s="56" t="s">
        <v>1612</v>
      </c>
      <c r="K129" s="56">
        <v>2018</v>
      </c>
      <c r="L129" s="52">
        <f t="shared" si="4"/>
        <v>40020.77625000001</v>
      </c>
      <c r="M129" s="56">
        <f>LISTAS!$B$22*_xlfn.XLOOKUP(G129,LISTAS!$B$27:$B$36,LISTAS!$A$27:$A$36)*_xlfn.XLOOKUP(H129,LISTAS!$B$38:$B$47,LISTAS!$A$38:$A$47,,-1)*_xlfn.XLOOKUP(J129,LISTAS!$E$26:$H$26,LISTAS!$E$48:$H$48)*_xlfn.XLOOKUP(F129,LISTAS!$A$15:$A$18,LISTAS!$H$15:$H$18)</f>
        <v>3.1395000000000006E-2</v>
      </c>
      <c r="N129" s="54" cm="1">
        <f t="array" ref="N129">_xlfn.XLOOKUP(K129,LISTAS!$D$27:$D$47,_xlfn.XLOOKUP(J129,LISTAS!$E$26:$H$26,LISTAS!$E$27:$H$47))</f>
        <v>15297000</v>
      </c>
      <c r="O129" s="56" t="s">
        <v>1625</v>
      </c>
      <c r="P129" s="76" t="str">
        <f t="shared" ca="1" si="5"/>
        <v>Vencida</v>
      </c>
    </row>
    <row r="130" spans="1:16" x14ac:dyDescent="0.3">
      <c r="A130" s="58" t="s">
        <v>420</v>
      </c>
      <c r="B130" s="56" t="s">
        <v>54</v>
      </c>
      <c r="C130" s="50" t="str">
        <f>_xlfn.XLOOKUP(B130,CLIENTES!$A$2:$A$301,CLIENTES!$B$2:$B$301)</f>
        <v>Emiliano Vega</v>
      </c>
      <c r="D130" s="60">
        <v>46145</v>
      </c>
      <c r="E130" s="60">
        <f t="shared" si="3"/>
        <v>46510</v>
      </c>
      <c r="F130" s="50" t="s">
        <v>1598</v>
      </c>
      <c r="G130" s="56" t="s">
        <v>1608</v>
      </c>
      <c r="H130" s="47">
        <v>77</v>
      </c>
      <c r="I130" s="60">
        <v>18104</v>
      </c>
      <c r="J130" s="56" t="s">
        <v>1612</v>
      </c>
      <c r="K130" s="56">
        <v>2021</v>
      </c>
      <c r="L130" s="52">
        <f t="shared" si="4"/>
        <v>63613.259937499999</v>
      </c>
      <c r="M130" s="56">
        <f>LISTAS!$B$22*_xlfn.XLOOKUP(G130,LISTAS!$B$27:$B$36,LISTAS!$A$27:$A$36)*_xlfn.XLOOKUP(H130,LISTAS!$B$38:$B$47,LISTAS!$A$38:$A$47,,-1)*_xlfn.XLOOKUP(J130,LISTAS!$E$26:$H$26,LISTAS!$E$48:$H$48)*_xlfn.XLOOKUP(F130,LISTAS!$A$15:$A$18,LISTAS!$H$15:$H$18)</f>
        <v>3.760575E-2</v>
      </c>
      <c r="N130" s="54" cm="1">
        <f t="array" ref="N130">_xlfn.XLOOKUP(K130,LISTAS!$D$27:$D$47,_xlfn.XLOOKUP(J130,LISTAS!$E$26:$H$26,LISTAS!$E$27:$H$47))</f>
        <v>20299000</v>
      </c>
      <c r="O130" s="56" t="s">
        <v>1624</v>
      </c>
      <c r="P130" s="76" t="str">
        <f t="shared" ca="1" si="5"/>
        <v>Vigente</v>
      </c>
    </row>
    <row r="131" spans="1:16" x14ac:dyDescent="0.3">
      <c r="A131" s="58" t="s">
        <v>421</v>
      </c>
      <c r="B131" s="56" t="s">
        <v>123</v>
      </c>
      <c r="C131" s="50" t="str">
        <f>_xlfn.XLOOKUP(B131,CLIENTES!$A$2:$A$301,CLIENTES!$B$2:$B$301)</f>
        <v>Victoria Ramírez</v>
      </c>
      <c r="D131" s="60">
        <v>44687</v>
      </c>
      <c r="E131" s="60">
        <f t="shared" ref="E131:E194" si="6">EDATE(D131,12)</f>
        <v>45052</v>
      </c>
      <c r="F131" s="50" t="s">
        <v>1598</v>
      </c>
      <c r="G131" s="56" t="s">
        <v>1601</v>
      </c>
      <c r="H131" s="47">
        <v>56</v>
      </c>
      <c r="I131" s="60">
        <v>25545</v>
      </c>
      <c r="J131" s="56" t="s">
        <v>1611</v>
      </c>
      <c r="K131" s="56">
        <v>2026</v>
      </c>
      <c r="L131" s="52">
        <f t="shared" ref="L131:L194" si="7">(N131*M131)/12</f>
        <v>128943.75</v>
      </c>
      <c r="M131" s="56">
        <f>LISTAS!$B$22*_xlfn.XLOOKUP(G131,LISTAS!$B$27:$B$36,LISTAS!$A$27:$A$36)*_xlfn.XLOOKUP(H131,LISTAS!$B$38:$B$47,LISTAS!$A$38:$A$47,,-1)*_xlfn.XLOOKUP(J131,LISTAS!$E$26:$H$26,LISTAS!$E$48:$H$48)*_xlfn.XLOOKUP(F131,LISTAS!$A$15:$A$18,LISTAS!$H$15:$H$18)</f>
        <v>3.4384999999999999E-2</v>
      </c>
      <c r="N131" s="54" cm="1">
        <f t="array" ref="N131">_xlfn.XLOOKUP(K131,LISTAS!$D$27:$D$47,_xlfn.XLOOKUP(J131,LISTAS!$E$26:$H$26,LISTAS!$E$27:$H$47))</f>
        <v>45000000</v>
      </c>
      <c r="O131" s="56" t="s">
        <v>1624</v>
      </c>
      <c r="P131" s="76" t="str">
        <f t="shared" ref="P131:P194" ca="1" si="8">IF(TODAY()&lt;D131,"Pendiente",IF(TODAY()&gt;E131,"Vencida","Vigente"))</f>
        <v>Vencida</v>
      </c>
    </row>
    <row r="132" spans="1:16" x14ac:dyDescent="0.3">
      <c r="A132" s="58" t="s">
        <v>422</v>
      </c>
      <c r="B132" s="56" t="s">
        <v>26</v>
      </c>
      <c r="C132" s="50" t="str">
        <f>_xlfn.XLOOKUP(B132,CLIENTES!$A$2:$A$301,CLIENTES!$B$2:$B$301)</f>
        <v>Gabriel Rojas</v>
      </c>
      <c r="D132" s="60">
        <v>44895</v>
      </c>
      <c r="E132" s="60">
        <f t="shared" si="6"/>
        <v>45260</v>
      </c>
      <c r="F132" s="50" t="s">
        <v>1598</v>
      </c>
      <c r="G132" s="56" t="s">
        <v>1605</v>
      </c>
      <c r="H132" s="47">
        <v>48</v>
      </c>
      <c r="I132" s="60">
        <v>28603</v>
      </c>
      <c r="J132" s="56" t="s">
        <v>1611</v>
      </c>
      <c r="K132" s="56">
        <v>2025</v>
      </c>
      <c r="L132" s="52">
        <f t="shared" si="7"/>
        <v>88197.525000000009</v>
      </c>
      <c r="M132" s="56">
        <f>LISTAS!$B$22*_xlfn.XLOOKUP(G132,LISTAS!$B$27:$B$36,LISTAS!$A$27:$A$36)*_xlfn.XLOOKUP(H132,LISTAS!$B$38:$B$47,LISTAS!$A$38:$A$47,,-1)*_xlfn.XLOOKUP(J132,LISTAS!$E$26:$H$26,LISTAS!$E$48:$H$48)*_xlfn.XLOOKUP(F132,LISTAS!$A$15:$A$18,LISTAS!$H$15:$H$18)</f>
        <v>2.55645E-2</v>
      </c>
      <c r="N132" s="54" cm="1">
        <f t="array" ref="N132">_xlfn.XLOOKUP(K132,LISTAS!$D$27:$D$47,_xlfn.XLOOKUP(J132,LISTAS!$E$26:$H$26,LISTAS!$E$27:$H$47))</f>
        <v>41400000</v>
      </c>
      <c r="O132" s="56" t="s">
        <v>1625</v>
      </c>
      <c r="P132" s="76" t="str">
        <f t="shared" ca="1" si="8"/>
        <v>Vencida</v>
      </c>
    </row>
    <row r="133" spans="1:16" x14ac:dyDescent="0.3">
      <c r="A133" s="58" t="s">
        <v>423</v>
      </c>
      <c r="B133" s="56" t="s">
        <v>223</v>
      </c>
      <c r="C133" s="50" t="str">
        <f>_xlfn.XLOOKUP(B133,CLIENTES!$A$2:$A$301,CLIENTES!$B$2:$B$301)</f>
        <v>Daniel Herrera</v>
      </c>
      <c r="D133" s="60">
        <v>44749</v>
      </c>
      <c r="E133" s="60">
        <f t="shared" si="6"/>
        <v>45114</v>
      </c>
      <c r="F133" s="50" t="s">
        <v>1595</v>
      </c>
      <c r="G133" s="56" t="s">
        <v>1600</v>
      </c>
      <c r="H133" s="47">
        <v>50</v>
      </c>
      <c r="I133" s="60">
        <v>27849</v>
      </c>
      <c r="J133" s="56" t="s">
        <v>1610</v>
      </c>
      <c r="K133" s="56">
        <v>2023</v>
      </c>
      <c r="L133" s="52">
        <f t="shared" si="7"/>
        <v>38762.129999999997</v>
      </c>
      <c r="M133" s="56">
        <f>LISTAS!$B$22*_xlfn.XLOOKUP(G133,LISTAS!$B$27:$B$36,LISTAS!$A$27:$A$36)*_xlfn.XLOOKUP(H133,LISTAS!$B$38:$B$47,LISTAS!$A$38:$A$47,,-1)*_xlfn.XLOOKUP(J133,LISTAS!$E$26:$H$26,LISTAS!$E$48:$H$48)*_xlfn.XLOOKUP(F133,LISTAS!$A$15:$A$18,LISTAS!$H$15:$H$18)</f>
        <v>1.5180000000000001E-2</v>
      </c>
      <c r="N133" s="54" cm="1">
        <f t="array" ref="N133">_xlfn.XLOOKUP(K133,LISTAS!$D$27:$D$47,_xlfn.XLOOKUP(J133,LISTAS!$E$26:$H$26,LISTAS!$E$27:$H$47))</f>
        <v>30642000</v>
      </c>
      <c r="O133" s="56" t="s">
        <v>1623</v>
      </c>
      <c r="P133" s="76" t="str">
        <f t="shared" ca="1" si="8"/>
        <v>Vencida</v>
      </c>
    </row>
    <row r="134" spans="1:16" x14ac:dyDescent="0.3">
      <c r="A134" s="58" t="s">
        <v>424</v>
      </c>
      <c r="B134" s="56" t="s">
        <v>209</v>
      </c>
      <c r="C134" s="50" t="str">
        <f>_xlfn.XLOOKUP(B134,CLIENTES!$A$2:$A$301,CLIENTES!$B$2:$B$301)</f>
        <v>Camila Domínguez</v>
      </c>
      <c r="D134" s="60">
        <v>45570</v>
      </c>
      <c r="E134" s="60">
        <f t="shared" si="6"/>
        <v>45935</v>
      </c>
      <c r="F134" s="50" t="s">
        <v>1596</v>
      </c>
      <c r="G134" s="56" t="s">
        <v>1603</v>
      </c>
      <c r="H134" s="47">
        <v>73</v>
      </c>
      <c r="I134" s="60">
        <v>19320</v>
      </c>
      <c r="J134" s="56" t="s">
        <v>1612</v>
      </c>
      <c r="K134" s="56">
        <v>2014</v>
      </c>
      <c r="L134" s="52">
        <f t="shared" si="7"/>
        <v>21328.860874999998</v>
      </c>
      <c r="M134" s="56">
        <f>LISTAS!$B$22*_xlfn.XLOOKUP(G134,LISTAS!$B$27:$B$36,LISTAS!$A$27:$A$36)*_xlfn.XLOOKUP(H134,LISTAS!$B$38:$B$47,LISTAS!$A$38:$A$47,,-1)*_xlfn.XLOOKUP(J134,LISTAS!$E$26:$H$26,LISTAS!$E$48:$H$48)*_xlfn.XLOOKUP(F134,LISTAS!$A$15:$A$18,LISTAS!$H$15:$H$18)</f>
        <v>2.3740499999999998E-2</v>
      </c>
      <c r="N134" s="54" cm="1">
        <f t="array" ref="N134">_xlfn.XLOOKUP(K134,LISTAS!$D$27:$D$47,_xlfn.XLOOKUP(J134,LISTAS!$E$26:$H$26,LISTAS!$E$27:$H$47))</f>
        <v>10781000</v>
      </c>
      <c r="O134" s="56" t="s">
        <v>1623</v>
      </c>
      <c r="P134" s="76" t="str">
        <f t="shared" ca="1" si="8"/>
        <v>Vencida</v>
      </c>
    </row>
    <row r="135" spans="1:16" x14ac:dyDescent="0.3">
      <c r="A135" s="58" t="s">
        <v>425</v>
      </c>
      <c r="B135" s="56" t="s">
        <v>128</v>
      </c>
      <c r="C135" s="50" t="str">
        <f>_xlfn.XLOOKUP(B135,CLIENTES!$A$2:$A$301,CLIENTES!$B$2:$B$301)</f>
        <v>Emiliano Ortiz</v>
      </c>
      <c r="D135" s="60">
        <v>45611</v>
      </c>
      <c r="E135" s="60">
        <f t="shared" si="6"/>
        <v>45976</v>
      </c>
      <c r="F135" s="50" t="s">
        <v>1595</v>
      </c>
      <c r="G135" s="56" t="s">
        <v>1604</v>
      </c>
      <c r="H135" s="47">
        <v>32</v>
      </c>
      <c r="I135" s="60">
        <v>34555</v>
      </c>
      <c r="J135" s="56" t="s">
        <v>1609</v>
      </c>
      <c r="K135" s="56">
        <v>2018</v>
      </c>
      <c r="L135" s="52">
        <f t="shared" si="7"/>
        <v>12548.550000000001</v>
      </c>
      <c r="M135" s="56">
        <f>LISTAS!$B$22*_xlfn.XLOOKUP(G135,LISTAS!$B$27:$B$36,LISTAS!$A$27:$A$36)*_xlfn.XLOOKUP(H135,LISTAS!$B$38:$B$47,LISTAS!$A$38:$A$47,,-1)*_xlfn.XLOOKUP(J135,LISTAS!$E$26:$H$26,LISTAS!$E$48:$H$48)*_xlfn.XLOOKUP(F135,LISTAS!$A$15:$A$18,LISTAS!$H$15:$H$18)</f>
        <v>1.26E-2</v>
      </c>
      <c r="N135" s="54" cm="1">
        <f t="array" ref="N135">_xlfn.XLOOKUP(K135,LISTAS!$D$27:$D$47,_xlfn.XLOOKUP(J135,LISTAS!$E$26:$H$26,LISTAS!$E$27:$H$47))</f>
        <v>11951000</v>
      </c>
      <c r="O135" s="56" t="s">
        <v>1625</v>
      </c>
      <c r="P135" s="76" t="str">
        <f t="shared" ca="1" si="8"/>
        <v>Vencida</v>
      </c>
    </row>
    <row r="136" spans="1:16" x14ac:dyDescent="0.3">
      <c r="A136" s="58" t="s">
        <v>426</v>
      </c>
      <c r="B136" s="56" t="s">
        <v>237</v>
      </c>
      <c r="C136" s="50" t="str">
        <f>_xlfn.XLOOKUP(B136,CLIENTES!$A$2:$A$301,CLIENTES!$B$2:$B$301)</f>
        <v>Florencia Peralta</v>
      </c>
      <c r="D136" s="60">
        <v>44805</v>
      </c>
      <c r="E136" s="60">
        <f t="shared" si="6"/>
        <v>45170</v>
      </c>
      <c r="F136" s="50" t="s">
        <v>1595</v>
      </c>
      <c r="G136" s="56" t="s">
        <v>1604</v>
      </c>
      <c r="H136" s="47">
        <v>33</v>
      </c>
      <c r="I136" s="60">
        <v>34012</v>
      </c>
      <c r="J136" s="56" t="s">
        <v>1610</v>
      </c>
      <c r="K136" s="56">
        <v>2025</v>
      </c>
      <c r="L136" s="52">
        <f t="shared" si="7"/>
        <v>42504.000000000007</v>
      </c>
      <c r="M136" s="56">
        <f>LISTAS!$B$22*_xlfn.XLOOKUP(G136,LISTAS!$B$27:$B$36,LISTAS!$A$27:$A$36)*_xlfn.XLOOKUP(H136,LISTAS!$B$38:$B$47,LISTAS!$A$38:$A$47,,-1)*_xlfn.XLOOKUP(J136,LISTAS!$E$26:$H$26,LISTAS!$E$48:$H$48)*_xlfn.XLOOKUP(F136,LISTAS!$A$15:$A$18,LISTAS!$H$15:$H$18)</f>
        <v>1.3860000000000001E-2</v>
      </c>
      <c r="N136" s="54" cm="1">
        <f t="array" ref="N136">_xlfn.XLOOKUP(K136,LISTAS!$D$27:$D$47,_xlfn.XLOOKUP(J136,LISTAS!$E$26:$H$26,LISTAS!$E$27:$H$47))</f>
        <v>36800000</v>
      </c>
      <c r="O136" s="56" t="s">
        <v>1623</v>
      </c>
      <c r="P136" s="76" t="str">
        <f t="shared" ca="1" si="8"/>
        <v>Vencida</v>
      </c>
    </row>
    <row r="137" spans="1:16" x14ac:dyDescent="0.3">
      <c r="A137" s="58" t="s">
        <v>427</v>
      </c>
      <c r="B137" s="56" t="s">
        <v>105</v>
      </c>
      <c r="C137" s="50" t="str">
        <f>_xlfn.XLOOKUP(B137,CLIENTES!$A$2:$A$301,CLIENTES!$B$2:$B$301)</f>
        <v>Sofía Arias</v>
      </c>
      <c r="D137" s="60">
        <v>44729</v>
      </c>
      <c r="E137" s="60">
        <f t="shared" si="6"/>
        <v>45094</v>
      </c>
      <c r="F137" s="50" t="s">
        <v>1595</v>
      </c>
      <c r="G137" s="56" t="s">
        <v>1604</v>
      </c>
      <c r="H137" s="47">
        <v>50</v>
      </c>
      <c r="I137" s="60">
        <v>27972</v>
      </c>
      <c r="J137" s="56" t="s">
        <v>1611</v>
      </c>
      <c r="K137" s="56">
        <v>2024</v>
      </c>
      <c r="L137" s="52">
        <f t="shared" si="7"/>
        <v>45741.307499999995</v>
      </c>
      <c r="M137" s="56">
        <f>LISTAS!$B$22*_xlfn.XLOOKUP(G137,LISTAS!$B$27:$B$36,LISTAS!$A$27:$A$36)*_xlfn.XLOOKUP(H137,LISTAS!$B$38:$B$47,LISTAS!$A$38:$A$47,,-1)*_xlfn.XLOOKUP(J137,LISTAS!$E$26:$H$26,LISTAS!$E$48:$H$48)*_xlfn.XLOOKUP(F137,LISTAS!$A$15:$A$18,LISTAS!$H$15:$H$18)</f>
        <v>1.4489999999999999E-2</v>
      </c>
      <c r="N137" s="54" cm="1">
        <f t="array" ref="N137">_xlfn.XLOOKUP(K137,LISTAS!$D$27:$D$47,_xlfn.XLOOKUP(J137,LISTAS!$E$26:$H$26,LISTAS!$E$27:$H$47))</f>
        <v>37881000</v>
      </c>
      <c r="O137" s="56" t="s">
        <v>1623</v>
      </c>
      <c r="P137" s="76" t="str">
        <f t="shared" ca="1" si="8"/>
        <v>Vencida</v>
      </c>
    </row>
    <row r="138" spans="1:16" x14ac:dyDescent="0.3">
      <c r="A138" s="58" t="s">
        <v>428</v>
      </c>
      <c r="B138" s="56" t="s">
        <v>163</v>
      </c>
      <c r="C138" s="50" t="str">
        <f>_xlfn.XLOOKUP(B138,CLIENTES!$A$2:$A$301,CLIENTES!$B$2:$B$301)</f>
        <v>Mariano Ortiz</v>
      </c>
      <c r="D138" s="60">
        <v>45149</v>
      </c>
      <c r="E138" s="60">
        <f t="shared" si="6"/>
        <v>45515</v>
      </c>
      <c r="F138" s="50" t="s">
        <v>1596</v>
      </c>
      <c r="G138" s="56" t="s">
        <v>1606</v>
      </c>
      <c r="H138" s="47">
        <v>70</v>
      </c>
      <c r="I138" s="60">
        <v>20616</v>
      </c>
      <c r="J138" s="56" t="s">
        <v>1612</v>
      </c>
      <c r="K138" s="56">
        <v>2016</v>
      </c>
      <c r="L138" s="52">
        <f t="shared" si="7"/>
        <v>26524.802500000002</v>
      </c>
      <c r="M138" s="56">
        <f>LISTAS!$B$22*_xlfn.XLOOKUP(G138,LISTAS!$B$27:$B$36,LISTAS!$A$27:$A$36)*_xlfn.XLOOKUP(H138,LISTAS!$B$38:$B$47,LISTAS!$A$38:$A$47,,-1)*_xlfn.XLOOKUP(J138,LISTAS!$E$26:$H$26,LISTAS!$E$48:$H$48)*_xlfn.XLOOKUP(F138,LISTAS!$A$15:$A$18,LISTAS!$H$15:$H$18)</f>
        <v>2.4989999999999998E-2</v>
      </c>
      <c r="N138" s="54" cm="1">
        <f t="array" ref="N138">_xlfn.XLOOKUP(K138,LISTAS!$D$27:$D$47,_xlfn.XLOOKUP(J138,LISTAS!$E$26:$H$26,LISTAS!$E$27:$H$47))</f>
        <v>12737000</v>
      </c>
      <c r="O138" s="56" t="s">
        <v>1623</v>
      </c>
      <c r="P138" s="76" t="str">
        <f t="shared" ca="1" si="8"/>
        <v>Vencida</v>
      </c>
    </row>
    <row r="139" spans="1:16" x14ac:dyDescent="0.3">
      <c r="A139" s="58" t="s">
        <v>429</v>
      </c>
      <c r="B139" s="56" t="s">
        <v>61</v>
      </c>
      <c r="C139" s="50" t="str">
        <f>_xlfn.XLOOKUP(B139,CLIENTES!$A$2:$A$301,CLIENTES!$B$2:$B$301)</f>
        <v>Mariana Ponce</v>
      </c>
      <c r="D139" s="60">
        <v>44854</v>
      </c>
      <c r="E139" s="60">
        <f t="shared" si="6"/>
        <v>45219</v>
      </c>
      <c r="F139" s="50" t="s">
        <v>1595</v>
      </c>
      <c r="G139" s="56" t="s">
        <v>1601</v>
      </c>
      <c r="H139" s="47">
        <v>25</v>
      </c>
      <c r="I139" s="60">
        <v>36979</v>
      </c>
      <c r="J139" s="56" t="s">
        <v>1610</v>
      </c>
      <c r="K139" s="56">
        <v>2018</v>
      </c>
      <c r="L139" s="52">
        <f t="shared" si="7"/>
        <v>29025.678</v>
      </c>
      <c r="M139" s="56">
        <f>LISTAS!$B$22*_xlfn.XLOOKUP(G139,LISTAS!$B$27:$B$36,LISTAS!$A$27:$A$36)*_xlfn.XLOOKUP(H139,LISTAS!$B$38:$B$47,LISTAS!$A$38:$A$47,,-1)*_xlfn.XLOOKUP(J139,LISTAS!$E$26:$H$26,LISTAS!$E$48:$H$48)*_xlfn.XLOOKUP(F139,LISTAS!$A$15:$A$18,LISTAS!$H$15:$H$18)</f>
        <v>1.8216E-2</v>
      </c>
      <c r="N139" s="54" cm="1">
        <f t="array" ref="N139">_xlfn.XLOOKUP(K139,LISTAS!$D$27:$D$47,_xlfn.XLOOKUP(J139,LISTAS!$E$26:$H$26,LISTAS!$E$27:$H$47))</f>
        <v>19121000</v>
      </c>
      <c r="O139" s="56" t="s">
        <v>1623</v>
      </c>
      <c r="P139" s="76" t="str">
        <f t="shared" ca="1" si="8"/>
        <v>Vencida</v>
      </c>
    </row>
    <row r="140" spans="1:16" x14ac:dyDescent="0.3">
      <c r="A140" s="58" t="s">
        <v>430</v>
      </c>
      <c r="B140" s="56" t="s">
        <v>266</v>
      </c>
      <c r="C140" s="50" t="str">
        <f>_xlfn.XLOOKUP(B140,CLIENTES!$A$2:$A$301,CLIENTES!$B$2:$B$301)</f>
        <v>Lucas Álvarez</v>
      </c>
      <c r="D140" s="60">
        <v>45431</v>
      </c>
      <c r="E140" s="60">
        <f t="shared" si="6"/>
        <v>45796</v>
      </c>
      <c r="F140" s="50" t="s">
        <v>1598</v>
      </c>
      <c r="G140" s="56" t="s">
        <v>1599</v>
      </c>
      <c r="H140" s="47">
        <v>73</v>
      </c>
      <c r="I140" s="60">
        <v>19440</v>
      </c>
      <c r="J140" s="56" t="s">
        <v>1609</v>
      </c>
      <c r="K140" s="56">
        <v>2024</v>
      </c>
      <c r="L140" s="52">
        <f t="shared" si="7"/>
        <v>76603.8</v>
      </c>
      <c r="M140" s="56">
        <f>LISTAS!$B$22*_xlfn.XLOOKUP(G140,LISTAS!$B$27:$B$36,LISTAS!$A$27:$A$36)*_xlfn.XLOOKUP(H140,LISTAS!$B$38:$B$47,LISTAS!$A$38:$A$47,,-1)*_xlfn.XLOOKUP(J140,LISTAS!$E$26:$H$26,LISTAS!$E$48:$H$48)*_xlfn.XLOOKUP(F140,LISTAS!$A$15:$A$18,LISTAS!$H$15:$H$18)</f>
        <v>4.3679999999999997E-2</v>
      </c>
      <c r="N140" s="54" cm="1">
        <f t="array" ref="N140">_xlfn.XLOOKUP(K140,LISTAS!$D$27:$D$47,_xlfn.XLOOKUP(J140,LISTAS!$E$26:$H$26,LISTAS!$E$27:$H$47))</f>
        <v>21045000</v>
      </c>
      <c r="O140" s="56" t="s">
        <v>1625</v>
      </c>
      <c r="P140" s="76" t="str">
        <f t="shared" ca="1" si="8"/>
        <v>Vencida</v>
      </c>
    </row>
    <row r="141" spans="1:16" x14ac:dyDescent="0.3">
      <c r="A141" s="58" t="s">
        <v>431</v>
      </c>
      <c r="B141" s="56" t="s">
        <v>5</v>
      </c>
      <c r="C141" s="50" t="str">
        <f>_xlfn.XLOOKUP(B141,CLIENTES!$A$2:$A$301,CLIENTES!$B$2:$B$301)</f>
        <v>Joaquín Ferreyra</v>
      </c>
      <c r="D141" s="60">
        <v>45834</v>
      </c>
      <c r="E141" s="60">
        <f t="shared" si="6"/>
        <v>46199</v>
      </c>
      <c r="F141" s="50" t="s">
        <v>1598</v>
      </c>
      <c r="G141" s="56" t="s">
        <v>1600</v>
      </c>
      <c r="H141" s="47">
        <v>80</v>
      </c>
      <c r="I141" s="60">
        <v>17024</v>
      </c>
      <c r="J141" s="56" t="s">
        <v>1612</v>
      </c>
      <c r="K141" s="56">
        <v>2010</v>
      </c>
      <c r="L141" s="52">
        <f t="shared" si="7"/>
        <v>30265.041625000002</v>
      </c>
      <c r="M141" s="56">
        <f>LISTAS!$B$22*_xlfn.XLOOKUP(G141,LISTAS!$B$27:$B$36,LISTAS!$A$27:$A$36)*_xlfn.XLOOKUP(H141,LISTAS!$B$38:$B$47,LISTAS!$A$38:$A$47,,-1)*_xlfn.XLOOKUP(J141,LISTAS!$E$26:$H$26,LISTAS!$E$48:$H$48)*_xlfn.XLOOKUP(F141,LISTAS!$A$15:$A$18,LISTAS!$H$15:$H$18)</f>
        <v>4.5522750000000001E-2</v>
      </c>
      <c r="N141" s="54" cm="1">
        <f t="array" ref="N141">_xlfn.XLOOKUP(K141,LISTAS!$D$27:$D$47,_xlfn.XLOOKUP(J141,LISTAS!$E$26:$H$26,LISTAS!$E$27:$H$47))</f>
        <v>7978000</v>
      </c>
      <c r="O141" s="56" t="s">
        <v>1623</v>
      </c>
      <c r="P141" s="76" t="str">
        <f t="shared" ca="1" si="8"/>
        <v>Vencida</v>
      </c>
    </row>
    <row r="142" spans="1:16" x14ac:dyDescent="0.3">
      <c r="A142" s="58" t="s">
        <v>432</v>
      </c>
      <c r="B142" s="56" t="s">
        <v>32</v>
      </c>
      <c r="C142" s="50" t="str">
        <f>_xlfn.XLOOKUP(B142,CLIENTES!$A$2:$A$301,CLIENTES!$B$2:$B$301)</f>
        <v>Daniela Sosa</v>
      </c>
      <c r="D142" s="60">
        <v>44764</v>
      </c>
      <c r="E142" s="60">
        <f t="shared" si="6"/>
        <v>45129</v>
      </c>
      <c r="F142" s="50" t="s">
        <v>1595</v>
      </c>
      <c r="G142" s="56" t="s">
        <v>1602</v>
      </c>
      <c r="H142" s="47">
        <v>36</v>
      </c>
      <c r="I142" s="60">
        <v>33007</v>
      </c>
      <c r="J142" s="56" t="s">
        <v>1612</v>
      </c>
      <c r="K142" s="56">
        <v>2024</v>
      </c>
      <c r="L142" s="52">
        <f t="shared" si="7"/>
        <v>29699.145000000004</v>
      </c>
      <c r="M142" s="56">
        <f>LISTAS!$B$22*_xlfn.XLOOKUP(G142,LISTAS!$B$27:$B$36,LISTAS!$A$27:$A$36)*_xlfn.XLOOKUP(H142,LISTAS!$B$38:$B$47,LISTAS!$A$38:$A$47,,-1)*_xlfn.XLOOKUP(J142,LISTAS!$E$26:$H$26,LISTAS!$E$48:$H$48)*_xlfn.XLOOKUP(F142,LISTAS!$A$15:$A$18,LISTAS!$H$15:$H$18)</f>
        <v>1.3230000000000002E-2</v>
      </c>
      <c r="N142" s="54" cm="1">
        <f t="array" ref="N142">_xlfn.XLOOKUP(K142,LISTAS!$D$27:$D$47,_xlfn.XLOOKUP(J142,LISTAS!$E$26:$H$26,LISTAS!$E$27:$H$47))</f>
        <v>26938000</v>
      </c>
      <c r="O142" s="56" t="s">
        <v>1623</v>
      </c>
      <c r="P142" s="76" t="str">
        <f t="shared" ca="1" si="8"/>
        <v>Vencida</v>
      </c>
    </row>
    <row r="143" spans="1:16" x14ac:dyDescent="0.3">
      <c r="A143" s="58" t="s">
        <v>433</v>
      </c>
      <c r="B143" s="56" t="s">
        <v>85</v>
      </c>
      <c r="C143" s="50" t="str">
        <f>_xlfn.XLOOKUP(B143,CLIENTES!$A$2:$A$301,CLIENTES!$B$2:$B$301)</f>
        <v>Nicolás Bravo</v>
      </c>
      <c r="D143" s="60">
        <v>45379</v>
      </c>
      <c r="E143" s="60">
        <f t="shared" si="6"/>
        <v>45744</v>
      </c>
      <c r="F143" s="50" t="s">
        <v>1596</v>
      </c>
      <c r="G143" s="56" t="s">
        <v>1607</v>
      </c>
      <c r="H143" s="47">
        <v>79</v>
      </c>
      <c r="I143" s="60">
        <v>17215</v>
      </c>
      <c r="J143" s="56" t="s">
        <v>1609</v>
      </c>
      <c r="K143" s="56">
        <v>2008</v>
      </c>
      <c r="L143" s="52">
        <f t="shared" si="7"/>
        <v>12312.469583333334</v>
      </c>
      <c r="M143" s="56">
        <f>LISTAS!$B$22*_xlfn.XLOOKUP(G143,LISTAS!$B$27:$B$36,LISTAS!$A$27:$A$36)*_xlfn.XLOOKUP(H143,LISTAS!$B$38:$B$47,LISTAS!$A$38:$A$47,,-1)*_xlfn.XLOOKUP(J143,LISTAS!$E$26:$H$26,LISTAS!$E$48:$H$48)*_xlfn.XLOOKUP(F143,LISTAS!$A$15:$A$18,LISTAS!$H$15:$H$18)</f>
        <v>2.7115000000000004E-2</v>
      </c>
      <c r="N143" s="54" cm="1">
        <f t="array" ref="N143">_xlfn.XLOOKUP(K143,LISTAS!$D$27:$D$47,_xlfn.XLOOKUP(J143,LISTAS!$E$26:$H$26,LISTAS!$E$27:$H$47))</f>
        <v>5449000</v>
      </c>
      <c r="O143" s="56" t="s">
        <v>1623</v>
      </c>
      <c r="P143" s="76" t="str">
        <f t="shared" ca="1" si="8"/>
        <v>Vencida</v>
      </c>
    </row>
    <row r="144" spans="1:16" x14ac:dyDescent="0.3">
      <c r="A144" s="58" t="s">
        <v>434</v>
      </c>
      <c r="B144" s="56" t="s">
        <v>172</v>
      </c>
      <c r="C144" s="50" t="str">
        <f>_xlfn.XLOOKUP(B144,CLIENTES!$A$2:$A$301,CLIENTES!$B$2:$B$301)</f>
        <v>Rodrigo Molina</v>
      </c>
      <c r="D144" s="60">
        <v>44467</v>
      </c>
      <c r="E144" s="60">
        <f t="shared" si="6"/>
        <v>44832</v>
      </c>
      <c r="F144" s="50" t="s">
        <v>1596</v>
      </c>
      <c r="G144" s="56" t="s">
        <v>1599</v>
      </c>
      <c r="H144" s="47">
        <v>45</v>
      </c>
      <c r="I144" s="60">
        <v>29490</v>
      </c>
      <c r="J144" s="56" t="s">
        <v>1610</v>
      </c>
      <c r="K144" s="56">
        <v>2023</v>
      </c>
      <c r="L144" s="52">
        <f t="shared" si="7"/>
        <v>54435.512999999999</v>
      </c>
      <c r="M144" s="56">
        <f>LISTAS!$B$22*_xlfn.XLOOKUP(G144,LISTAS!$B$27:$B$36,LISTAS!$A$27:$A$36)*_xlfn.XLOOKUP(H144,LISTAS!$B$38:$B$47,LISTAS!$A$38:$A$47,,-1)*_xlfn.XLOOKUP(J144,LISTAS!$E$26:$H$26,LISTAS!$E$48:$H$48)*_xlfn.XLOOKUP(F144,LISTAS!$A$15:$A$18,LISTAS!$H$15:$H$18)</f>
        <v>2.1318E-2</v>
      </c>
      <c r="N144" s="54" cm="1">
        <f t="array" ref="N144">_xlfn.XLOOKUP(K144,LISTAS!$D$27:$D$47,_xlfn.XLOOKUP(J144,LISTAS!$E$26:$H$26,LISTAS!$E$27:$H$47))</f>
        <v>30642000</v>
      </c>
      <c r="O144" s="56" t="s">
        <v>1623</v>
      </c>
      <c r="P144" s="76" t="str">
        <f t="shared" ca="1" si="8"/>
        <v>Vencida</v>
      </c>
    </row>
    <row r="145" spans="1:16" x14ac:dyDescent="0.3">
      <c r="A145" s="58" t="s">
        <v>435</v>
      </c>
      <c r="B145" s="56" t="s">
        <v>122</v>
      </c>
      <c r="C145" s="50" t="str">
        <f>_xlfn.XLOOKUP(B145,CLIENTES!$A$2:$A$301,CLIENTES!$B$2:$B$301)</f>
        <v>Lucía Ponce</v>
      </c>
      <c r="D145" s="60">
        <v>45521</v>
      </c>
      <c r="E145" s="60">
        <f t="shared" si="6"/>
        <v>45886</v>
      </c>
      <c r="F145" s="50" t="s">
        <v>1596</v>
      </c>
      <c r="G145" s="56" t="s">
        <v>1607</v>
      </c>
      <c r="H145" s="47">
        <v>36</v>
      </c>
      <c r="I145" s="60">
        <v>32825</v>
      </c>
      <c r="J145" s="56" t="s">
        <v>1609</v>
      </c>
      <c r="K145" s="56">
        <v>2023</v>
      </c>
      <c r="L145" s="52">
        <f t="shared" si="7"/>
        <v>29843.641666666666</v>
      </c>
      <c r="M145" s="56">
        <f>LISTAS!$B$22*_xlfn.XLOOKUP(G145,LISTAS!$B$27:$B$36,LISTAS!$A$27:$A$36)*_xlfn.XLOOKUP(H145,LISTAS!$B$38:$B$47,LISTAS!$A$38:$A$47,,-1)*_xlfn.XLOOKUP(J145,LISTAS!$E$26:$H$26,LISTAS!$E$48:$H$48)*_xlfn.XLOOKUP(F145,LISTAS!$A$15:$A$18,LISTAS!$H$15:$H$18)</f>
        <v>1.8700000000000001E-2</v>
      </c>
      <c r="N145" s="54" cm="1">
        <f t="array" ref="N145">_xlfn.XLOOKUP(K145,LISTAS!$D$27:$D$47,_xlfn.XLOOKUP(J145,LISTAS!$E$26:$H$26,LISTAS!$E$27:$H$47))</f>
        <v>19151000</v>
      </c>
      <c r="O145" s="56" t="s">
        <v>1623</v>
      </c>
      <c r="P145" s="76" t="str">
        <f t="shared" ca="1" si="8"/>
        <v>Vencida</v>
      </c>
    </row>
    <row r="146" spans="1:16" x14ac:dyDescent="0.3">
      <c r="A146" s="58" t="s">
        <v>436</v>
      </c>
      <c r="B146" s="56" t="s">
        <v>216</v>
      </c>
      <c r="C146" s="50" t="str">
        <f>_xlfn.XLOOKUP(B146,CLIENTES!$A$2:$A$301,CLIENTES!$B$2:$B$301)</f>
        <v>Mariana Correa</v>
      </c>
      <c r="D146" s="60">
        <v>44710</v>
      </c>
      <c r="E146" s="60">
        <f t="shared" si="6"/>
        <v>45075</v>
      </c>
      <c r="F146" s="50" t="s">
        <v>1597</v>
      </c>
      <c r="G146" s="56" t="s">
        <v>1606</v>
      </c>
      <c r="H146" s="47">
        <v>24</v>
      </c>
      <c r="I146" s="60">
        <v>37274</v>
      </c>
      <c r="J146" s="56" t="s">
        <v>1612</v>
      </c>
      <c r="K146" s="56">
        <v>2022</v>
      </c>
      <c r="L146" s="52">
        <f t="shared" si="7"/>
        <v>57970.316250000011</v>
      </c>
      <c r="M146" s="56">
        <f>LISTAS!$B$22*_xlfn.XLOOKUP(G146,LISTAS!$B$27:$B$36,LISTAS!$A$27:$A$36)*_xlfn.XLOOKUP(H146,LISTAS!$B$38:$B$47,LISTAS!$A$38:$A$47,,-1)*_xlfn.XLOOKUP(J146,LISTAS!$E$26:$H$26,LISTAS!$E$48:$H$48)*_xlfn.XLOOKUP(F146,LISTAS!$A$15:$A$18,LISTAS!$H$15:$H$18)</f>
        <v>3.1185000000000008E-2</v>
      </c>
      <c r="N146" s="54" cm="1">
        <f t="array" ref="N146">_xlfn.XLOOKUP(K146,LISTAS!$D$27:$D$47,_xlfn.XLOOKUP(J146,LISTAS!$E$26:$H$26,LISTAS!$E$27:$H$47))</f>
        <v>22307000</v>
      </c>
      <c r="O146" s="56" t="s">
        <v>1626</v>
      </c>
      <c r="P146" s="76" t="str">
        <f t="shared" ca="1" si="8"/>
        <v>Vencida</v>
      </c>
    </row>
    <row r="147" spans="1:16" x14ac:dyDescent="0.3">
      <c r="A147" s="58" t="s">
        <v>437</v>
      </c>
      <c r="B147" s="56" t="s">
        <v>68</v>
      </c>
      <c r="C147" s="50" t="str">
        <f>_xlfn.XLOOKUP(B147,CLIENTES!$A$2:$A$301,CLIENTES!$B$2:$B$301)</f>
        <v>Daniela Miranda</v>
      </c>
      <c r="D147" s="60">
        <v>44742</v>
      </c>
      <c r="E147" s="60">
        <f t="shared" si="6"/>
        <v>45107</v>
      </c>
      <c r="F147" s="50" t="s">
        <v>1595</v>
      </c>
      <c r="G147" s="56" t="s">
        <v>1608</v>
      </c>
      <c r="H147" s="47">
        <v>57</v>
      </c>
      <c r="I147" s="60">
        <v>25429</v>
      </c>
      <c r="J147" s="56" t="s">
        <v>1609</v>
      </c>
      <c r="K147" s="56">
        <v>2022</v>
      </c>
      <c r="L147" s="52">
        <f t="shared" si="7"/>
        <v>16555.649999999998</v>
      </c>
      <c r="M147" s="56">
        <f>LISTAS!$B$22*_xlfn.XLOOKUP(G147,LISTAS!$B$27:$B$36,LISTAS!$A$27:$A$36)*_xlfn.XLOOKUP(H147,LISTAS!$B$38:$B$47,LISTAS!$A$38:$A$47,,-1)*_xlfn.XLOOKUP(J147,LISTAS!$E$26:$H$26,LISTAS!$E$48:$H$48)*_xlfn.XLOOKUP(F147,LISTAS!$A$15:$A$18,LISTAS!$H$15:$H$18)</f>
        <v>1.1399999999999999E-2</v>
      </c>
      <c r="N147" s="54" cm="1">
        <f t="array" ref="N147">_xlfn.XLOOKUP(K147,LISTAS!$D$27:$D$47,_xlfn.XLOOKUP(J147,LISTAS!$E$26:$H$26,LISTAS!$E$27:$H$47))</f>
        <v>17427000</v>
      </c>
      <c r="O147" s="56" t="s">
        <v>1623</v>
      </c>
      <c r="P147" s="76" t="str">
        <f t="shared" ca="1" si="8"/>
        <v>Vencida</v>
      </c>
    </row>
    <row r="148" spans="1:16" x14ac:dyDescent="0.3">
      <c r="A148" s="58" t="s">
        <v>438</v>
      </c>
      <c r="B148" s="56" t="s">
        <v>94</v>
      </c>
      <c r="C148" s="50" t="str">
        <f>_xlfn.XLOOKUP(B148,CLIENTES!$A$2:$A$301,CLIENTES!$B$2:$B$301)</f>
        <v>Joaquín Torres</v>
      </c>
      <c r="D148" s="60">
        <v>45803</v>
      </c>
      <c r="E148" s="60">
        <f t="shared" si="6"/>
        <v>46168</v>
      </c>
      <c r="F148" s="50" t="s">
        <v>1596</v>
      </c>
      <c r="G148" s="56" t="s">
        <v>1608</v>
      </c>
      <c r="H148" s="47">
        <v>50</v>
      </c>
      <c r="I148" s="60">
        <v>27820</v>
      </c>
      <c r="J148" s="56" t="s">
        <v>1609</v>
      </c>
      <c r="K148" s="56">
        <v>2023</v>
      </c>
      <c r="L148" s="52">
        <f t="shared" si="7"/>
        <v>25774.054166666665</v>
      </c>
      <c r="M148" s="56">
        <f>LISTAS!$B$22*_xlfn.XLOOKUP(G148,LISTAS!$B$27:$B$36,LISTAS!$A$27:$A$36)*_xlfn.XLOOKUP(H148,LISTAS!$B$38:$B$47,LISTAS!$A$38:$A$47,,-1)*_xlfn.XLOOKUP(J148,LISTAS!$E$26:$H$26,LISTAS!$E$48:$H$48)*_xlfn.XLOOKUP(F148,LISTAS!$A$15:$A$18,LISTAS!$H$15:$H$18)</f>
        <v>1.6149999999999998E-2</v>
      </c>
      <c r="N148" s="54" cm="1">
        <f t="array" ref="N148">_xlfn.XLOOKUP(K148,LISTAS!$D$27:$D$47,_xlfn.XLOOKUP(J148,LISTAS!$E$26:$H$26,LISTAS!$E$27:$H$47))</f>
        <v>19151000</v>
      </c>
      <c r="O148" s="56" t="s">
        <v>1623</v>
      </c>
      <c r="P148" s="76" t="str">
        <f t="shared" ca="1" si="8"/>
        <v>Vencida</v>
      </c>
    </row>
    <row r="149" spans="1:16" x14ac:dyDescent="0.3">
      <c r="A149" s="58" t="s">
        <v>439</v>
      </c>
      <c r="B149" s="56" t="s">
        <v>70</v>
      </c>
      <c r="C149" s="50" t="str">
        <f>_xlfn.XLOOKUP(B149,CLIENTES!$A$2:$A$301,CLIENTES!$B$2:$B$301)</f>
        <v>Facundo Flores</v>
      </c>
      <c r="D149" s="60">
        <v>44669</v>
      </c>
      <c r="E149" s="60">
        <f t="shared" si="6"/>
        <v>45034</v>
      </c>
      <c r="F149" s="50" t="s">
        <v>1598</v>
      </c>
      <c r="G149" s="56" t="s">
        <v>1608</v>
      </c>
      <c r="H149" s="47">
        <v>74</v>
      </c>
      <c r="I149" s="60">
        <v>19039</v>
      </c>
      <c r="J149" s="56" t="s">
        <v>1609</v>
      </c>
      <c r="K149" s="56">
        <v>2017</v>
      </c>
      <c r="L149" s="52">
        <f t="shared" si="7"/>
        <v>31338.125</v>
      </c>
      <c r="M149" s="56">
        <f>LISTAS!$B$22*_xlfn.XLOOKUP(G149,LISTAS!$B$27:$B$36,LISTAS!$A$27:$A$36)*_xlfn.XLOOKUP(H149,LISTAS!$B$38:$B$47,LISTAS!$A$38:$A$47,,-1)*_xlfn.XLOOKUP(J149,LISTAS!$E$26:$H$26,LISTAS!$E$48:$H$48)*_xlfn.XLOOKUP(F149,LISTAS!$A$15:$A$18,LISTAS!$H$15:$H$18)</f>
        <v>3.458E-2</v>
      </c>
      <c r="N149" s="54" cm="1">
        <f t="array" ref="N149">_xlfn.XLOOKUP(K149,LISTAS!$D$27:$D$47,_xlfn.XLOOKUP(J149,LISTAS!$E$26:$H$26,LISTAS!$E$27:$H$47))</f>
        <v>10875000</v>
      </c>
      <c r="O149" s="56" t="s">
        <v>1623</v>
      </c>
      <c r="P149" s="76" t="str">
        <f t="shared" ca="1" si="8"/>
        <v>Vencida</v>
      </c>
    </row>
    <row r="150" spans="1:16" x14ac:dyDescent="0.3">
      <c r="A150" s="58" t="s">
        <v>440</v>
      </c>
      <c r="B150" s="56" t="s">
        <v>100</v>
      </c>
      <c r="C150" s="50" t="str">
        <f>_xlfn.XLOOKUP(B150,CLIENTES!$A$2:$A$301,CLIENTES!$B$2:$B$301)</f>
        <v>Maximiliano Acosta</v>
      </c>
      <c r="D150" s="60">
        <v>44909</v>
      </c>
      <c r="E150" s="60">
        <f t="shared" si="6"/>
        <v>45274</v>
      </c>
      <c r="F150" s="50" t="s">
        <v>1596</v>
      </c>
      <c r="G150" s="56" t="s">
        <v>1608</v>
      </c>
      <c r="H150" s="47">
        <v>31</v>
      </c>
      <c r="I150" s="60">
        <v>34638</v>
      </c>
      <c r="J150" s="56" t="s">
        <v>1611</v>
      </c>
      <c r="K150" s="56">
        <v>2016</v>
      </c>
      <c r="L150" s="52">
        <f t="shared" si="7"/>
        <v>27722.551666666666</v>
      </c>
      <c r="M150" s="56">
        <f>LISTAS!$B$22*_xlfn.XLOOKUP(G150,LISTAS!$B$27:$B$36,LISTAS!$A$27:$A$36)*_xlfn.XLOOKUP(H150,LISTAS!$B$38:$B$47,LISTAS!$A$38:$A$47,,-1)*_xlfn.XLOOKUP(J150,LISTAS!$E$26:$H$26,LISTAS!$E$48:$H$48)*_xlfn.XLOOKUP(F150,LISTAS!$A$15:$A$18,LISTAS!$H$15:$H$18)</f>
        <v>1.8572499999999999E-2</v>
      </c>
      <c r="N150" s="54" cm="1">
        <f t="array" ref="N150">_xlfn.XLOOKUP(K150,LISTAS!$D$27:$D$47,_xlfn.XLOOKUP(J150,LISTAS!$E$26:$H$26,LISTAS!$E$27:$H$47))</f>
        <v>17912000</v>
      </c>
      <c r="O150" s="56" t="s">
        <v>1626</v>
      </c>
      <c r="P150" s="76" t="str">
        <f t="shared" ca="1" si="8"/>
        <v>Vencida</v>
      </c>
    </row>
    <row r="151" spans="1:16" x14ac:dyDescent="0.3">
      <c r="A151" s="58" t="s">
        <v>441</v>
      </c>
      <c r="B151" s="56" t="s">
        <v>163</v>
      </c>
      <c r="C151" s="50" t="str">
        <f>_xlfn.XLOOKUP(B151,CLIENTES!$A$2:$A$301,CLIENTES!$B$2:$B$301)</f>
        <v>Mariano Ortiz</v>
      </c>
      <c r="D151" s="60">
        <v>46175</v>
      </c>
      <c r="E151" s="60">
        <f t="shared" si="6"/>
        <v>46540</v>
      </c>
      <c r="F151" s="50" t="s">
        <v>1597</v>
      </c>
      <c r="G151" s="56" t="s">
        <v>1601</v>
      </c>
      <c r="H151" s="47">
        <v>46</v>
      </c>
      <c r="I151" s="60">
        <v>29177</v>
      </c>
      <c r="J151" s="56" t="s">
        <v>1609</v>
      </c>
      <c r="K151" s="56">
        <v>2015</v>
      </c>
      <c r="L151" s="52">
        <f t="shared" si="7"/>
        <v>18336.702083333334</v>
      </c>
      <c r="M151" s="56">
        <f>LISTAS!$B$22*_xlfn.XLOOKUP(G151,LISTAS!$B$27:$B$36,LISTAS!$A$27:$A$36)*_xlfn.XLOOKUP(H151,LISTAS!$B$38:$B$47,LISTAS!$A$38:$A$47,,-1)*_xlfn.XLOOKUP(J151,LISTAS!$E$26:$H$26,LISTAS!$E$48:$H$48)*_xlfn.XLOOKUP(F151,LISTAS!$A$15:$A$18,LISTAS!$H$15:$H$18)</f>
        <v>2.4035000000000001E-2</v>
      </c>
      <c r="N151" s="54" cm="1">
        <f t="array" ref="N151">_xlfn.XLOOKUP(K151,LISTAS!$D$27:$D$47,_xlfn.XLOOKUP(J151,LISTAS!$E$26:$H$26,LISTAS!$E$27:$H$47))</f>
        <v>9155000</v>
      </c>
      <c r="O151" s="56" t="s">
        <v>1624</v>
      </c>
      <c r="P151" s="76" t="str">
        <f t="shared" ca="1" si="8"/>
        <v>Vigente</v>
      </c>
    </row>
    <row r="152" spans="1:16" x14ac:dyDescent="0.3">
      <c r="A152" s="58" t="s">
        <v>442</v>
      </c>
      <c r="B152" s="56" t="s">
        <v>275</v>
      </c>
      <c r="C152" s="50" t="str">
        <f>_xlfn.XLOOKUP(B152,CLIENTES!$A$2:$A$301,CLIENTES!$B$2:$B$301)</f>
        <v>Martina Arias</v>
      </c>
      <c r="D152" s="60">
        <v>45284</v>
      </c>
      <c r="E152" s="60">
        <f t="shared" si="6"/>
        <v>45650</v>
      </c>
      <c r="F152" s="50" t="s">
        <v>1595</v>
      </c>
      <c r="G152" s="56" t="s">
        <v>1606</v>
      </c>
      <c r="H152" s="47">
        <v>74</v>
      </c>
      <c r="I152" s="60">
        <v>18961</v>
      </c>
      <c r="J152" s="56" t="s">
        <v>1610</v>
      </c>
      <c r="K152" s="56">
        <v>2021</v>
      </c>
      <c r="L152" s="52">
        <f t="shared" si="7"/>
        <v>39075.96</v>
      </c>
      <c r="M152" s="56">
        <f>LISTAS!$B$22*_xlfn.XLOOKUP(G152,LISTAS!$B$27:$B$36,LISTAS!$A$27:$A$36)*_xlfn.XLOOKUP(H152,LISTAS!$B$38:$B$47,LISTAS!$A$38:$A$47,,-1)*_xlfn.XLOOKUP(J152,LISTAS!$E$26:$H$26,LISTAS!$E$48:$H$48)*_xlfn.XLOOKUP(F152,LISTAS!$A$15:$A$18,LISTAS!$H$15:$H$18)</f>
        <v>1.848E-2</v>
      </c>
      <c r="N152" s="54" cm="1">
        <f t="array" ref="N152">_xlfn.XLOOKUP(K152,LISTAS!$D$27:$D$47,_xlfn.XLOOKUP(J152,LISTAS!$E$26:$H$26,LISTAS!$E$27:$H$47))</f>
        <v>25374000</v>
      </c>
      <c r="O152" s="56" t="s">
        <v>1624</v>
      </c>
      <c r="P152" s="76" t="str">
        <f t="shared" ca="1" si="8"/>
        <v>Vencida</v>
      </c>
    </row>
    <row r="153" spans="1:16" x14ac:dyDescent="0.3">
      <c r="A153" s="58" t="s">
        <v>443</v>
      </c>
      <c r="B153" s="56" t="s">
        <v>73</v>
      </c>
      <c r="C153" s="50" t="str">
        <f>_xlfn.XLOOKUP(B153,CLIENTES!$A$2:$A$301,CLIENTES!$B$2:$B$301)</f>
        <v>Florencia Vázquez</v>
      </c>
      <c r="D153" s="60">
        <v>45473</v>
      </c>
      <c r="E153" s="60">
        <f t="shared" si="6"/>
        <v>45838</v>
      </c>
      <c r="F153" s="50" t="s">
        <v>1596</v>
      </c>
      <c r="G153" s="56" t="s">
        <v>1603</v>
      </c>
      <c r="H153" s="47">
        <v>57</v>
      </c>
      <c r="I153" s="60">
        <v>25420</v>
      </c>
      <c r="J153" s="56" t="s">
        <v>1612</v>
      </c>
      <c r="K153" s="56">
        <v>2016</v>
      </c>
      <c r="L153" s="52">
        <f t="shared" si="7"/>
        <v>17998.973125</v>
      </c>
      <c r="M153" s="56">
        <f>LISTAS!$B$22*_xlfn.XLOOKUP(G153,LISTAS!$B$27:$B$36,LISTAS!$A$27:$A$36)*_xlfn.XLOOKUP(H153,LISTAS!$B$38:$B$47,LISTAS!$A$38:$A$47,,-1)*_xlfn.XLOOKUP(J153,LISTAS!$E$26:$H$26,LISTAS!$E$48:$H$48)*_xlfn.XLOOKUP(F153,LISTAS!$A$15:$A$18,LISTAS!$H$15:$H$18)</f>
        <v>1.69575E-2</v>
      </c>
      <c r="N153" s="54" cm="1">
        <f t="array" ref="N153">_xlfn.XLOOKUP(K153,LISTAS!$D$27:$D$47,_xlfn.XLOOKUP(J153,LISTAS!$E$26:$H$26,LISTAS!$E$27:$H$47))</f>
        <v>12737000</v>
      </c>
      <c r="O153" s="56" t="s">
        <v>1625</v>
      </c>
      <c r="P153" s="76" t="str">
        <f t="shared" ca="1" si="8"/>
        <v>Vencida</v>
      </c>
    </row>
    <row r="154" spans="1:16" x14ac:dyDescent="0.3">
      <c r="A154" s="58" t="s">
        <v>444</v>
      </c>
      <c r="B154" s="56" t="s">
        <v>88</v>
      </c>
      <c r="C154" s="50" t="str">
        <f>_xlfn.XLOOKUP(B154,CLIENTES!$A$2:$A$301,CLIENTES!$B$2:$B$301)</f>
        <v>Clara Bravo</v>
      </c>
      <c r="D154" s="60">
        <v>45668</v>
      </c>
      <c r="E154" s="60">
        <f t="shared" si="6"/>
        <v>46033</v>
      </c>
      <c r="F154" s="50" t="s">
        <v>1596</v>
      </c>
      <c r="G154" s="56" t="s">
        <v>1607</v>
      </c>
      <c r="H154" s="47">
        <v>70</v>
      </c>
      <c r="I154" s="60">
        <v>20336</v>
      </c>
      <c r="J154" s="56" t="s">
        <v>1611</v>
      </c>
      <c r="K154" s="56">
        <v>2026</v>
      </c>
      <c r="L154" s="52">
        <f t="shared" si="7"/>
        <v>112901.25</v>
      </c>
      <c r="M154" s="56">
        <f>LISTAS!$B$22*_xlfn.XLOOKUP(G154,LISTAS!$B$27:$B$36,LISTAS!$A$27:$A$36)*_xlfn.XLOOKUP(H154,LISTAS!$B$38:$B$47,LISTAS!$A$38:$A$47,,-1)*_xlfn.XLOOKUP(J154,LISTAS!$E$26:$H$26,LISTAS!$E$48:$H$48)*_xlfn.XLOOKUP(F154,LISTAS!$A$15:$A$18,LISTAS!$H$15:$H$18)</f>
        <v>3.0106999999999998E-2</v>
      </c>
      <c r="N154" s="54" cm="1">
        <f t="array" ref="N154">_xlfn.XLOOKUP(K154,LISTAS!$D$27:$D$47,_xlfn.XLOOKUP(J154,LISTAS!$E$26:$H$26,LISTAS!$E$27:$H$47))</f>
        <v>45000000</v>
      </c>
      <c r="O154" s="56" t="s">
        <v>1625</v>
      </c>
      <c r="P154" s="76" t="str">
        <f t="shared" ca="1" si="8"/>
        <v>Vencida</v>
      </c>
    </row>
    <row r="155" spans="1:16" x14ac:dyDescent="0.3">
      <c r="A155" s="58" t="s">
        <v>445</v>
      </c>
      <c r="B155" s="56" t="s">
        <v>95</v>
      </c>
      <c r="C155" s="50" t="str">
        <f>_xlfn.XLOOKUP(B155,CLIENTES!$A$2:$A$301,CLIENTES!$B$2:$B$301)</f>
        <v>Paula Correa</v>
      </c>
      <c r="D155" s="60">
        <v>44986</v>
      </c>
      <c r="E155" s="60">
        <f t="shared" si="6"/>
        <v>45352</v>
      </c>
      <c r="F155" s="50" t="s">
        <v>1595</v>
      </c>
      <c r="G155" s="56" t="s">
        <v>1603</v>
      </c>
      <c r="H155" s="47">
        <v>65</v>
      </c>
      <c r="I155" s="60">
        <v>22310</v>
      </c>
      <c r="J155" s="56" t="s">
        <v>1609</v>
      </c>
      <c r="K155" s="56">
        <v>2024</v>
      </c>
      <c r="L155" s="52">
        <f t="shared" si="7"/>
        <v>22991.662499999995</v>
      </c>
      <c r="M155" s="56">
        <f>LISTAS!$B$22*_xlfn.XLOOKUP(G155,LISTAS!$B$27:$B$36,LISTAS!$A$27:$A$36)*_xlfn.XLOOKUP(H155,LISTAS!$B$38:$B$47,LISTAS!$A$38:$A$47,,-1)*_xlfn.XLOOKUP(J155,LISTAS!$E$26:$H$26,LISTAS!$E$48:$H$48)*_xlfn.XLOOKUP(F155,LISTAS!$A$15:$A$18,LISTAS!$H$15:$H$18)</f>
        <v>1.3109999999999998E-2</v>
      </c>
      <c r="N155" s="54" cm="1">
        <f t="array" ref="N155">_xlfn.XLOOKUP(K155,LISTAS!$D$27:$D$47,_xlfn.XLOOKUP(J155,LISTAS!$E$26:$H$26,LISTAS!$E$27:$H$47))</f>
        <v>21045000</v>
      </c>
      <c r="O155" s="56" t="s">
        <v>1624</v>
      </c>
      <c r="P155" s="76" t="str">
        <f t="shared" ca="1" si="8"/>
        <v>Vencida</v>
      </c>
    </row>
    <row r="156" spans="1:16" x14ac:dyDescent="0.3">
      <c r="A156" s="58" t="s">
        <v>446</v>
      </c>
      <c r="B156" s="56" t="s">
        <v>244</v>
      </c>
      <c r="C156" s="50" t="str">
        <f>_xlfn.XLOOKUP(B156,CLIENTES!$A$2:$A$301,CLIENTES!$B$2:$B$301)</f>
        <v>Matías Medina</v>
      </c>
      <c r="D156" s="60">
        <v>45538</v>
      </c>
      <c r="E156" s="60">
        <f t="shared" si="6"/>
        <v>45903</v>
      </c>
      <c r="F156" s="50" t="s">
        <v>1597</v>
      </c>
      <c r="G156" s="56" t="s">
        <v>1604</v>
      </c>
      <c r="H156" s="47">
        <v>49</v>
      </c>
      <c r="I156" s="60">
        <v>28323</v>
      </c>
      <c r="J156" s="56" t="s">
        <v>1611</v>
      </c>
      <c r="K156" s="56">
        <v>2023</v>
      </c>
      <c r="L156" s="52">
        <f t="shared" si="7"/>
        <v>72496.770499999999</v>
      </c>
      <c r="M156" s="56">
        <f>LISTAS!$B$22*_xlfn.XLOOKUP(G156,LISTAS!$B$27:$B$36,LISTAS!$A$27:$A$36)*_xlfn.XLOOKUP(H156,LISTAS!$B$38:$B$47,LISTAS!$A$38:$A$47,,-1)*_xlfn.XLOOKUP(J156,LISTAS!$E$26:$H$26,LISTAS!$E$48:$H$48)*_xlfn.XLOOKUP(F156,LISTAS!$A$15:$A$18,LISTAS!$H$15:$H$18)</f>
        <v>2.5236749999999999E-2</v>
      </c>
      <c r="N156" s="54" cm="1">
        <f t="array" ref="N156">_xlfn.XLOOKUP(K156,LISTAS!$D$27:$D$47,_xlfn.XLOOKUP(J156,LISTAS!$E$26:$H$26,LISTAS!$E$27:$H$47))</f>
        <v>34472000</v>
      </c>
      <c r="O156" s="56" t="s">
        <v>1623</v>
      </c>
      <c r="P156" s="76" t="str">
        <f t="shared" ca="1" si="8"/>
        <v>Vencida</v>
      </c>
    </row>
    <row r="157" spans="1:16" x14ac:dyDescent="0.3">
      <c r="A157" s="58" t="s">
        <v>447</v>
      </c>
      <c r="B157" s="56" t="s">
        <v>196</v>
      </c>
      <c r="C157" s="50" t="str">
        <f>_xlfn.XLOOKUP(B157,CLIENTES!$A$2:$A$301,CLIENTES!$B$2:$B$301)</f>
        <v>Pablo Suárez</v>
      </c>
      <c r="D157" s="60">
        <v>44831</v>
      </c>
      <c r="E157" s="60">
        <f t="shared" si="6"/>
        <v>45196</v>
      </c>
      <c r="F157" s="50" t="s">
        <v>1598</v>
      </c>
      <c r="G157" s="56" t="s">
        <v>1601</v>
      </c>
      <c r="H157" s="47">
        <v>79</v>
      </c>
      <c r="I157" s="60">
        <v>17121</v>
      </c>
      <c r="J157" s="56" t="s">
        <v>1612</v>
      </c>
      <c r="K157" s="56">
        <v>2024</v>
      </c>
      <c r="L157" s="52">
        <f t="shared" si="7"/>
        <v>102190.98662500001</v>
      </c>
      <c r="M157" s="56">
        <f>LISTAS!$B$22*_xlfn.XLOOKUP(G157,LISTAS!$B$27:$B$36,LISTAS!$A$27:$A$36)*_xlfn.XLOOKUP(H157,LISTAS!$B$38:$B$47,LISTAS!$A$38:$A$47,,-1)*_xlfn.XLOOKUP(J157,LISTAS!$E$26:$H$26,LISTAS!$E$48:$H$48)*_xlfn.XLOOKUP(F157,LISTAS!$A$15:$A$18,LISTAS!$H$15:$H$18)</f>
        <v>4.5522750000000001E-2</v>
      </c>
      <c r="N157" s="54" cm="1">
        <f t="array" ref="N157">_xlfn.XLOOKUP(K157,LISTAS!$D$27:$D$47,_xlfn.XLOOKUP(J157,LISTAS!$E$26:$H$26,LISTAS!$E$27:$H$47))</f>
        <v>26938000</v>
      </c>
      <c r="O157" s="56" t="s">
        <v>1625</v>
      </c>
      <c r="P157" s="76" t="str">
        <f t="shared" ca="1" si="8"/>
        <v>Vencida</v>
      </c>
    </row>
    <row r="158" spans="1:16" x14ac:dyDescent="0.3">
      <c r="A158" s="58" t="s">
        <v>448</v>
      </c>
      <c r="B158" s="56" t="s">
        <v>39</v>
      </c>
      <c r="C158" s="50" t="str">
        <f>_xlfn.XLOOKUP(B158,CLIENTES!$A$2:$A$301,CLIENTES!$B$2:$B$301)</f>
        <v>Juan Romero</v>
      </c>
      <c r="D158" s="60">
        <v>45313</v>
      </c>
      <c r="E158" s="60">
        <f t="shared" si="6"/>
        <v>45679</v>
      </c>
      <c r="F158" s="50" t="s">
        <v>1595</v>
      </c>
      <c r="G158" s="56" t="s">
        <v>1600</v>
      </c>
      <c r="H158" s="47">
        <v>49</v>
      </c>
      <c r="I158" s="60">
        <v>28208</v>
      </c>
      <c r="J158" s="56" t="s">
        <v>1610</v>
      </c>
      <c r="K158" s="56">
        <v>2025</v>
      </c>
      <c r="L158" s="52">
        <f t="shared" si="7"/>
        <v>44224.4</v>
      </c>
      <c r="M158" s="56">
        <f>LISTAS!$B$22*_xlfn.XLOOKUP(G158,LISTAS!$B$27:$B$36,LISTAS!$A$27:$A$36)*_xlfn.XLOOKUP(H158,LISTAS!$B$38:$B$47,LISTAS!$A$38:$A$47,,-1)*_xlfn.XLOOKUP(J158,LISTAS!$E$26:$H$26,LISTAS!$E$48:$H$48)*_xlfn.XLOOKUP(F158,LISTAS!$A$15:$A$18,LISTAS!$H$15:$H$18)</f>
        <v>1.4421E-2</v>
      </c>
      <c r="N158" s="54" cm="1">
        <f t="array" ref="N158">_xlfn.XLOOKUP(K158,LISTAS!$D$27:$D$47,_xlfn.XLOOKUP(J158,LISTAS!$E$26:$H$26,LISTAS!$E$27:$H$47))</f>
        <v>36800000</v>
      </c>
      <c r="O158" s="56" t="s">
        <v>1623</v>
      </c>
      <c r="P158" s="76" t="str">
        <f t="shared" ca="1" si="8"/>
        <v>Vencida</v>
      </c>
    </row>
    <row r="159" spans="1:16" x14ac:dyDescent="0.3">
      <c r="A159" s="58" t="s">
        <v>449</v>
      </c>
      <c r="B159" s="56" t="s">
        <v>30</v>
      </c>
      <c r="C159" s="50" t="str">
        <f>_xlfn.XLOOKUP(B159,CLIENTES!$A$2:$A$301,CLIENTES!$B$2:$B$301)</f>
        <v>Diego Medina</v>
      </c>
      <c r="D159" s="60">
        <v>44855</v>
      </c>
      <c r="E159" s="60">
        <f t="shared" si="6"/>
        <v>45220</v>
      </c>
      <c r="F159" s="50" t="s">
        <v>1596</v>
      </c>
      <c r="G159" s="56" t="s">
        <v>1601</v>
      </c>
      <c r="H159" s="47">
        <v>55</v>
      </c>
      <c r="I159" s="60">
        <v>26085</v>
      </c>
      <c r="J159" s="56" t="s">
        <v>1612</v>
      </c>
      <c r="K159" s="56">
        <v>2019</v>
      </c>
      <c r="L159" s="52">
        <f t="shared" si="7"/>
        <v>28755.606250000001</v>
      </c>
      <c r="M159" s="56">
        <f>LISTAS!$B$22*_xlfn.XLOOKUP(G159,LISTAS!$B$27:$B$36,LISTAS!$A$27:$A$36)*_xlfn.XLOOKUP(H159,LISTAS!$B$38:$B$47,LISTAS!$A$38:$A$47,,-1)*_xlfn.XLOOKUP(J159,LISTAS!$E$26:$H$26,LISTAS!$E$48:$H$48)*_xlfn.XLOOKUP(F159,LISTAS!$A$15:$A$18,LISTAS!$H$15:$H$18)</f>
        <v>2.0527500000000001E-2</v>
      </c>
      <c r="N159" s="54" cm="1">
        <f t="array" ref="N159">_xlfn.XLOOKUP(K159,LISTAS!$D$27:$D$47,_xlfn.XLOOKUP(J159,LISTAS!$E$26:$H$26,LISTAS!$E$27:$H$47))</f>
        <v>16810000</v>
      </c>
      <c r="O159" s="56" t="s">
        <v>1625</v>
      </c>
      <c r="P159" s="76" t="str">
        <f t="shared" ca="1" si="8"/>
        <v>Vencida</v>
      </c>
    </row>
    <row r="160" spans="1:16" x14ac:dyDescent="0.3">
      <c r="A160" s="58" t="s">
        <v>450</v>
      </c>
      <c r="B160" s="56" t="s">
        <v>107</v>
      </c>
      <c r="C160" s="50" t="str">
        <f>_xlfn.XLOOKUP(B160,CLIENTES!$A$2:$A$301,CLIENTES!$B$2:$B$301)</f>
        <v>Emiliano Rojas</v>
      </c>
      <c r="D160" s="60">
        <v>44714</v>
      </c>
      <c r="E160" s="60">
        <f t="shared" si="6"/>
        <v>45079</v>
      </c>
      <c r="F160" s="50" t="s">
        <v>1598</v>
      </c>
      <c r="G160" s="56" t="s">
        <v>1605</v>
      </c>
      <c r="H160" s="47">
        <v>63</v>
      </c>
      <c r="I160" s="60">
        <v>22914</v>
      </c>
      <c r="J160" s="56" t="s">
        <v>1612</v>
      </c>
      <c r="K160" s="56">
        <v>2025</v>
      </c>
      <c r="L160" s="52">
        <f t="shared" si="7"/>
        <v>63292.320000000029</v>
      </c>
      <c r="M160" s="56">
        <f>LISTAS!$B$22*_xlfn.XLOOKUP(G160,LISTAS!$B$27:$B$36,LISTAS!$A$27:$A$36)*_xlfn.XLOOKUP(H160,LISTAS!$B$38:$B$47,LISTAS!$A$38:$A$47,,-1)*_xlfn.XLOOKUP(J160,LISTAS!$E$26:$H$26,LISTAS!$E$48:$H$48)*_xlfn.XLOOKUP(F160,LISTAS!$A$15:$A$18,LISTAS!$H$15:$H$18)</f>
        <v>2.5798500000000009E-2</v>
      </c>
      <c r="N160" s="54" cm="1">
        <f t="array" ref="N160">_xlfn.XLOOKUP(K160,LISTAS!$D$27:$D$47,_xlfn.XLOOKUP(J160,LISTAS!$E$26:$H$26,LISTAS!$E$27:$H$47))</f>
        <v>29440000</v>
      </c>
      <c r="O160" s="56" t="s">
        <v>1625</v>
      </c>
      <c r="P160" s="76" t="str">
        <f t="shared" ca="1" si="8"/>
        <v>Vencida</v>
      </c>
    </row>
    <row r="161" spans="1:16" x14ac:dyDescent="0.3">
      <c r="A161" s="58" t="s">
        <v>451</v>
      </c>
      <c r="B161" s="56" t="s">
        <v>197</v>
      </c>
      <c r="C161" s="50" t="str">
        <f>_xlfn.XLOOKUP(B161,CLIENTES!$A$2:$A$301,CLIENTES!$B$2:$B$301)</f>
        <v>Sofía Mansilla</v>
      </c>
      <c r="D161" s="60">
        <v>46156</v>
      </c>
      <c r="E161" s="60">
        <f t="shared" si="6"/>
        <v>46521</v>
      </c>
      <c r="F161" s="50" t="s">
        <v>1595</v>
      </c>
      <c r="G161" s="56" t="s">
        <v>1599</v>
      </c>
      <c r="H161" s="47">
        <v>59</v>
      </c>
      <c r="I161" s="60">
        <v>24373</v>
      </c>
      <c r="J161" s="56" t="s">
        <v>1611</v>
      </c>
      <c r="K161" s="56">
        <v>2021</v>
      </c>
      <c r="L161" s="52">
        <f t="shared" si="7"/>
        <v>39393.479999999996</v>
      </c>
      <c r="M161" s="56">
        <f>LISTAS!$B$22*_xlfn.XLOOKUP(G161,LISTAS!$B$27:$B$36,LISTAS!$A$27:$A$36)*_xlfn.XLOOKUP(H161,LISTAS!$B$38:$B$47,LISTAS!$A$38:$A$47,,-1)*_xlfn.XLOOKUP(J161,LISTAS!$E$26:$H$26,LISTAS!$E$48:$H$48)*_xlfn.XLOOKUP(F161,LISTAS!$A$15:$A$18,LISTAS!$H$15:$H$18)</f>
        <v>1.6559999999999998E-2</v>
      </c>
      <c r="N161" s="54" cm="1">
        <f t="array" ref="N161">_xlfn.XLOOKUP(K161,LISTAS!$D$27:$D$47,_xlfn.XLOOKUP(J161,LISTAS!$E$26:$H$26,LISTAS!$E$27:$H$47))</f>
        <v>28546000</v>
      </c>
      <c r="O161" s="56" t="s">
        <v>1623</v>
      </c>
      <c r="P161" s="76" t="str">
        <f t="shared" ca="1" si="8"/>
        <v>Vigente</v>
      </c>
    </row>
    <row r="162" spans="1:16" x14ac:dyDescent="0.3">
      <c r="A162" s="58" t="s">
        <v>452</v>
      </c>
      <c r="B162" s="56" t="s">
        <v>244</v>
      </c>
      <c r="C162" s="50" t="str">
        <f>_xlfn.XLOOKUP(B162,CLIENTES!$A$2:$A$301,CLIENTES!$B$2:$B$301)</f>
        <v>Matías Medina</v>
      </c>
      <c r="D162" s="60">
        <v>44590</v>
      </c>
      <c r="E162" s="60">
        <f t="shared" si="6"/>
        <v>44955</v>
      </c>
      <c r="F162" s="50" t="s">
        <v>1597</v>
      </c>
      <c r="G162" s="56" t="s">
        <v>1599</v>
      </c>
      <c r="H162" s="47">
        <v>27</v>
      </c>
      <c r="I162" s="60">
        <v>36364</v>
      </c>
      <c r="J162" s="56" t="s">
        <v>1612</v>
      </c>
      <c r="K162" s="56">
        <v>2018</v>
      </c>
      <c r="L162" s="52">
        <f t="shared" si="7"/>
        <v>42403.284000000007</v>
      </c>
      <c r="M162" s="56">
        <f>LISTAS!$B$22*_xlfn.XLOOKUP(G162,LISTAS!$B$27:$B$36,LISTAS!$A$27:$A$36)*_xlfn.XLOOKUP(H162,LISTAS!$B$38:$B$47,LISTAS!$A$38:$A$47,,-1)*_xlfn.XLOOKUP(J162,LISTAS!$E$26:$H$26,LISTAS!$E$48:$H$48)*_xlfn.XLOOKUP(F162,LISTAS!$A$15:$A$18,LISTAS!$H$15:$H$18)</f>
        <v>3.3264000000000002E-2</v>
      </c>
      <c r="N162" s="54" cm="1">
        <f t="array" ref="N162">_xlfn.XLOOKUP(K162,LISTAS!$D$27:$D$47,_xlfn.XLOOKUP(J162,LISTAS!$E$26:$H$26,LISTAS!$E$27:$H$47))</f>
        <v>15297000</v>
      </c>
      <c r="O162" s="56" t="s">
        <v>1626</v>
      </c>
      <c r="P162" s="76" t="str">
        <f t="shared" ca="1" si="8"/>
        <v>Vencida</v>
      </c>
    </row>
    <row r="163" spans="1:16" x14ac:dyDescent="0.3">
      <c r="A163" s="58" t="s">
        <v>453</v>
      </c>
      <c r="B163" s="56" t="s">
        <v>244</v>
      </c>
      <c r="C163" s="50" t="str">
        <f>_xlfn.XLOOKUP(B163,CLIENTES!$A$2:$A$301,CLIENTES!$B$2:$B$301)</f>
        <v>Matías Medina</v>
      </c>
      <c r="D163" s="60">
        <v>45431</v>
      </c>
      <c r="E163" s="60">
        <f t="shared" si="6"/>
        <v>45796</v>
      </c>
      <c r="F163" s="50" t="s">
        <v>1595</v>
      </c>
      <c r="G163" s="56" t="s">
        <v>1602</v>
      </c>
      <c r="H163" s="47">
        <v>44</v>
      </c>
      <c r="I163" s="60">
        <v>29970</v>
      </c>
      <c r="J163" s="56" t="s">
        <v>1612</v>
      </c>
      <c r="K163" s="56">
        <v>2022</v>
      </c>
      <c r="L163" s="52">
        <f t="shared" si="7"/>
        <v>23363.794125</v>
      </c>
      <c r="M163" s="56">
        <f>LISTAS!$B$22*_xlfn.XLOOKUP(G163,LISTAS!$B$27:$B$36,LISTAS!$A$27:$A$36)*_xlfn.XLOOKUP(H163,LISTAS!$B$38:$B$47,LISTAS!$A$38:$A$47,,-1)*_xlfn.XLOOKUP(J163,LISTAS!$E$26:$H$26,LISTAS!$E$48:$H$48)*_xlfn.XLOOKUP(F163,LISTAS!$A$15:$A$18,LISTAS!$H$15:$H$18)</f>
        <v>1.25685E-2</v>
      </c>
      <c r="N163" s="54" cm="1">
        <f t="array" ref="N163">_xlfn.XLOOKUP(K163,LISTAS!$D$27:$D$47,_xlfn.XLOOKUP(J163,LISTAS!$E$26:$H$26,LISTAS!$E$27:$H$47))</f>
        <v>22307000</v>
      </c>
      <c r="O163" s="56" t="s">
        <v>1623</v>
      </c>
      <c r="P163" s="76" t="str">
        <f t="shared" ca="1" si="8"/>
        <v>Vencida</v>
      </c>
    </row>
    <row r="164" spans="1:16" x14ac:dyDescent="0.3">
      <c r="A164" s="58" t="s">
        <v>454</v>
      </c>
      <c r="B164" s="56" t="s">
        <v>189</v>
      </c>
      <c r="C164" s="50" t="str">
        <f>_xlfn.XLOOKUP(B164,CLIENTES!$A$2:$A$301,CLIENTES!$B$2:$B$301)</f>
        <v>Valentina Navarro</v>
      </c>
      <c r="D164" s="60">
        <v>45156</v>
      </c>
      <c r="E164" s="60">
        <f t="shared" si="6"/>
        <v>45522</v>
      </c>
      <c r="F164" s="50" t="s">
        <v>1598</v>
      </c>
      <c r="G164" s="56" t="s">
        <v>1608</v>
      </c>
      <c r="H164" s="47">
        <v>23</v>
      </c>
      <c r="I164" s="60">
        <v>37665</v>
      </c>
      <c r="J164" s="56" t="s">
        <v>1612</v>
      </c>
      <c r="K164" s="56">
        <v>2024</v>
      </c>
      <c r="L164" s="52">
        <f t="shared" si="7"/>
        <v>78596.665875000021</v>
      </c>
      <c r="M164" s="56">
        <f>LISTAS!$B$22*_xlfn.XLOOKUP(G164,LISTAS!$B$27:$B$36,LISTAS!$A$27:$A$36)*_xlfn.XLOOKUP(H164,LISTAS!$B$38:$B$47,LISTAS!$A$38:$A$47,,-1)*_xlfn.XLOOKUP(J164,LISTAS!$E$26:$H$26,LISTAS!$E$48:$H$48)*_xlfn.XLOOKUP(F164,LISTAS!$A$15:$A$18,LISTAS!$H$15:$H$18)</f>
        <v>3.5012250000000009E-2</v>
      </c>
      <c r="N164" s="54" cm="1">
        <f t="array" ref="N164">_xlfn.XLOOKUP(K164,LISTAS!$D$27:$D$47,_xlfn.XLOOKUP(J164,LISTAS!$E$26:$H$26,LISTAS!$E$27:$H$47))</f>
        <v>26938000</v>
      </c>
      <c r="O164" s="56" t="s">
        <v>1623</v>
      </c>
      <c r="P164" s="76" t="str">
        <f t="shared" ca="1" si="8"/>
        <v>Vencida</v>
      </c>
    </row>
    <row r="165" spans="1:16" x14ac:dyDescent="0.3">
      <c r="A165" s="58" t="s">
        <v>455</v>
      </c>
      <c r="B165" s="56" t="s">
        <v>45</v>
      </c>
      <c r="C165" s="50" t="str">
        <f>_xlfn.XLOOKUP(B165,CLIENTES!$A$2:$A$301,CLIENTES!$B$2:$B$301)</f>
        <v>Pedro Aguirre</v>
      </c>
      <c r="D165" s="60">
        <v>44748</v>
      </c>
      <c r="E165" s="60">
        <f t="shared" si="6"/>
        <v>45113</v>
      </c>
      <c r="F165" s="50" t="s">
        <v>1595</v>
      </c>
      <c r="G165" s="56" t="s">
        <v>1604</v>
      </c>
      <c r="H165" s="47">
        <v>53</v>
      </c>
      <c r="I165" s="60">
        <v>26587</v>
      </c>
      <c r="J165" s="56" t="s">
        <v>1611</v>
      </c>
      <c r="K165" s="56">
        <v>2026</v>
      </c>
      <c r="L165" s="52">
        <f t="shared" si="7"/>
        <v>54337.5</v>
      </c>
      <c r="M165" s="56">
        <f>LISTAS!$B$22*_xlfn.XLOOKUP(G165,LISTAS!$B$27:$B$36,LISTAS!$A$27:$A$36)*_xlfn.XLOOKUP(H165,LISTAS!$B$38:$B$47,LISTAS!$A$38:$A$47,,-1)*_xlfn.XLOOKUP(J165,LISTAS!$E$26:$H$26,LISTAS!$E$48:$H$48)*_xlfn.XLOOKUP(F165,LISTAS!$A$15:$A$18,LISTAS!$H$15:$H$18)</f>
        <v>1.4489999999999999E-2</v>
      </c>
      <c r="N165" s="54" cm="1">
        <f t="array" ref="N165">_xlfn.XLOOKUP(K165,LISTAS!$D$27:$D$47,_xlfn.XLOOKUP(J165,LISTAS!$E$26:$H$26,LISTAS!$E$27:$H$47))</f>
        <v>45000000</v>
      </c>
      <c r="O165" s="56" t="s">
        <v>1624</v>
      </c>
      <c r="P165" s="76" t="str">
        <f t="shared" ca="1" si="8"/>
        <v>Vencida</v>
      </c>
    </row>
    <row r="166" spans="1:16" x14ac:dyDescent="0.3">
      <c r="A166" s="58" t="s">
        <v>456</v>
      </c>
      <c r="B166" s="56" t="s">
        <v>180</v>
      </c>
      <c r="C166" s="50" t="str">
        <f>_xlfn.XLOOKUP(B166,CLIENTES!$A$2:$A$301,CLIENTES!$B$2:$B$301)</f>
        <v>Catalina Peralta</v>
      </c>
      <c r="D166" s="60">
        <v>45536</v>
      </c>
      <c r="E166" s="60">
        <f t="shared" si="6"/>
        <v>45901</v>
      </c>
      <c r="F166" s="50" t="s">
        <v>1597</v>
      </c>
      <c r="G166" s="56" t="s">
        <v>1600</v>
      </c>
      <c r="H166" s="47">
        <v>76</v>
      </c>
      <c r="I166" s="60">
        <v>18207</v>
      </c>
      <c r="J166" s="56" t="s">
        <v>1610</v>
      </c>
      <c r="K166" s="56">
        <v>2021</v>
      </c>
      <c r="L166" s="52">
        <f t="shared" si="7"/>
        <v>85327.475750000012</v>
      </c>
      <c r="M166" s="56">
        <f>LISTAS!$B$22*_xlfn.XLOOKUP(G166,LISTAS!$B$27:$B$36,LISTAS!$A$27:$A$36)*_xlfn.XLOOKUP(H166,LISTAS!$B$38:$B$47,LISTAS!$A$38:$A$47,,-1)*_xlfn.XLOOKUP(J166,LISTAS!$E$26:$H$26,LISTAS!$E$48:$H$48)*_xlfn.XLOOKUP(F166,LISTAS!$A$15:$A$18,LISTAS!$H$15:$H$18)</f>
        <v>4.0353500000000007E-2</v>
      </c>
      <c r="N166" s="54" cm="1">
        <f t="array" ref="N166">_xlfn.XLOOKUP(K166,LISTAS!$D$27:$D$47,_xlfn.XLOOKUP(J166,LISTAS!$E$26:$H$26,LISTAS!$E$27:$H$47))</f>
        <v>25374000</v>
      </c>
      <c r="O166" s="56" t="s">
        <v>1623</v>
      </c>
      <c r="P166" s="76" t="str">
        <f t="shared" ca="1" si="8"/>
        <v>Vencida</v>
      </c>
    </row>
    <row r="167" spans="1:16" x14ac:dyDescent="0.3">
      <c r="A167" s="58" t="s">
        <v>457</v>
      </c>
      <c r="B167" s="56" t="s">
        <v>217</v>
      </c>
      <c r="C167" s="50" t="str">
        <f>_xlfn.XLOOKUP(B167,CLIENTES!$A$2:$A$301,CLIENTES!$B$2:$B$301)</f>
        <v>Santiago López</v>
      </c>
      <c r="D167" s="60">
        <v>46080</v>
      </c>
      <c r="E167" s="60">
        <f t="shared" si="6"/>
        <v>46445</v>
      </c>
      <c r="F167" s="50" t="s">
        <v>1598</v>
      </c>
      <c r="G167" s="56" t="s">
        <v>1606</v>
      </c>
      <c r="H167" s="47">
        <v>36</v>
      </c>
      <c r="I167" s="60">
        <v>32797</v>
      </c>
      <c r="J167" s="56" t="s">
        <v>1610</v>
      </c>
      <c r="K167" s="56">
        <v>2022</v>
      </c>
      <c r="L167" s="52">
        <f t="shared" si="7"/>
        <v>66456.866666666683</v>
      </c>
      <c r="M167" s="56">
        <f>LISTAS!$B$22*_xlfn.XLOOKUP(G167,LISTAS!$B$27:$B$36,LISTAS!$A$27:$A$36)*_xlfn.XLOOKUP(H167,LISTAS!$B$38:$B$47,LISTAS!$A$38:$A$47,,-1)*_xlfn.XLOOKUP(J167,LISTAS!$E$26:$H$26,LISTAS!$E$48:$H$48)*_xlfn.XLOOKUP(F167,LISTAS!$A$15:$A$18,LISTAS!$H$15:$H$18)</f>
        <v>2.8600000000000004E-2</v>
      </c>
      <c r="N167" s="54" cm="1">
        <f t="array" ref="N167">_xlfn.XLOOKUP(K167,LISTAS!$D$27:$D$47,_xlfn.XLOOKUP(J167,LISTAS!$E$26:$H$26,LISTAS!$E$27:$H$47))</f>
        <v>27884000</v>
      </c>
      <c r="O167" s="56" t="s">
        <v>1623</v>
      </c>
      <c r="P167" s="76" t="str">
        <f t="shared" ca="1" si="8"/>
        <v>Vigente</v>
      </c>
    </row>
    <row r="168" spans="1:16" x14ac:dyDescent="0.3">
      <c r="A168" s="58" t="s">
        <v>458</v>
      </c>
      <c r="B168" s="56" t="s">
        <v>96</v>
      </c>
      <c r="C168" s="50" t="str">
        <f>_xlfn.XLOOKUP(B168,CLIENTES!$A$2:$A$301,CLIENTES!$B$2:$B$301)</f>
        <v>Lautaro Rojas</v>
      </c>
      <c r="D168" s="60">
        <v>46165</v>
      </c>
      <c r="E168" s="60">
        <f t="shared" si="6"/>
        <v>46530</v>
      </c>
      <c r="F168" s="50" t="s">
        <v>1597</v>
      </c>
      <c r="G168" s="56" t="s">
        <v>1605</v>
      </c>
      <c r="H168" s="47">
        <v>22</v>
      </c>
      <c r="I168" s="60">
        <v>38141</v>
      </c>
      <c r="J168" s="56" t="s">
        <v>1611</v>
      </c>
      <c r="K168" s="56">
        <v>2015</v>
      </c>
      <c r="L168" s="52">
        <f t="shared" si="7"/>
        <v>42213.018375000007</v>
      </c>
      <c r="M168" s="56">
        <f>LISTAS!$B$22*_xlfn.XLOOKUP(G168,LISTAS!$B$27:$B$36,LISTAS!$A$27:$A$36)*_xlfn.XLOOKUP(H168,LISTAS!$B$38:$B$47,LISTAS!$A$38:$A$47,,-1)*_xlfn.XLOOKUP(J168,LISTAS!$E$26:$H$26,LISTAS!$E$48:$H$48)*_xlfn.XLOOKUP(F168,LISTAS!$A$15:$A$18,LISTAS!$H$15:$H$18)</f>
        <v>3.0739500000000006E-2</v>
      </c>
      <c r="N168" s="54" cm="1">
        <f t="array" ref="N168">_xlfn.XLOOKUP(K168,LISTAS!$D$27:$D$47,_xlfn.XLOOKUP(J168,LISTAS!$E$26:$H$26,LISTAS!$E$27:$H$47))</f>
        <v>16479000</v>
      </c>
      <c r="O168" s="56" t="s">
        <v>1625</v>
      </c>
      <c r="P168" s="76" t="str">
        <f t="shared" ca="1" si="8"/>
        <v>Vigente</v>
      </c>
    </row>
    <row r="169" spans="1:16" x14ac:dyDescent="0.3">
      <c r="A169" s="58" t="s">
        <v>459</v>
      </c>
      <c r="B169" s="56" t="s">
        <v>259</v>
      </c>
      <c r="C169" s="50" t="str">
        <f>_xlfn.XLOOKUP(B169,CLIENTES!$A$2:$A$301,CLIENTES!$B$2:$B$301)</f>
        <v>Sebastián Benítez</v>
      </c>
      <c r="D169" s="60">
        <v>46132</v>
      </c>
      <c r="E169" s="60">
        <f t="shared" si="6"/>
        <v>46497</v>
      </c>
      <c r="F169" s="50" t="s">
        <v>1598</v>
      </c>
      <c r="G169" s="56" t="s">
        <v>1608</v>
      </c>
      <c r="H169" s="47">
        <v>48</v>
      </c>
      <c r="I169" s="60">
        <v>28444</v>
      </c>
      <c r="J169" s="56" t="s">
        <v>1611</v>
      </c>
      <c r="K169" s="56">
        <v>2024</v>
      </c>
      <c r="L169" s="52">
        <f t="shared" si="7"/>
        <v>85184.109562499987</v>
      </c>
      <c r="M169" s="56">
        <f>LISTAS!$B$22*_xlfn.XLOOKUP(G169,LISTAS!$B$27:$B$36,LISTAS!$A$27:$A$36)*_xlfn.XLOOKUP(H169,LISTAS!$B$38:$B$47,LISTAS!$A$38:$A$47,,-1)*_xlfn.XLOOKUP(J169,LISTAS!$E$26:$H$26,LISTAS!$E$48:$H$48)*_xlfn.XLOOKUP(F169,LISTAS!$A$15:$A$18,LISTAS!$H$15:$H$18)</f>
        <v>2.6984749999999998E-2</v>
      </c>
      <c r="N169" s="54" cm="1">
        <f t="array" ref="N169">_xlfn.XLOOKUP(K169,LISTAS!$D$27:$D$47,_xlfn.XLOOKUP(J169,LISTAS!$E$26:$H$26,LISTAS!$E$27:$H$47))</f>
        <v>37881000</v>
      </c>
      <c r="O169" s="56" t="s">
        <v>1625</v>
      </c>
      <c r="P169" s="76" t="str">
        <f t="shared" ca="1" si="8"/>
        <v>Vigente</v>
      </c>
    </row>
    <row r="170" spans="1:16" x14ac:dyDescent="0.3">
      <c r="A170" s="58" t="s">
        <v>460</v>
      </c>
      <c r="B170" s="56" t="s">
        <v>265</v>
      </c>
      <c r="C170" s="50" t="str">
        <f>_xlfn.XLOOKUP(B170,CLIENTES!$A$2:$A$301,CLIENTES!$B$2:$B$301)</f>
        <v>Pedro Fernández</v>
      </c>
      <c r="D170" s="60">
        <v>45342</v>
      </c>
      <c r="E170" s="60">
        <f t="shared" si="6"/>
        <v>45708</v>
      </c>
      <c r="F170" s="50" t="s">
        <v>1596</v>
      </c>
      <c r="G170" s="56" t="s">
        <v>1607</v>
      </c>
      <c r="H170" s="47">
        <v>52</v>
      </c>
      <c r="I170" s="60">
        <v>26965</v>
      </c>
      <c r="J170" s="56" t="s">
        <v>1611</v>
      </c>
      <c r="K170" s="56">
        <v>2021</v>
      </c>
      <c r="L170" s="52">
        <f t="shared" si="7"/>
        <v>51156.810833333329</v>
      </c>
      <c r="M170" s="56">
        <f>LISTAS!$B$22*_xlfn.XLOOKUP(G170,LISTAS!$B$27:$B$36,LISTAS!$A$27:$A$36)*_xlfn.XLOOKUP(H170,LISTAS!$B$38:$B$47,LISTAS!$A$38:$A$47,,-1)*_xlfn.XLOOKUP(J170,LISTAS!$E$26:$H$26,LISTAS!$E$48:$H$48)*_xlfn.XLOOKUP(F170,LISTAS!$A$15:$A$18,LISTAS!$H$15:$H$18)</f>
        <v>2.1505E-2</v>
      </c>
      <c r="N170" s="54" cm="1">
        <f t="array" ref="N170">_xlfn.XLOOKUP(K170,LISTAS!$D$27:$D$47,_xlfn.XLOOKUP(J170,LISTAS!$E$26:$H$26,LISTAS!$E$27:$H$47))</f>
        <v>28546000</v>
      </c>
      <c r="O170" s="56" t="s">
        <v>1623</v>
      </c>
      <c r="P170" s="76" t="str">
        <f t="shared" ca="1" si="8"/>
        <v>Vencida</v>
      </c>
    </row>
    <row r="171" spans="1:16" x14ac:dyDescent="0.3">
      <c r="A171" s="58" t="s">
        <v>461</v>
      </c>
      <c r="B171" s="56" t="s">
        <v>127</v>
      </c>
      <c r="C171" s="50" t="str">
        <f>_xlfn.XLOOKUP(B171,CLIENTES!$A$2:$A$301,CLIENTES!$B$2:$B$301)</f>
        <v>Franco Díaz</v>
      </c>
      <c r="D171" s="60">
        <v>44494</v>
      </c>
      <c r="E171" s="60">
        <f t="shared" si="6"/>
        <v>44859</v>
      </c>
      <c r="F171" s="50" t="s">
        <v>1596</v>
      </c>
      <c r="G171" s="56" t="s">
        <v>1602</v>
      </c>
      <c r="H171" s="47">
        <v>51</v>
      </c>
      <c r="I171" s="60">
        <v>27601</v>
      </c>
      <c r="J171" s="56" t="s">
        <v>1612</v>
      </c>
      <c r="K171" s="56">
        <v>2026</v>
      </c>
      <c r="L171" s="52">
        <f t="shared" si="7"/>
        <v>49980.000000000007</v>
      </c>
      <c r="M171" s="56">
        <f>LISTAS!$B$22*_xlfn.XLOOKUP(G171,LISTAS!$B$27:$B$36,LISTAS!$A$27:$A$36)*_xlfn.XLOOKUP(H171,LISTAS!$B$38:$B$47,LISTAS!$A$38:$A$47,,-1)*_xlfn.XLOOKUP(J171,LISTAS!$E$26:$H$26,LISTAS!$E$48:$H$48)*_xlfn.XLOOKUP(F171,LISTAS!$A$15:$A$18,LISTAS!$H$15:$H$18)</f>
        <v>1.8742500000000002E-2</v>
      </c>
      <c r="N171" s="54" cm="1">
        <f t="array" ref="N171">_xlfn.XLOOKUP(K171,LISTAS!$D$27:$D$47,_xlfn.XLOOKUP(J171,LISTAS!$E$26:$H$26,LISTAS!$E$27:$H$47))</f>
        <v>32000000</v>
      </c>
      <c r="O171" s="56" t="s">
        <v>1625</v>
      </c>
      <c r="P171" s="76" t="str">
        <f t="shared" ca="1" si="8"/>
        <v>Vencida</v>
      </c>
    </row>
    <row r="172" spans="1:16" x14ac:dyDescent="0.3">
      <c r="A172" s="58" t="s">
        <v>462</v>
      </c>
      <c r="B172" s="56" t="s">
        <v>231</v>
      </c>
      <c r="C172" s="50" t="str">
        <f>_xlfn.XLOOKUP(B172,CLIENTES!$A$2:$A$301,CLIENTES!$B$2:$B$301)</f>
        <v>Carolina Bravo</v>
      </c>
      <c r="D172" s="60">
        <v>45972</v>
      </c>
      <c r="E172" s="60">
        <f t="shared" si="6"/>
        <v>46337</v>
      </c>
      <c r="F172" s="50" t="s">
        <v>1597</v>
      </c>
      <c r="G172" s="56" t="s">
        <v>1606</v>
      </c>
      <c r="H172" s="47">
        <v>58</v>
      </c>
      <c r="I172" s="60">
        <v>24889</v>
      </c>
      <c r="J172" s="56" t="s">
        <v>1611</v>
      </c>
      <c r="K172" s="56">
        <v>2024</v>
      </c>
      <c r="L172" s="52">
        <f t="shared" si="7"/>
        <v>79865.775000000009</v>
      </c>
      <c r="M172" s="56">
        <f>LISTAS!$B$22*_xlfn.XLOOKUP(G172,LISTAS!$B$27:$B$36,LISTAS!$A$27:$A$36)*_xlfn.XLOOKUP(H172,LISTAS!$B$38:$B$47,LISTAS!$A$38:$A$47,,-1)*_xlfn.XLOOKUP(J172,LISTAS!$E$26:$H$26,LISTAS!$E$48:$H$48)*_xlfn.XLOOKUP(F172,LISTAS!$A$15:$A$18,LISTAS!$H$15:$H$18)</f>
        <v>2.5300000000000003E-2</v>
      </c>
      <c r="N172" s="54" cm="1">
        <f t="array" ref="N172">_xlfn.XLOOKUP(K172,LISTAS!$D$27:$D$47,_xlfn.XLOOKUP(J172,LISTAS!$E$26:$H$26,LISTAS!$E$27:$H$47))</f>
        <v>37881000</v>
      </c>
      <c r="O172" s="56" t="s">
        <v>1623</v>
      </c>
      <c r="P172" s="76" t="str">
        <f t="shared" ca="1" si="8"/>
        <v>Vigente</v>
      </c>
    </row>
    <row r="173" spans="1:16" x14ac:dyDescent="0.3">
      <c r="A173" s="58" t="s">
        <v>463</v>
      </c>
      <c r="B173" s="56" t="s">
        <v>14</v>
      </c>
      <c r="C173" s="50" t="str">
        <f>_xlfn.XLOOKUP(B173,CLIENTES!$A$2:$A$301,CLIENTES!$B$2:$B$301)</f>
        <v>Pedro Sánchez</v>
      </c>
      <c r="D173" s="60">
        <v>46092</v>
      </c>
      <c r="E173" s="60">
        <f t="shared" si="6"/>
        <v>46457</v>
      </c>
      <c r="F173" s="50" t="s">
        <v>1596</v>
      </c>
      <c r="G173" s="56" t="s">
        <v>1606</v>
      </c>
      <c r="H173" s="47">
        <v>72</v>
      </c>
      <c r="I173" s="60">
        <v>19945</v>
      </c>
      <c r="J173" s="56" t="s">
        <v>1610</v>
      </c>
      <c r="K173" s="56">
        <v>2023</v>
      </c>
      <c r="L173" s="52">
        <f t="shared" si="7"/>
        <v>66850.63</v>
      </c>
      <c r="M173" s="56">
        <f>LISTAS!$B$22*_xlfn.XLOOKUP(G173,LISTAS!$B$27:$B$36,LISTAS!$A$27:$A$36)*_xlfn.XLOOKUP(H173,LISTAS!$B$38:$B$47,LISTAS!$A$38:$A$47,,-1)*_xlfn.XLOOKUP(J173,LISTAS!$E$26:$H$26,LISTAS!$E$48:$H$48)*_xlfn.XLOOKUP(F173,LISTAS!$A$15:$A$18,LISTAS!$H$15:$H$18)</f>
        <v>2.6180000000000002E-2</v>
      </c>
      <c r="N173" s="54" cm="1">
        <f t="array" ref="N173">_xlfn.XLOOKUP(K173,LISTAS!$D$27:$D$47,_xlfn.XLOOKUP(J173,LISTAS!$E$26:$H$26,LISTAS!$E$27:$H$47))</f>
        <v>30642000</v>
      </c>
      <c r="O173" s="56" t="s">
        <v>1624</v>
      </c>
      <c r="P173" s="76" t="str">
        <f t="shared" ca="1" si="8"/>
        <v>Vigente</v>
      </c>
    </row>
    <row r="174" spans="1:16" x14ac:dyDescent="0.3">
      <c r="A174" s="58" t="s">
        <v>464</v>
      </c>
      <c r="B174" s="56" t="s">
        <v>99</v>
      </c>
      <c r="C174" s="50" t="str">
        <f>_xlfn.XLOOKUP(B174,CLIENTES!$A$2:$A$301,CLIENTES!$B$2:$B$301)</f>
        <v>Diego Domínguez</v>
      </c>
      <c r="D174" s="60">
        <v>44892</v>
      </c>
      <c r="E174" s="60">
        <f t="shared" si="6"/>
        <v>45257</v>
      </c>
      <c r="F174" s="50" t="s">
        <v>1597</v>
      </c>
      <c r="G174" s="56" t="s">
        <v>1601</v>
      </c>
      <c r="H174" s="47">
        <v>71</v>
      </c>
      <c r="I174" s="60">
        <v>20156</v>
      </c>
      <c r="J174" s="56" t="s">
        <v>1612</v>
      </c>
      <c r="K174" s="56">
        <v>2021</v>
      </c>
      <c r="L174" s="52">
        <f t="shared" si="7"/>
        <v>62911.675750000002</v>
      </c>
      <c r="M174" s="56">
        <f>LISTAS!$B$22*_xlfn.XLOOKUP(G174,LISTAS!$B$27:$B$36,LISTAS!$A$27:$A$36)*_xlfn.XLOOKUP(H174,LISTAS!$B$38:$B$47,LISTAS!$A$38:$A$47,,-1)*_xlfn.XLOOKUP(J174,LISTAS!$E$26:$H$26,LISTAS!$E$48:$H$48)*_xlfn.XLOOKUP(F174,LISTAS!$A$15:$A$18,LISTAS!$H$15:$H$18)</f>
        <v>3.7191000000000002E-2</v>
      </c>
      <c r="N174" s="54" cm="1">
        <f t="array" ref="N174">_xlfn.XLOOKUP(K174,LISTAS!$D$27:$D$47,_xlfn.XLOOKUP(J174,LISTAS!$E$26:$H$26,LISTAS!$E$27:$H$47))</f>
        <v>20299000</v>
      </c>
      <c r="O174" s="56" t="s">
        <v>1624</v>
      </c>
      <c r="P174" s="76" t="str">
        <f t="shared" ca="1" si="8"/>
        <v>Vencida</v>
      </c>
    </row>
    <row r="175" spans="1:16" x14ac:dyDescent="0.3">
      <c r="A175" s="58" t="s">
        <v>465</v>
      </c>
      <c r="B175" s="56" t="s">
        <v>153</v>
      </c>
      <c r="C175" s="50" t="str">
        <f>_xlfn.XLOOKUP(B175,CLIENTES!$A$2:$A$301,CLIENTES!$B$2:$B$301)</f>
        <v>Mateo Arias</v>
      </c>
      <c r="D175" s="60">
        <v>44526</v>
      </c>
      <c r="E175" s="60">
        <f t="shared" si="6"/>
        <v>44891</v>
      </c>
      <c r="F175" s="50" t="s">
        <v>1596</v>
      </c>
      <c r="G175" s="56" t="s">
        <v>1607</v>
      </c>
      <c r="H175" s="47">
        <v>79</v>
      </c>
      <c r="I175" s="60">
        <v>17135</v>
      </c>
      <c r="J175" s="56" t="s">
        <v>1610</v>
      </c>
      <c r="K175" s="56">
        <v>2020</v>
      </c>
      <c r="L175" s="52">
        <f t="shared" si="7"/>
        <v>57393.642625000015</v>
      </c>
      <c r="M175" s="56">
        <f>LISTAS!$B$22*_xlfn.XLOOKUP(G175,LISTAS!$B$27:$B$36,LISTAS!$A$27:$A$36)*_xlfn.XLOOKUP(H175,LISTAS!$B$38:$B$47,LISTAS!$A$38:$A$47,,-1)*_xlfn.XLOOKUP(J175,LISTAS!$E$26:$H$26,LISTAS!$E$48:$H$48)*_xlfn.XLOOKUP(F175,LISTAS!$A$15:$A$18,LISTAS!$H$15:$H$18)</f>
        <v>2.9826500000000009E-2</v>
      </c>
      <c r="N175" s="54" cm="1">
        <f t="array" ref="N175">_xlfn.XLOOKUP(K175,LISTAS!$D$27:$D$47,_xlfn.XLOOKUP(J175,LISTAS!$E$26:$H$26,LISTAS!$E$27:$H$47))</f>
        <v>23091000</v>
      </c>
      <c r="O175" s="56" t="s">
        <v>1626</v>
      </c>
      <c r="P175" s="76" t="str">
        <f t="shared" ca="1" si="8"/>
        <v>Vencida</v>
      </c>
    </row>
    <row r="176" spans="1:16" x14ac:dyDescent="0.3">
      <c r="A176" s="58" t="s">
        <v>466</v>
      </c>
      <c r="B176" s="56" t="s">
        <v>39</v>
      </c>
      <c r="C176" s="50" t="str">
        <f>_xlfn.XLOOKUP(B176,CLIENTES!$A$2:$A$301,CLIENTES!$B$2:$B$301)</f>
        <v>Juan Romero</v>
      </c>
      <c r="D176" s="60">
        <v>44618</v>
      </c>
      <c r="E176" s="60">
        <f t="shared" si="6"/>
        <v>44983</v>
      </c>
      <c r="F176" s="50" t="s">
        <v>1596</v>
      </c>
      <c r="G176" s="56" t="s">
        <v>1600</v>
      </c>
      <c r="H176" s="47">
        <v>49</v>
      </c>
      <c r="I176" s="60">
        <v>28026</v>
      </c>
      <c r="J176" s="56" t="s">
        <v>1610</v>
      </c>
      <c r="K176" s="56">
        <v>2020</v>
      </c>
      <c r="L176" s="52">
        <f t="shared" si="7"/>
        <v>39311.946437500003</v>
      </c>
      <c r="M176" s="56">
        <f>LISTAS!$B$22*_xlfn.XLOOKUP(G176,LISTAS!$B$27:$B$36,LISTAS!$A$27:$A$36)*_xlfn.XLOOKUP(H176,LISTAS!$B$38:$B$47,LISTAS!$A$38:$A$47,,-1)*_xlfn.XLOOKUP(J176,LISTAS!$E$26:$H$26,LISTAS!$E$48:$H$48)*_xlfn.XLOOKUP(F176,LISTAS!$A$15:$A$18,LISTAS!$H$15:$H$18)</f>
        <v>2.042975E-2</v>
      </c>
      <c r="N176" s="54" cm="1">
        <f t="array" ref="N176">_xlfn.XLOOKUP(K176,LISTAS!$D$27:$D$47,_xlfn.XLOOKUP(J176,LISTAS!$E$26:$H$26,LISTAS!$E$27:$H$47))</f>
        <v>23091000</v>
      </c>
      <c r="O176" s="56" t="s">
        <v>1623</v>
      </c>
      <c r="P176" s="76" t="str">
        <f t="shared" ca="1" si="8"/>
        <v>Vencida</v>
      </c>
    </row>
    <row r="177" spans="1:16" x14ac:dyDescent="0.3">
      <c r="A177" s="58" t="s">
        <v>467</v>
      </c>
      <c r="B177" s="56" t="s">
        <v>279</v>
      </c>
      <c r="C177" s="50" t="str">
        <f>_xlfn.XLOOKUP(B177,CLIENTES!$A$2:$A$301,CLIENTES!$B$2:$B$301)</f>
        <v>Nicolás Martínez</v>
      </c>
      <c r="D177" s="60">
        <v>45289</v>
      </c>
      <c r="E177" s="60">
        <f t="shared" si="6"/>
        <v>45655</v>
      </c>
      <c r="F177" s="50" t="s">
        <v>1595</v>
      </c>
      <c r="G177" s="56" t="s">
        <v>1604</v>
      </c>
      <c r="H177" s="47">
        <v>71</v>
      </c>
      <c r="I177" s="60">
        <v>19984</v>
      </c>
      <c r="J177" s="56" t="s">
        <v>1609</v>
      </c>
      <c r="K177" s="56">
        <v>2020</v>
      </c>
      <c r="L177" s="52">
        <f t="shared" si="7"/>
        <v>21215.039999999997</v>
      </c>
      <c r="M177" s="56">
        <f>LISTAS!$B$22*_xlfn.XLOOKUP(G177,LISTAS!$B$27:$B$36,LISTAS!$A$27:$A$36)*_xlfn.XLOOKUP(H177,LISTAS!$B$38:$B$47,LISTAS!$A$38:$A$47,,-1)*_xlfn.XLOOKUP(J177,LISTAS!$E$26:$H$26,LISTAS!$E$48:$H$48)*_xlfn.XLOOKUP(F177,LISTAS!$A$15:$A$18,LISTAS!$H$15:$H$18)</f>
        <v>1.7639999999999999E-2</v>
      </c>
      <c r="N177" s="54" cm="1">
        <f t="array" ref="N177">_xlfn.XLOOKUP(K177,LISTAS!$D$27:$D$47,_xlfn.XLOOKUP(J177,LISTAS!$E$26:$H$26,LISTAS!$E$27:$H$47))</f>
        <v>14432000</v>
      </c>
      <c r="O177" s="56" t="s">
        <v>1626</v>
      </c>
      <c r="P177" s="76" t="str">
        <f t="shared" ca="1" si="8"/>
        <v>Vencida</v>
      </c>
    </row>
    <row r="178" spans="1:16" x14ac:dyDescent="0.3">
      <c r="A178" s="58" t="s">
        <v>468</v>
      </c>
      <c r="B178" s="56" t="s">
        <v>221</v>
      </c>
      <c r="C178" s="50" t="str">
        <f>_xlfn.XLOOKUP(B178,CLIENTES!$A$2:$A$301,CLIENTES!$B$2:$B$301)</f>
        <v>Bruno Silva</v>
      </c>
      <c r="D178" s="60">
        <v>44906</v>
      </c>
      <c r="E178" s="60">
        <f t="shared" si="6"/>
        <v>45271</v>
      </c>
      <c r="F178" s="50" t="s">
        <v>1598</v>
      </c>
      <c r="G178" s="56" t="s">
        <v>1600</v>
      </c>
      <c r="H178" s="47">
        <v>43</v>
      </c>
      <c r="I178" s="60">
        <v>30350</v>
      </c>
      <c r="J178" s="56" t="s">
        <v>1611</v>
      </c>
      <c r="K178" s="56">
        <v>2018</v>
      </c>
      <c r="L178" s="52">
        <f t="shared" si="7"/>
        <v>58556.079020833335</v>
      </c>
      <c r="M178" s="56">
        <f>LISTAS!$B$22*_xlfn.XLOOKUP(G178,LISTAS!$B$27:$B$36,LISTAS!$A$27:$A$36)*_xlfn.XLOOKUP(H178,LISTAS!$B$38:$B$47,LISTAS!$A$38:$A$47,,-1)*_xlfn.XLOOKUP(J178,LISTAS!$E$26:$H$26,LISTAS!$E$48:$H$48)*_xlfn.XLOOKUP(F178,LISTAS!$A$15:$A$18,LISTAS!$H$15:$H$18)</f>
        <v>3.266575E-2</v>
      </c>
      <c r="N178" s="54" cm="1">
        <f t="array" ref="N178">_xlfn.XLOOKUP(K178,LISTAS!$D$27:$D$47,_xlfn.XLOOKUP(J178,LISTAS!$E$26:$H$26,LISTAS!$E$27:$H$47))</f>
        <v>21511000</v>
      </c>
      <c r="O178" s="56" t="s">
        <v>1625</v>
      </c>
      <c r="P178" s="76" t="str">
        <f t="shared" ca="1" si="8"/>
        <v>Vencida</v>
      </c>
    </row>
    <row r="179" spans="1:16" x14ac:dyDescent="0.3">
      <c r="A179" s="58" t="s">
        <v>469</v>
      </c>
      <c r="B179" s="56" t="s">
        <v>16</v>
      </c>
      <c r="C179" s="50" t="str">
        <f>_xlfn.XLOOKUP(B179,CLIENTES!$A$2:$A$301,CLIENTES!$B$2:$B$301)</f>
        <v>Clara Vázquez</v>
      </c>
      <c r="D179" s="60">
        <v>46110</v>
      </c>
      <c r="E179" s="60">
        <f t="shared" si="6"/>
        <v>46475</v>
      </c>
      <c r="F179" s="50" t="s">
        <v>1597</v>
      </c>
      <c r="G179" s="56" t="s">
        <v>1605</v>
      </c>
      <c r="H179" s="47">
        <v>53</v>
      </c>
      <c r="I179" s="60">
        <v>26660</v>
      </c>
      <c r="J179" s="56" t="s">
        <v>1609</v>
      </c>
      <c r="K179" s="56">
        <v>2020</v>
      </c>
      <c r="L179" s="52">
        <f t="shared" si="7"/>
        <v>23812.800000000007</v>
      </c>
      <c r="M179" s="56">
        <f>LISTAS!$B$22*_xlfn.XLOOKUP(G179,LISTAS!$B$27:$B$36,LISTAS!$A$27:$A$36)*_xlfn.XLOOKUP(H179,LISTAS!$B$38:$B$47,LISTAS!$A$38:$A$47,,-1)*_xlfn.XLOOKUP(J179,LISTAS!$E$26:$H$26,LISTAS!$E$48:$H$48)*_xlfn.XLOOKUP(F179,LISTAS!$A$15:$A$18,LISTAS!$H$15:$H$18)</f>
        <v>1.9800000000000005E-2</v>
      </c>
      <c r="N179" s="54" cm="1">
        <f t="array" ref="N179">_xlfn.XLOOKUP(K179,LISTAS!$D$27:$D$47,_xlfn.XLOOKUP(J179,LISTAS!$E$26:$H$26,LISTAS!$E$27:$H$47))</f>
        <v>14432000</v>
      </c>
      <c r="O179" s="56" t="s">
        <v>1623</v>
      </c>
      <c r="P179" s="76" t="str">
        <f t="shared" ca="1" si="8"/>
        <v>Vigente</v>
      </c>
    </row>
    <row r="180" spans="1:16" x14ac:dyDescent="0.3">
      <c r="A180" s="58" t="s">
        <v>470</v>
      </c>
      <c r="B180" s="56" t="s">
        <v>147</v>
      </c>
      <c r="C180" s="50" t="str">
        <f>_xlfn.XLOOKUP(B180,CLIENTES!$A$2:$A$301,CLIENTES!$B$2:$B$301)</f>
        <v>Facundo Benítez</v>
      </c>
      <c r="D180" s="60">
        <v>44465</v>
      </c>
      <c r="E180" s="60">
        <f t="shared" si="6"/>
        <v>44830</v>
      </c>
      <c r="F180" s="50" t="s">
        <v>1598</v>
      </c>
      <c r="G180" s="56" t="s">
        <v>1607</v>
      </c>
      <c r="H180" s="47">
        <v>80</v>
      </c>
      <c r="I180" s="60">
        <v>17013</v>
      </c>
      <c r="J180" s="56" t="s">
        <v>1611</v>
      </c>
      <c r="K180" s="56">
        <v>2025</v>
      </c>
      <c r="L180" s="52">
        <f t="shared" si="7"/>
        <v>164532.22500000001</v>
      </c>
      <c r="M180" s="56">
        <f>LISTAS!$B$22*_xlfn.XLOOKUP(G180,LISTAS!$B$27:$B$36,LISTAS!$A$27:$A$36)*_xlfn.XLOOKUP(H180,LISTAS!$B$38:$B$47,LISTAS!$A$38:$A$47,,-1)*_xlfn.XLOOKUP(J180,LISTAS!$E$26:$H$26,LISTAS!$E$48:$H$48)*_xlfn.XLOOKUP(F180,LISTAS!$A$15:$A$18,LISTAS!$H$15:$H$18)</f>
        <v>4.7690500000000004E-2</v>
      </c>
      <c r="N180" s="54" cm="1">
        <f t="array" ref="N180">_xlfn.XLOOKUP(K180,LISTAS!$D$27:$D$47,_xlfn.XLOOKUP(J180,LISTAS!$E$26:$H$26,LISTAS!$E$27:$H$47))</f>
        <v>41400000</v>
      </c>
      <c r="O180" s="56" t="s">
        <v>1623</v>
      </c>
      <c r="P180" s="76" t="str">
        <f t="shared" ca="1" si="8"/>
        <v>Vencida</v>
      </c>
    </row>
    <row r="181" spans="1:16" x14ac:dyDescent="0.3">
      <c r="A181" s="58" t="s">
        <v>471</v>
      </c>
      <c r="B181" s="56" t="s">
        <v>130</v>
      </c>
      <c r="C181" s="50" t="str">
        <f>_xlfn.XLOOKUP(B181,CLIENTES!$A$2:$A$301,CLIENTES!$B$2:$B$301)</f>
        <v>Sofía Peralta</v>
      </c>
      <c r="D181" s="60">
        <v>45430</v>
      </c>
      <c r="E181" s="60">
        <f t="shared" si="6"/>
        <v>45795</v>
      </c>
      <c r="F181" s="50" t="s">
        <v>1597</v>
      </c>
      <c r="G181" s="56" t="s">
        <v>1607</v>
      </c>
      <c r="H181" s="47">
        <v>44</v>
      </c>
      <c r="I181" s="60">
        <v>29994</v>
      </c>
      <c r="J181" s="56" t="s">
        <v>1610</v>
      </c>
      <c r="K181" s="56">
        <v>2024</v>
      </c>
      <c r="L181" s="52">
        <f t="shared" si="7"/>
        <v>70960.934000000023</v>
      </c>
      <c r="M181" s="56">
        <f>LISTAS!$B$22*_xlfn.XLOOKUP(G181,LISTAS!$B$27:$B$36,LISTAS!$A$27:$A$36)*_xlfn.XLOOKUP(H181,LISTAS!$B$38:$B$47,LISTAS!$A$38:$A$47,,-1)*_xlfn.XLOOKUP(J181,LISTAS!$E$26:$H$26,LISTAS!$E$48:$H$48)*_xlfn.XLOOKUP(F181,LISTAS!$A$15:$A$18,LISTAS!$H$15:$H$18)</f>
        <v>2.5289000000000006E-2</v>
      </c>
      <c r="N181" s="54" cm="1">
        <f t="array" ref="N181">_xlfn.XLOOKUP(K181,LISTAS!$D$27:$D$47,_xlfn.XLOOKUP(J181,LISTAS!$E$26:$H$26,LISTAS!$E$27:$H$47))</f>
        <v>33672000</v>
      </c>
      <c r="O181" s="56" t="s">
        <v>1624</v>
      </c>
      <c r="P181" s="76" t="str">
        <f t="shared" ca="1" si="8"/>
        <v>Vencida</v>
      </c>
    </row>
    <row r="182" spans="1:16" x14ac:dyDescent="0.3">
      <c r="A182" s="58" t="s">
        <v>472</v>
      </c>
      <c r="B182" s="56" t="s">
        <v>99</v>
      </c>
      <c r="C182" s="50" t="str">
        <f>_xlfn.XLOOKUP(B182,CLIENTES!$A$2:$A$301,CLIENTES!$B$2:$B$301)</f>
        <v>Diego Domínguez</v>
      </c>
      <c r="D182" s="60">
        <v>45899</v>
      </c>
      <c r="E182" s="60">
        <f t="shared" si="6"/>
        <v>46264</v>
      </c>
      <c r="F182" s="50" t="s">
        <v>1597</v>
      </c>
      <c r="G182" s="56" t="s">
        <v>1604</v>
      </c>
      <c r="H182" s="47">
        <v>27</v>
      </c>
      <c r="I182" s="60">
        <v>36142</v>
      </c>
      <c r="J182" s="56" t="s">
        <v>1610</v>
      </c>
      <c r="K182" s="56">
        <v>2023</v>
      </c>
      <c r="L182" s="52">
        <f t="shared" si="7"/>
        <v>77861.322000000015</v>
      </c>
      <c r="M182" s="56">
        <f>LISTAS!$B$22*_xlfn.XLOOKUP(G182,LISTAS!$B$27:$B$36,LISTAS!$A$27:$A$36)*_xlfn.XLOOKUP(H182,LISTAS!$B$38:$B$47,LISTAS!$A$38:$A$47,,-1)*_xlfn.XLOOKUP(J182,LISTAS!$E$26:$H$26,LISTAS!$E$48:$H$48)*_xlfn.XLOOKUP(F182,LISTAS!$A$15:$A$18,LISTAS!$H$15:$H$18)</f>
        <v>3.0492000000000005E-2</v>
      </c>
      <c r="N182" s="54" cm="1">
        <f t="array" ref="N182">_xlfn.XLOOKUP(K182,LISTAS!$D$27:$D$47,_xlfn.XLOOKUP(J182,LISTAS!$E$26:$H$26,LISTAS!$E$27:$H$47))</f>
        <v>30642000</v>
      </c>
      <c r="O182" s="56" t="s">
        <v>1623</v>
      </c>
      <c r="P182" s="76" t="str">
        <f t="shared" ca="1" si="8"/>
        <v>Vencida</v>
      </c>
    </row>
    <row r="183" spans="1:16" x14ac:dyDescent="0.3">
      <c r="A183" s="58" t="s">
        <v>473</v>
      </c>
      <c r="B183" s="56" t="s">
        <v>131</v>
      </c>
      <c r="C183" s="50" t="str">
        <f>_xlfn.XLOOKUP(B183,CLIENTES!$A$2:$A$301,CLIENTES!$B$2:$B$301)</f>
        <v>Bruno Campos</v>
      </c>
      <c r="D183" s="60">
        <v>45242</v>
      </c>
      <c r="E183" s="60">
        <f t="shared" si="6"/>
        <v>45608</v>
      </c>
      <c r="F183" s="50" t="s">
        <v>1597</v>
      </c>
      <c r="G183" s="56" t="s">
        <v>1600</v>
      </c>
      <c r="H183" s="47">
        <v>72</v>
      </c>
      <c r="I183" s="60">
        <v>19642</v>
      </c>
      <c r="J183" s="56" t="s">
        <v>1611</v>
      </c>
      <c r="K183" s="56">
        <v>2016</v>
      </c>
      <c r="L183" s="52">
        <f t="shared" si="7"/>
        <v>60800.791333333327</v>
      </c>
      <c r="M183" s="56">
        <f>LISTAS!$B$22*_xlfn.XLOOKUP(G183,LISTAS!$B$27:$B$36,LISTAS!$A$27:$A$36)*_xlfn.XLOOKUP(H183,LISTAS!$B$38:$B$47,LISTAS!$A$38:$A$47,,-1)*_xlfn.XLOOKUP(J183,LISTAS!$E$26:$H$26,LISTAS!$E$48:$H$48)*_xlfn.XLOOKUP(F183,LISTAS!$A$15:$A$18,LISTAS!$H$15:$H$18)</f>
        <v>4.0732999999999998E-2</v>
      </c>
      <c r="N183" s="54" cm="1">
        <f t="array" ref="N183">_xlfn.XLOOKUP(K183,LISTAS!$D$27:$D$47,_xlfn.XLOOKUP(J183,LISTAS!$E$26:$H$26,LISTAS!$E$27:$H$47))</f>
        <v>17912000</v>
      </c>
      <c r="O183" s="56" t="s">
        <v>1623</v>
      </c>
      <c r="P183" s="76" t="str">
        <f t="shared" ca="1" si="8"/>
        <v>Vencida</v>
      </c>
    </row>
    <row r="184" spans="1:16" x14ac:dyDescent="0.3">
      <c r="A184" s="58" t="s">
        <v>474</v>
      </c>
      <c r="B184" s="56" t="s">
        <v>95</v>
      </c>
      <c r="C184" s="50" t="str">
        <f>_xlfn.XLOOKUP(B184,CLIENTES!$A$2:$A$301,CLIENTES!$B$2:$B$301)</f>
        <v>Paula Correa</v>
      </c>
      <c r="D184" s="60">
        <v>45207</v>
      </c>
      <c r="E184" s="60">
        <f t="shared" si="6"/>
        <v>45573</v>
      </c>
      <c r="F184" s="50" t="s">
        <v>1598</v>
      </c>
      <c r="G184" s="56" t="s">
        <v>1608</v>
      </c>
      <c r="H184" s="47">
        <v>28</v>
      </c>
      <c r="I184" s="60">
        <v>35858</v>
      </c>
      <c r="J184" s="56" t="s">
        <v>1609</v>
      </c>
      <c r="K184" s="56">
        <v>2022</v>
      </c>
      <c r="L184" s="52">
        <f t="shared" si="7"/>
        <v>43044.689999999995</v>
      </c>
      <c r="M184" s="56">
        <f>LISTAS!$B$22*_xlfn.XLOOKUP(G184,LISTAS!$B$27:$B$36,LISTAS!$A$27:$A$36)*_xlfn.XLOOKUP(H184,LISTAS!$B$38:$B$47,LISTAS!$A$38:$A$47,,-1)*_xlfn.XLOOKUP(J184,LISTAS!$E$26:$H$26,LISTAS!$E$48:$H$48)*_xlfn.XLOOKUP(F184,LISTAS!$A$15:$A$18,LISTAS!$H$15:$H$18)</f>
        <v>2.9639999999999996E-2</v>
      </c>
      <c r="N184" s="54" cm="1">
        <f t="array" ref="N184">_xlfn.XLOOKUP(K184,LISTAS!$D$27:$D$47,_xlfn.XLOOKUP(J184,LISTAS!$E$26:$H$26,LISTAS!$E$27:$H$47))</f>
        <v>17427000</v>
      </c>
      <c r="O184" s="56" t="s">
        <v>1623</v>
      </c>
      <c r="P184" s="76" t="str">
        <f t="shared" ca="1" si="8"/>
        <v>Vencida</v>
      </c>
    </row>
    <row r="185" spans="1:16" x14ac:dyDescent="0.3">
      <c r="A185" s="58" t="s">
        <v>475</v>
      </c>
      <c r="B185" s="56" t="s">
        <v>207</v>
      </c>
      <c r="C185" s="50" t="str">
        <f>_xlfn.XLOOKUP(B185,CLIENTES!$A$2:$A$301,CLIENTES!$B$2:$B$301)</f>
        <v>Juan Acosta</v>
      </c>
      <c r="D185" s="60">
        <v>44697</v>
      </c>
      <c r="E185" s="60">
        <f t="shared" si="6"/>
        <v>45062</v>
      </c>
      <c r="F185" s="50" t="s">
        <v>1597</v>
      </c>
      <c r="G185" s="56" t="s">
        <v>1606</v>
      </c>
      <c r="H185" s="47">
        <v>53</v>
      </c>
      <c r="I185" s="60">
        <v>26679</v>
      </c>
      <c r="J185" s="56" t="s">
        <v>1610</v>
      </c>
      <c r="K185" s="56">
        <v>2015</v>
      </c>
      <c r="L185" s="52">
        <f t="shared" si="7"/>
        <v>29540.133333333335</v>
      </c>
      <c r="M185" s="56">
        <f>LISTAS!$B$22*_xlfn.XLOOKUP(G185,LISTAS!$B$27:$B$36,LISTAS!$A$27:$A$36)*_xlfn.XLOOKUP(H185,LISTAS!$B$38:$B$47,LISTAS!$A$38:$A$47,,-1)*_xlfn.XLOOKUP(J185,LISTAS!$E$26:$H$26,LISTAS!$E$48:$H$48)*_xlfn.XLOOKUP(F185,LISTAS!$A$15:$A$18,LISTAS!$H$15:$H$18)</f>
        <v>2.4200000000000003E-2</v>
      </c>
      <c r="N185" s="54" cm="1">
        <f t="array" ref="N185">_xlfn.XLOOKUP(K185,LISTAS!$D$27:$D$47,_xlfn.XLOOKUP(J185,LISTAS!$E$26:$H$26,LISTAS!$E$27:$H$47))</f>
        <v>14648000</v>
      </c>
      <c r="O185" s="56" t="s">
        <v>1624</v>
      </c>
      <c r="P185" s="76" t="str">
        <f t="shared" ca="1" si="8"/>
        <v>Vencida</v>
      </c>
    </row>
    <row r="186" spans="1:16" x14ac:dyDescent="0.3">
      <c r="A186" s="58" t="s">
        <v>476</v>
      </c>
      <c r="B186" s="56" t="s">
        <v>207</v>
      </c>
      <c r="C186" s="50" t="str">
        <f>_xlfn.XLOOKUP(B186,CLIENTES!$A$2:$A$301,CLIENTES!$B$2:$B$301)</f>
        <v>Juan Acosta</v>
      </c>
      <c r="D186" s="60">
        <v>44750</v>
      </c>
      <c r="E186" s="60">
        <f t="shared" si="6"/>
        <v>45115</v>
      </c>
      <c r="F186" s="50" t="s">
        <v>1598</v>
      </c>
      <c r="G186" s="56" t="s">
        <v>1604</v>
      </c>
      <c r="H186" s="47">
        <v>30</v>
      </c>
      <c r="I186" s="60">
        <v>34937</v>
      </c>
      <c r="J186" s="56" t="s">
        <v>1612</v>
      </c>
      <c r="K186" s="56">
        <v>2018</v>
      </c>
      <c r="L186" s="52">
        <f t="shared" si="7"/>
        <v>36540.708750000013</v>
      </c>
      <c r="M186" s="56">
        <f>LISTAS!$B$22*_xlfn.XLOOKUP(G186,LISTAS!$B$27:$B$36,LISTAS!$A$27:$A$36)*_xlfn.XLOOKUP(H186,LISTAS!$B$38:$B$47,LISTAS!$A$38:$A$47,,-1)*_xlfn.XLOOKUP(J186,LISTAS!$E$26:$H$26,LISTAS!$E$48:$H$48)*_xlfn.XLOOKUP(F186,LISTAS!$A$15:$A$18,LISTAS!$H$15:$H$18)</f>
        <v>2.8665000000000006E-2</v>
      </c>
      <c r="N186" s="54" cm="1">
        <f t="array" ref="N186">_xlfn.XLOOKUP(K186,LISTAS!$D$27:$D$47,_xlfn.XLOOKUP(J186,LISTAS!$E$26:$H$26,LISTAS!$E$27:$H$47))</f>
        <v>15297000</v>
      </c>
      <c r="O186" s="56" t="s">
        <v>1623</v>
      </c>
      <c r="P186" s="76" t="str">
        <f t="shared" ca="1" si="8"/>
        <v>Vencida</v>
      </c>
    </row>
    <row r="187" spans="1:16" x14ac:dyDescent="0.3">
      <c r="A187" s="58" t="s">
        <v>477</v>
      </c>
      <c r="B187" s="56" t="s">
        <v>256</v>
      </c>
      <c r="C187" s="50" t="str">
        <f>_xlfn.XLOOKUP(B187,CLIENTES!$A$2:$A$301,CLIENTES!$B$2:$B$301)</f>
        <v>Florencia Mansilla</v>
      </c>
      <c r="D187" s="60">
        <v>44514</v>
      </c>
      <c r="E187" s="60">
        <f t="shared" si="6"/>
        <v>44879</v>
      </c>
      <c r="F187" s="50" t="s">
        <v>1596</v>
      </c>
      <c r="G187" s="56" t="s">
        <v>1607</v>
      </c>
      <c r="H187" s="47">
        <v>43</v>
      </c>
      <c r="I187" s="60">
        <v>30288</v>
      </c>
      <c r="J187" s="56" t="s">
        <v>1610</v>
      </c>
      <c r="K187" s="56">
        <v>2021</v>
      </c>
      <c r="L187" s="52">
        <f t="shared" si="7"/>
        <v>41320.501750000003</v>
      </c>
      <c r="M187" s="56">
        <f>LISTAS!$B$22*_xlfn.XLOOKUP(G187,LISTAS!$B$27:$B$36,LISTAS!$A$27:$A$36)*_xlfn.XLOOKUP(H187,LISTAS!$B$38:$B$47,LISTAS!$A$38:$A$47,,-1)*_xlfn.XLOOKUP(J187,LISTAS!$E$26:$H$26,LISTAS!$E$48:$H$48)*_xlfn.XLOOKUP(F187,LISTAS!$A$15:$A$18,LISTAS!$H$15:$H$18)</f>
        <v>1.9541500000000003E-2</v>
      </c>
      <c r="N187" s="54" cm="1">
        <f t="array" ref="N187">_xlfn.XLOOKUP(K187,LISTAS!$D$27:$D$47,_xlfn.XLOOKUP(J187,LISTAS!$E$26:$H$26,LISTAS!$E$27:$H$47))</f>
        <v>25374000</v>
      </c>
      <c r="O187" s="56" t="s">
        <v>1623</v>
      </c>
      <c r="P187" s="76" t="str">
        <f t="shared" ca="1" si="8"/>
        <v>Vencida</v>
      </c>
    </row>
    <row r="188" spans="1:16" x14ac:dyDescent="0.3">
      <c r="A188" s="58" t="s">
        <v>478</v>
      </c>
      <c r="B188" s="56" t="s">
        <v>276</v>
      </c>
      <c r="C188" s="50" t="str">
        <f>_xlfn.XLOOKUP(B188,CLIENTES!$A$2:$A$301,CLIENTES!$B$2:$B$301)</f>
        <v>Agustina Bravo</v>
      </c>
      <c r="D188" s="60">
        <v>44850</v>
      </c>
      <c r="E188" s="60">
        <f t="shared" si="6"/>
        <v>45215</v>
      </c>
      <c r="F188" s="50" t="s">
        <v>1596</v>
      </c>
      <c r="G188" s="56" t="s">
        <v>1607</v>
      </c>
      <c r="H188" s="47">
        <v>31</v>
      </c>
      <c r="I188" s="60">
        <v>34695</v>
      </c>
      <c r="J188" s="56" t="s">
        <v>1611</v>
      </c>
      <c r="K188" s="56">
        <v>2021</v>
      </c>
      <c r="L188" s="52">
        <f t="shared" si="7"/>
        <v>51156.810833333329</v>
      </c>
      <c r="M188" s="56">
        <f>LISTAS!$B$22*_xlfn.XLOOKUP(G188,LISTAS!$B$27:$B$36,LISTAS!$A$27:$A$36)*_xlfn.XLOOKUP(H188,LISTAS!$B$38:$B$47,LISTAS!$A$38:$A$47,,-1)*_xlfn.XLOOKUP(J188,LISTAS!$E$26:$H$26,LISTAS!$E$48:$H$48)*_xlfn.XLOOKUP(F188,LISTAS!$A$15:$A$18,LISTAS!$H$15:$H$18)</f>
        <v>2.1505E-2</v>
      </c>
      <c r="N188" s="54" cm="1">
        <f t="array" ref="N188">_xlfn.XLOOKUP(K188,LISTAS!$D$27:$D$47,_xlfn.XLOOKUP(J188,LISTAS!$E$26:$H$26,LISTAS!$E$27:$H$47))</f>
        <v>28546000</v>
      </c>
      <c r="O188" s="56" t="s">
        <v>1623</v>
      </c>
      <c r="P188" s="76" t="str">
        <f t="shared" ca="1" si="8"/>
        <v>Vencida</v>
      </c>
    </row>
    <row r="189" spans="1:16" x14ac:dyDescent="0.3">
      <c r="A189" s="58" t="s">
        <v>479</v>
      </c>
      <c r="B189" s="56" t="s">
        <v>260</v>
      </c>
      <c r="C189" s="50" t="str">
        <f>_xlfn.XLOOKUP(B189,CLIENTES!$A$2:$A$301,CLIENTES!$B$2:$B$301)</f>
        <v>Daniela Quiroga</v>
      </c>
      <c r="D189" s="60">
        <v>44970</v>
      </c>
      <c r="E189" s="60">
        <f t="shared" si="6"/>
        <v>45335</v>
      </c>
      <c r="F189" s="50" t="s">
        <v>1596</v>
      </c>
      <c r="G189" s="56" t="s">
        <v>1599</v>
      </c>
      <c r="H189" s="47">
        <v>60</v>
      </c>
      <c r="I189" s="60">
        <v>24162</v>
      </c>
      <c r="J189" s="56" t="s">
        <v>1609</v>
      </c>
      <c r="K189" s="56">
        <v>2026</v>
      </c>
      <c r="L189" s="52">
        <f t="shared" si="7"/>
        <v>44625</v>
      </c>
      <c r="M189" s="56">
        <f>LISTAS!$B$22*_xlfn.XLOOKUP(G189,LISTAS!$B$27:$B$36,LISTAS!$A$27:$A$36)*_xlfn.XLOOKUP(H189,LISTAS!$B$38:$B$47,LISTAS!$A$38:$A$47,,-1)*_xlfn.XLOOKUP(J189,LISTAS!$E$26:$H$26,LISTAS!$E$48:$H$48)*_xlfn.XLOOKUP(F189,LISTAS!$A$15:$A$18,LISTAS!$H$15:$H$18)</f>
        <v>2.1419999999999998E-2</v>
      </c>
      <c r="N189" s="54" cm="1">
        <f t="array" ref="N189">_xlfn.XLOOKUP(K189,LISTAS!$D$27:$D$47,_xlfn.XLOOKUP(J189,LISTAS!$E$26:$H$26,LISTAS!$E$27:$H$47))</f>
        <v>25000000</v>
      </c>
      <c r="O189" s="56" t="s">
        <v>1626</v>
      </c>
      <c r="P189" s="76" t="str">
        <f t="shared" ca="1" si="8"/>
        <v>Vencida</v>
      </c>
    </row>
    <row r="190" spans="1:16" x14ac:dyDescent="0.3">
      <c r="A190" s="58" t="s">
        <v>480</v>
      </c>
      <c r="B190" s="56" t="s">
        <v>80</v>
      </c>
      <c r="C190" s="50" t="str">
        <f>_xlfn.XLOOKUP(B190,CLIENTES!$A$2:$A$301,CLIENTES!$B$2:$B$301)</f>
        <v>Julieta Arias</v>
      </c>
      <c r="D190" s="60">
        <v>45905</v>
      </c>
      <c r="E190" s="60">
        <f t="shared" si="6"/>
        <v>46270</v>
      </c>
      <c r="F190" s="50" t="s">
        <v>1595</v>
      </c>
      <c r="G190" s="56" t="s">
        <v>1603</v>
      </c>
      <c r="H190" s="47">
        <v>52</v>
      </c>
      <c r="I190" s="60">
        <v>27252</v>
      </c>
      <c r="J190" s="56" t="s">
        <v>1610</v>
      </c>
      <c r="K190" s="56">
        <v>2018</v>
      </c>
      <c r="L190" s="52">
        <f t="shared" si="7"/>
        <v>19981.445000000003</v>
      </c>
      <c r="M190" s="56">
        <f>LISTAS!$B$22*_xlfn.XLOOKUP(G190,LISTAS!$B$27:$B$36,LISTAS!$A$27:$A$36)*_xlfn.XLOOKUP(H190,LISTAS!$B$38:$B$47,LISTAS!$A$38:$A$47,,-1)*_xlfn.XLOOKUP(J190,LISTAS!$E$26:$H$26,LISTAS!$E$48:$H$48)*_xlfn.XLOOKUP(F190,LISTAS!$A$15:$A$18,LISTAS!$H$15:$H$18)</f>
        <v>1.2540000000000001E-2</v>
      </c>
      <c r="N190" s="54" cm="1">
        <f t="array" ref="N190">_xlfn.XLOOKUP(K190,LISTAS!$D$27:$D$47,_xlfn.XLOOKUP(J190,LISTAS!$E$26:$H$26,LISTAS!$E$27:$H$47))</f>
        <v>19121000</v>
      </c>
      <c r="O190" s="56" t="s">
        <v>1625</v>
      </c>
      <c r="P190" s="76" t="str">
        <f t="shared" ca="1" si="8"/>
        <v>Vencida</v>
      </c>
    </row>
    <row r="191" spans="1:16" x14ac:dyDescent="0.3">
      <c r="A191" s="58" t="s">
        <v>481</v>
      </c>
      <c r="B191" s="56" t="s">
        <v>283</v>
      </c>
      <c r="C191" s="50" t="str">
        <f>_xlfn.XLOOKUP(B191,CLIENTES!$A$2:$A$301,CLIENTES!$B$2:$B$301)</f>
        <v>Lautaro Méndez</v>
      </c>
      <c r="D191" s="60">
        <v>46140</v>
      </c>
      <c r="E191" s="60">
        <f t="shared" si="6"/>
        <v>46505</v>
      </c>
      <c r="F191" s="50" t="s">
        <v>1598</v>
      </c>
      <c r="G191" s="56" t="s">
        <v>1606</v>
      </c>
      <c r="H191" s="47">
        <v>40</v>
      </c>
      <c r="I191" s="60">
        <v>31411</v>
      </c>
      <c r="J191" s="56" t="s">
        <v>1610</v>
      </c>
      <c r="K191" s="56">
        <v>2022</v>
      </c>
      <c r="L191" s="52">
        <f t="shared" si="7"/>
        <v>63134.023333333345</v>
      </c>
      <c r="M191" s="56">
        <f>LISTAS!$B$22*_xlfn.XLOOKUP(G191,LISTAS!$B$27:$B$36,LISTAS!$A$27:$A$36)*_xlfn.XLOOKUP(H191,LISTAS!$B$38:$B$47,LISTAS!$A$38:$A$47,,-1)*_xlfn.XLOOKUP(J191,LISTAS!$E$26:$H$26,LISTAS!$E$48:$H$48)*_xlfn.XLOOKUP(F191,LISTAS!$A$15:$A$18,LISTAS!$H$15:$H$18)</f>
        <v>2.7170000000000003E-2</v>
      </c>
      <c r="N191" s="54" cm="1">
        <f t="array" ref="N191">_xlfn.XLOOKUP(K191,LISTAS!$D$27:$D$47,_xlfn.XLOOKUP(J191,LISTAS!$E$26:$H$26,LISTAS!$E$27:$H$47))</f>
        <v>27884000</v>
      </c>
      <c r="O191" s="56" t="s">
        <v>1623</v>
      </c>
      <c r="P191" s="76" t="str">
        <f t="shared" ca="1" si="8"/>
        <v>Vigente</v>
      </c>
    </row>
    <row r="192" spans="1:16" x14ac:dyDescent="0.3">
      <c r="A192" s="58" t="s">
        <v>482</v>
      </c>
      <c r="B192" s="56" t="s">
        <v>78</v>
      </c>
      <c r="C192" s="50" t="str">
        <f>_xlfn.XLOOKUP(B192,CLIENTES!$A$2:$A$301,CLIENTES!$B$2:$B$301)</f>
        <v>Sofía Luna</v>
      </c>
      <c r="D192" s="60">
        <v>45460</v>
      </c>
      <c r="E192" s="60">
        <f t="shared" si="6"/>
        <v>45825</v>
      </c>
      <c r="F192" s="50" t="s">
        <v>1595</v>
      </c>
      <c r="G192" s="56" t="s">
        <v>1599</v>
      </c>
      <c r="H192" s="47">
        <v>80</v>
      </c>
      <c r="I192" s="60">
        <v>17009</v>
      </c>
      <c r="J192" s="56" t="s">
        <v>1612</v>
      </c>
      <c r="K192" s="56">
        <v>2019</v>
      </c>
      <c r="L192" s="52">
        <f t="shared" si="7"/>
        <v>30711.869999999995</v>
      </c>
      <c r="M192" s="56">
        <f>LISTAS!$B$22*_xlfn.XLOOKUP(G192,LISTAS!$B$27:$B$36,LISTAS!$A$27:$A$36)*_xlfn.XLOOKUP(H192,LISTAS!$B$38:$B$47,LISTAS!$A$38:$A$47,,-1)*_xlfn.XLOOKUP(J192,LISTAS!$E$26:$H$26,LISTAS!$E$48:$H$48)*_xlfn.XLOOKUP(F192,LISTAS!$A$15:$A$18,LISTAS!$H$15:$H$18)</f>
        <v>2.1923999999999996E-2</v>
      </c>
      <c r="N192" s="54" cm="1">
        <f t="array" ref="N192">_xlfn.XLOOKUP(K192,LISTAS!$D$27:$D$47,_xlfn.XLOOKUP(J192,LISTAS!$E$26:$H$26,LISTAS!$E$27:$H$47))</f>
        <v>16810000</v>
      </c>
      <c r="O192" s="56" t="s">
        <v>1624</v>
      </c>
      <c r="P192" s="76" t="str">
        <f t="shared" ca="1" si="8"/>
        <v>Vencida</v>
      </c>
    </row>
    <row r="193" spans="1:16" x14ac:dyDescent="0.3">
      <c r="A193" s="58" t="s">
        <v>483</v>
      </c>
      <c r="B193" s="56" t="s">
        <v>35</v>
      </c>
      <c r="C193" s="50" t="str">
        <f>_xlfn.XLOOKUP(B193,CLIENTES!$A$2:$A$301,CLIENTES!$B$2:$B$301)</f>
        <v>Natalia Ferreyra</v>
      </c>
      <c r="D193" s="60">
        <v>45430</v>
      </c>
      <c r="E193" s="60">
        <f t="shared" si="6"/>
        <v>45795</v>
      </c>
      <c r="F193" s="50" t="s">
        <v>1597</v>
      </c>
      <c r="G193" s="56" t="s">
        <v>1604</v>
      </c>
      <c r="H193" s="47">
        <v>31</v>
      </c>
      <c r="I193" s="60">
        <v>34635</v>
      </c>
      <c r="J193" s="56" t="s">
        <v>1611</v>
      </c>
      <c r="K193" s="56">
        <v>2026</v>
      </c>
      <c r="L193" s="52">
        <f t="shared" si="7"/>
        <v>99618.750000000015</v>
      </c>
      <c r="M193" s="56">
        <f>LISTAS!$B$22*_xlfn.XLOOKUP(G193,LISTAS!$B$27:$B$36,LISTAS!$A$27:$A$36)*_xlfn.XLOOKUP(H193,LISTAS!$B$38:$B$47,LISTAS!$A$38:$A$47,,-1)*_xlfn.XLOOKUP(J193,LISTAS!$E$26:$H$26,LISTAS!$E$48:$H$48)*_xlfn.XLOOKUP(F193,LISTAS!$A$15:$A$18,LISTAS!$H$15:$H$18)</f>
        <v>2.6565000000000005E-2</v>
      </c>
      <c r="N193" s="54" cm="1">
        <f t="array" ref="N193">_xlfn.XLOOKUP(K193,LISTAS!$D$27:$D$47,_xlfn.XLOOKUP(J193,LISTAS!$E$26:$H$26,LISTAS!$E$27:$H$47))</f>
        <v>45000000</v>
      </c>
      <c r="O193" s="56" t="s">
        <v>1623</v>
      </c>
      <c r="P193" s="76" t="str">
        <f t="shared" ca="1" si="8"/>
        <v>Vencida</v>
      </c>
    </row>
    <row r="194" spans="1:16" x14ac:dyDescent="0.3">
      <c r="A194" s="58" t="s">
        <v>484</v>
      </c>
      <c r="B194" s="56" t="s">
        <v>284</v>
      </c>
      <c r="C194" s="50" t="str">
        <f>_xlfn.XLOOKUP(B194,CLIENTES!$A$2:$A$301,CLIENTES!$B$2:$B$301)</f>
        <v>Sofía Núñez</v>
      </c>
      <c r="D194" s="60">
        <v>44702</v>
      </c>
      <c r="E194" s="60">
        <f t="shared" si="6"/>
        <v>45067</v>
      </c>
      <c r="F194" s="50" t="s">
        <v>1595</v>
      </c>
      <c r="G194" s="56" t="s">
        <v>1601</v>
      </c>
      <c r="H194" s="47">
        <v>75</v>
      </c>
      <c r="I194" s="60">
        <v>18505</v>
      </c>
      <c r="J194" s="56" t="s">
        <v>1611</v>
      </c>
      <c r="K194" s="56">
        <v>2022</v>
      </c>
      <c r="L194" s="52">
        <f t="shared" si="7"/>
        <v>60153.978624999989</v>
      </c>
      <c r="M194" s="56">
        <f>LISTAS!$B$22*_xlfn.XLOOKUP(G194,LISTAS!$B$27:$B$36,LISTAS!$A$27:$A$36)*_xlfn.XLOOKUP(H194,LISTAS!$B$38:$B$47,LISTAS!$A$38:$A$47,,-1)*_xlfn.XLOOKUP(J194,LISTAS!$E$26:$H$26,LISTAS!$E$48:$H$48)*_xlfn.XLOOKUP(F194,LISTAS!$A$15:$A$18,LISTAS!$H$15:$H$18)</f>
        <v>2.3011499999999997E-2</v>
      </c>
      <c r="N194" s="54" cm="1">
        <f t="array" ref="N194">_xlfn.XLOOKUP(K194,LISTAS!$D$27:$D$47,_xlfn.XLOOKUP(J194,LISTAS!$E$26:$H$26,LISTAS!$E$27:$H$47))</f>
        <v>31369000</v>
      </c>
      <c r="O194" s="56" t="s">
        <v>1624</v>
      </c>
      <c r="P194" s="76" t="str">
        <f t="shared" ca="1" si="8"/>
        <v>Vencida</v>
      </c>
    </row>
    <row r="195" spans="1:16" x14ac:dyDescent="0.3">
      <c r="A195" s="58" t="s">
        <v>485</v>
      </c>
      <c r="B195" s="56" t="s">
        <v>150</v>
      </c>
      <c r="C195" s="50" t="str">
        <f>_xlfn.XLOOKUP(B195,CLIENTES!$A$2:$A$301,CLIENTES!$B$2:$B$301)</f>
        <v>Martín Cabrera</v>
      </c>
      <c r="D195" s="60">
        <v>44482</v>
      </c>
      <c r="E195" s="60">
        <f t="shared" ref="E195:E258" si="9">EDATE(D195,12)</f>
        <v>44847</v>
      </c>
      <c r="F195" s="50" t="s">
        <v>1596</v>
      </c>
      <c r="G195" s="56" t="s">
        <v>1606</v>
      </c>
      <c r="H195" s="47">
        <v>76</v>
      </c>
      <c r="I195" s="60">
        <v>18351</v>
      </c>
      <c r="J195" s="56" t="s">
        <v>1609</v>
      </c>
      <c r="K195" s="56">
        <v>2026</v>
      </c>
      <c r="L195" s="52">
        <f t="shared" ref="L195:L258" si="10">(N195*M195)/12</f>
        <v>51354.166666666664</v>
      </c>
      <c r="M195" s="56">
        <f>LISTAS!$B$22*_xlfn.XLOOKUP(G195,LISTAS!$B$27:$B$36,LISTAS!$A$27:$A$36)*_xlfn.XLOOKUP(H195,LISTAS!$B$38:$B$47,LISTAS!$A$38:$A$47,,-1)*_xlfn.XLOOKUP(J195,LISTAS!$E$26:$H$26,LISTAS!$E$48:$H$48)*_xlfn.XLOOKUP(F195,LISTAS!$A$15:$A$18,LISTAS!$H$15:$H$18)</f>
        <v>2.4649999999999998E-2</v>
      </c>
      <c r="N195" s="54" cm="1">
        <f t="array" ref="N195">_xlfn.XLOOKUP(K195,LISTAS!$D$27:$D$47,_xlfn.XLOOKUP(J195,LISTAS!$E$26:$H$26,LISTAS!$E$27:$H$47))</f>
        <v>25000000</v>
      </c>
      <c r="O195" s="56" t="s">
        <v>1623</v>
      </c>
      <c r="P195" s="76" t="str">
        <f t="shared" ref="P195:P258" ca="1" si="11">IF(TODAY()&lt;D195,"Pendiente",IF(TODAY()&gt;E195,"Vencida","Vigente"))</f>
        <v>Vencida</v>
      </c>
    </row>
    <row r="196" spans="1:16" x14ac:dyDescent="0.3">
      <c r="A196" s="58" t="s">
        <v>486</v>
      </c>
      <c r="B196" s="56" t="s">
        <v>275</v>
      </c>
      <c r="C196" s="50" t="str">
        <f>_xlfn.XLOOKUP(B196,CLIENTES!$A$2:$A$301,CLIENTES!$B$2:$B$301)</f>
        <v>Martina Arias</v>
      </c>
      <c r="D196" s="60">
        <v>45821</v>
      </c>
      <c r="E196" s="60">
        <f t="shared" si="9"/>
        <v>46186</v>
      </c>
      <c r="F196" s="50" t="s">
        <v>1596</v>
      </c>
      <c r="G196" s="56" t="s">
        <v>1599</v>
      </c>
      <c r="H196" s="47">
        <v>42</v>
      </c>
      <c r="I196" s="60">
        <v>30599</v>
      </c>
      <c r="J196" s="56" t="s">
        <v>1612</v>
      </c>
      <c r="K196" s="56">
        <v>2025</v>
      </c>
      <c r="L196" s="52">
        <f t="shared" si="10"/>
        <v>49922.880000000005</v>
      </c>
      <c r="M196" s="56">
        <f>LISTAS!$B$22*_xlfn.XLOOKUP(G196,LISTAS!$B$27:$B$36,LISTAS!$A$27:$A$36)*_xlfn.XLOOKUP(H196,LISTAS!$B$38:$B$47,LISTAS!$A$38:$A$47,,-1)*_xlfn.XLOOKUP(J196,LISTAS!$E$26:$H$26,LISTAS!$E$48:$H$48)*_xlfn.XLOOKUP(F196,LISTAS!$A$15:$A$18,LISTAS!$H$15:$H$18)</f>
        <v>2.0349000000000003E-2</v>
      </c>
      <c r="N196" s="54" cm="1">
        <f t="array" ref="N196">_xlfn.XLOOKUP(K196,LISTAS!$D$27:$D$47,_xlfn.XLOOKUP(J196,LISTAS!$E$26:$H$26,LISTAS!$E$27:$H$47))</f>
        <v>29440000</v>
      </c>
      <c r="O196" s="56" t="s">
        <v>1623</v>
      </c>
      <c r="P196" s="76" t="str">
        <f t="shared" ca="1" si="11"/>
        <v>Vencida</v>
      </c>
    </row>
    <row r="197" spans="1:16" x14ac:dyDescent="0.3">
      <c r="A197" s="58" t="s">
        <v>487</v>
      </c>
      <c r="B197" s="56" t="s">
        <v>190</v>
      </c>
      <c r="C197" s="50" t="str">
        <f>_xlfn.XLOOKUP(B197,CLIENTES!$A$2:$A$301,CLIENTES!$B$2:$B$301)</f>
        <v>Gabriel Herrera</v>
      </c>
      <c r="D197" s="60">
        <v>45325</v>
      </c>
      <c r="E197" s="60">
        <f t="shared" si="9"/>
        <v>45691</v>
      </c>
      <c r="F197" s="50" t="s">
        <v>1598</v>
      </c>
      <c r="G197" s="56" t="s">
        <v>1602</v>
      </c>
      <c r="H197" s="47">
        <v>23</v>
      </c>
      <c r="I197" s="60">
        <v>37508</v>
      </c>
      <c r="J197" s="56" t="s">
        <v>1609</v>
      </c>
      <c r="K197" s="56">
        <v>2026</v>
      </c>
      <c r="L197" s="52">
        <f t="shared" si="10"/>
        <v>76781.250000000015</v>
      </c>
      <c r="M197" s="56">
        <f>LISTAS!$B$22*_xlfn.XLOOKUP(G197,LISTAS!$B$27:$B$36,LISTAS!$A$27:$A$36)*_xlfn.XLOOKUP(H197,LISTAS!$B$38:$B$47,LISTAS!$A$38:$A$47,,-1)*_xlfn.XLOOKUP(J197,LISTAS!$E$26:$H$26,LISTAS!$E$48:$H$48)*_xlfn.XLOOKUP(F197,LISTAS!$A$15:$A$18,LISTAS!$H$15:$H$18)</f>
        <v>3.6855000000000006E-2</v>
      </c>
      <c r="N197" s="54" cm="1">
        <f t="array" ref="N197">_xlfn.XLOOKUP(K197,LISTAS!$D$27:$D$47,_xlfn.XLOOKUP(J197,LISTAS!$E$26:$H$26,LISTAS!$E$27:$H$47))</f>
        <v>25000000</v>
      </c>
      <c r="O197" s="56" t="s">
        <v>1623</v>
      </c>
      <c r="P197" s="76" t="str">
        <f t="shared" ca="1" si="11"/>
        <v>Vencida</v>
      </c>
    </row>
    <row r="198" spans="1:16" x14ac:dyDescent="0.3">
      <c r="A198" s="58" t="s">
        <v>488</v>
      </c>
      <c r="B198" s="56" t="s">
        <v>167</v>
      </c>
      <c r="C198" s="50" t="str">
        <f>_xlfn.XLOOKUP(B198,CLIENTES!$A$2:$A$301,CLIENTES!$B$2:$B$301)</f>
        <v>Diego Herrera</v>
      </c>
      <c r="D198" s="60">
        <v>44735</v>
      </c>
      <c r="E198" s="60">
        <f t="shared" si="9"/>
        <v>45100</v>
      </c>
      <c r="F198" s="50" t="s">
        <v>1598</v>
      </c>
      <c r="G198" s="56" t="s">
        <v>1603</v>
      </c>
      <c r="H198" s="47">
        <v>25</v>
      </c>
      <c r="I198" s="60">
        <v>36820</v>
      </c>
      <c r="J198" s="56" t="s">
        <v>1609</v>
      </c>
      <c r="K198" s="56">
        <v>2020</v>
      </c>
      <c r="L198" s="52">
        <f t="shared" si="10"/>
        <v>35647.039999999994</v>
      </c>
      <c r="M198" s="56">
        <f>LISTAS!$B$22*_xlfn.XLOOKUP(G198,LISTAS!$B$27:$B$36,LISTAS!$A$27:$A$36)*_xlfn.XLOOKUP(H198,LISTAS!$B$38:$B$47,LISTAS!$A$38:$A$47,,-1)*_xlfn.XLOOKUP(J198,LISTAS!$E$26:$H$26,LISTAS!$E$48:$H$48)*_xlfn.XLOOKUP(F198,LISTAS!$A$15:$A$18,LISTAS!$H$15:$H$18)</f>
        <v>2.9639999999999996E-2</v>
      </c>
      <c r="N198" s="54" cm="1">
        <f t="array" ref="N198">_xlfn.XLOOKUP(K198,LISTAS!$D$27:$D$47,_xlfn.XLOOKUP(J198,LISTAS!$E$26:$H$26,LISTAS!$E$27:$H$47))</f>
        <v>14432000</v>
      </c>
      <c r="O198" s="56" t="s">
        <v>1625</v>
      </c>
      <c r="P198" s="76" t="str">
        <f t="shared" ca="1" si="11"/>
        <v>Vencida</v>
      </c>
    </row>
    <row r="199" spans="1:16" x14ac:dyDescent="0.3">
      <c r="A199" s="58" t="s">
        <v>489</v>
      </c>
      <c r="B199" s="56" t="s">
        <v>145</v>
      </c>
      <c r="C199" s="50" t="str">
        <f>_xlfn.XLOOKUP(B199,CLIENTES!$A$2:$A$301,CLIENTES!$B$2:$B$301)</f>
        <v>Victoria Vega</v>
      </c>
      <c r="D199" s="60">
        <v>45502</v>
      </c>
      <c r="E199" s="60">
        <f t="shared" si="9"/>
        <v>45867</v>
      </c>
      <c r="F199" s="50" t="s">
        <v>1595</v>
      </c>
      <c r="G199" s="56" t="s">
        <v>1604</v>
      </c>
      <c r="H199" s="47">
        <v>60</v>
      </c>
      <c r="I199" s="60">
        <v>24145</v>
      </c>
      <c r="J199" s="56" t="s">
        <v>1611</v>
      </c>
      <c r="K199" s="56">
        <v>2022</v>
      </c>
      <c r="L199" s="52">
        <f t="shared" si="10"/>
        <v>39771.970875000006</v>
      </c>
      <c r="M199" s="56">
        <f>LISTAS!$B$22*_xlfn.XLOOKUP(G199,LISTAS!$B$27:$B$36,LISTAS!$A$27:$A$36)*_xlfn.XLOOKUP(H199,LISTAS!$B$38:$B$47,LISTAS!$A$38:$A$47,,-1)*_xlfn.XLOOKUP(J199,LISTAS!$E$26:$H$26,LISTAS!$E$48:$H$48)*_xlfn.XLOOKUP(F199,LISTAS!$A$15:$A$18,LISTAS!$H$15:$H$18)</f>
        <v>1.5214500000000001E-2</v>
      </c>
      <c r="N199" s="54" cm="1">
        <f t="array" ref="N199">_xlfn.XLOOKUP(K199,LISTAS!$D$27:$D$47,_xlfn.XLOOKUP(J199,LISTAS!$E$26:$H$26,LISTAS!$E$27:$H$47))</f>
        <v>31369000</v>
      </c>
      <c r="O199" s="56" t="s">
        <v>1623</v>
      </c>
      <c r="P199" s="76" t="str">
        <f t="shared" ca="1" si="11"/>
        <v>Vencida</v>
      </c>
    </row>
    <row r="200" spans="1:16" x14ac:dyDescent="0.3">
      <c r="A200" s="58" t="s">
        <v>490</v>
      </c>
      <c r="B200" s="56" t="s">
        <v>171</v>
      </c>
      <c r="C200" s="50" t="str">
        <f>_xlfn.XLOOKUP(B200,CLIENTES!$A$2:$A$301,CLIENTES!$B$2:$B$301)</f>
        <v>Julieta Rojas</v>
      </c>
      <c r="D200" s="60">
        <v>45825</v>
      </c>
      <c r="E200" s="60">
        <f t="shared" si="9"/>
        <v>46190</v>
      </c>
      <c r="F200" s="50" t="s">
        <v>1596</v>
      </c>
      <c r="G200" s="56" t="s">
        <v>1603</v>
      </c>
      <c r="H200" s="47">
        <v>22</v>
      </c>
      <c r="I200" s="60">
        <v>38208</v>
      </c>
      <c r="J200" s="56" t="s">
        <v>1611</v>
      </c>
      <c r="K200" s="56">
        <v>2025</v>
      </c>
      <c r="L200" s="52">
        <f t="shared" si="10"/>
        <v>86501.418749999997</v>
      </c>
      <c r="M200" s="56">
        <f>LISTAS!$B$22*_xlfn.XLOOKUP(G200,LISTAS!$B$27:$B$36,LISTAS!$A$27:$A$36)*_xlfn.XLOOKUP(H200,LISTAS!$B$38:$B$47,LISTAS!$A$38:$A$47,,-1)*_xlfn.XLOOKUP(J200,LISTAS!$E$26:$H$26,LISTAS!$E$48:$H$48)*_xlfn.XLOOKUP(F200,LISTAS!$A$15:$A$18,LISTAS!$H$15:$H$18)</f>
        <v>2.5072874999999998E-2</v>
      </c>
      <c r="N200" s="54" cm="1">
        <f t="array" ref="N200">_xlfn.XLOOKUP(K200,LISTAS!$D$27:$D$47,_xlfn.XLOOKUP(J200,LISTAS!$E$26:$H$26,LISTAS!$E$27:$H$47))</f>
        <v>41400000</v>
      </c>
      <c r="O200" s="56" t="s">
        <v>1625</v>
      </c>
      <c r="P200" s="76" t="str">
        <f t="shared" ca="1" si="11"/>
        <v>Vencida</v>
      </c>
    </row>
    <row r="201" spans="1:16" x14ac:dyDescent="0.3">
      <c r="A201" s="58" t="s">
        <v>491</v>
      </c>
      <c r="B201" s="56" t="s">
        <v>7</v>
      </c>
      <c r="C201" s="50" t="str">
        <f>_xlfn.XLOOKUP(B201,CLIENTES!$A$2:$A$301,CLIENTES!$B$2:$B$301)</f>
        <v>Federico Ramírez</v>
      </c>
      <c r="D201" s="60">
        <v>45042</v>
      </c>
      <c r="E201" s="60">
        <f t="shared" si="9"/>
        <v>45408</v>
      </c>
      <c r="F201" s="50" t="s">
        <v>1597</v>
      </c>
      <c r="G201" s="56" t="s">
        <v>1608</v>
      </c>
      <c r="H201" s="47">
        <v>59</v>
      </c>
      <c r="I201" s="60">
        <v>24521</v>
      </c>
      <c r="J201" s="56" t="s">
        <v>1610</v>
      </c>
      <c r="K201" s="56">
        <v>2021</v>
      </c>
      <c r="L201" s="52">
        <f t="shared" si="10"/>
        <v>48612.35500000001</v>
      </c>
      <c r="M201" s="56">
        <f>LISTAS!$B$22*_xlfn.XLOOKUP(G201,LISTAS!$B$27:$B$36,LISTAS!$A$27:$A$36)*_xlfn.XLOOKUP(H201,LISTAS!$B$38:$B$47,LISTAS!$A$38:$A$47,,-1)*_xlfn.XLOOKUP(J201,LISTAS!$E$26:$H$26,LISTAS!$E$48:$H$48)*_xlfn.XLOOKUP(F201,LISTAS!$A$15:$A$18,LISTAS!$H$15:$H$18)</f>
        <v>2.2990000000000003E-2</v>
      </c>
      <c r="N201" s="54" cm="1">
        <f t="array" ref="N201">_xlfn.XLOOKUP(K201,LISTAS!$D$27:$D$47,_xlfn.XLOOKUP(J201,LISTAS!$E$26:$H$26,LISTAS!$E$27:$H$47))</f>
        <v>25374000</v>
      </c>
      <c r="O201" s="56" t="s">
        <v>1623</v>
      </c>
      <c r="P201" s="76" t="str">
        <f t="shared" ca="1" si="11"/>
        <v>Vencida</v>
      </c>
    </row>
    <row r="202" spans="1:16" x14ac:dyDescent="0.3">
      <c r="A202" s="58" t="s">
        <v>492</v>
      </c>
      <c r="B202" s="56" t="s">
        <v>70</v>
      </c>
      <c r="C202" s="50" t="str">
        <f>_xlfn.XLOOKUP(B202,CLIENTES!$A$2:$A$301,CLIENTES!$B$2:$B$301)</f>
        <v>Facundo Flores</v>
      </c>
      <c r="D202" s="60">
        <v>45539</v>
      </c>
      <c r="E202" s="60">
        <f t="shared" si="9"/>
        <v>45904</v>
      </c>
      <c r="F202" s="50" t="s">
        <v>1596</v>
      </c>
      <c r="G202" s="56" t="s">
        <v>1604</v>
      </c>
      <c r="H202" s="47">
        <v>35</v>
      </c>
      <c r="I202" s="60">
        <v>33296</v>
      </c>
      <c r="J202" s="56" t="s">
        <v>1610</v>
      </c>
      <c r="K202" s="56">
        <v>2023</v>
      </c>
      <c r="L202" s="52">
        <f t="shared" si="10"/>
        <v>50137.972500000003</v>
      </c>
      <c r="M202" s="56">
        <f>LISTAS!$B$22*_xlfn.XLOOKUP(G202,LISTAS!$B$27:$B$36,LISTAS!$A$27:$A$36)*_xlfn.XLOOKUP(H202,LISTAS!$B$38:$B$47,LISTAS!$A$38:$A$47,,-1)*_xlfn.XLOOKUP(J202,LISTAS!$E$26:$H$26,LISTAS!$E$48:$H$48)*_xlfn.XLOOKUP(F202,LISTAS!$A$15:$A$18,LISTAS!$H$15:$H$18)</f>
        <v>1.9635000000000003E-2</v>
      </c>
      <c r="N202" s="54" cm="1">
        <f t="array" ref="N202">_xlfn.XLOOKUP(K202,LISTAS!$D$27:$D$47,_xlfn.XLOOKUP(J202,LISTAS!$E$26:$H$26,LISTAS!$E$27:$H$47))</f>
        <v>30642000</v>
      </c>
      <c r="O202" s="56" t="s">
        <v>1625</v>
      </c>
      <c r="P202" s="76" t="str">
        <f t="shared" ca="1" si="11"/>
        <v>Vencida</v>
      </c>
    </row>
    <row r="203" spans="1:16" x14ac:dyDescent="0.3">
      <c r="A203" s="58" t="s">
        <v>493</v>
      </c>
      <c r="B203" s="56" t="s">
        <v>263</v>
      </c>
      <c r="C203" s="50" t="str">
        <f>_xlfn.XLOOKUP(B203,CLIENTES!$A$2:$A$301,CLIENTES!$B$2:$B$301)</f>
        <v>Bruno Núñez</v>
      </c>
      <c r="D203" s="60">
        <v>44807</v>
      </c>
      <c r="E203" s="60">
        <f t="shared" si="9"/>
        <v>45172</v>
      </c>
      <c r="F203" s="50" t="s">
        <v>1597</v>
      </c>
      <c r="G203" s="56" t="s">
        <v>1599</v>
      </c>
      <c r="H203" s="47">
        <v>57</v>
      </c>
      <c r="I203" s="60">
        <v>25192</v>
      </c>
      <c r="J203" s="56" t="s">
        <v>1611</v>
      </c>
      <c r="K203" s="56">
        <v>2021</v>
      </c>
      <c r="L203" s="52">
        <f t="shared" si="10"/>
        <v>72221.38</v>
      </c>
      <c r="M203" s="56">
        <f>LISTAS!$B$22*_xlfn.XLOOKUP(G203,LISTAS!$B$27:$B$36,LISTAS!$A$27:$A$36)*_xlfn.XLOOKUP(H203,LISTAS!$B$38:$B$47,LISTAS!$A$38:$A$47,,-1)*_xlfn.XLOOKUP(J203,LISTAS!$E$26:$H$26,LISTAS!$E$48:$H$48)*_xlfn.XLOOKUP(F203,LISTAS!$A$15:$A$18,LISTAS!$H$15:$H$18)</f>
        <v>3.0360000000000002E-2</v>
      </c>
      <c r="N203" s="54" cm="1">
        <f t="array" ref="N203">_xlfn.XLOOKUP(K203,LISTAS!$D$27:$D$47,_xlfn.XLOOKUP(J203,LISTAS!$E$26:$H$26,LISTAS!$E$27:$H$47))</f>
        <v>28546000</v>
      </c>
      <c r="O203" s="56" t="s">
        <v>1625</v>
      </c>
      <c r="P203" s="76" t="str">
        <f t="shared" ca="1" si="11"/>
        <v>Vencida</v>
      </c>
    </row>
    <row r="204" spans="1:16" x14ac:dyDescent="0.3">
      <c r="A204" s="58" t="s">
        <v>494</v>
      </c>
      <c r="B204" s="56" t="s">
        <v>250</v>
      </c>
      <c r="C204" s="50" t="str">
        <f>_xlfn.XLOOKUP(B204,CLIENTES!$A$2:$A$301,CLIENTES!$B$2:$B$301)</f>
        <v>Sebastián Gutiérrez</v>
      </c>
      <c r="D204" s="60">
        <v>45290</v>
      </c>
      <c r="E204" s="60">
        <f t="shared" si="9"/>
        <v>45656</v>
      </c>
      <c r="F204" s="50" t="s">
        <v>1598</v>
      </c>
      <c r="G204" s="56" t="s">
        <v>1605</v>
      </c>
      <c r="H204" s="47">
        <v>65</v>
      </c>
      <c r="I204" s="60">
        <v>22394</v>
      </c>
      <c r="J204" s="56" t="s">
        <v>1611</v>
      </c>
      <c r="K204" s="56">
        <v>2022</v>
      </c>
      <c r="L204" s="52">
        <f t="shared" si="10"/>
        <v>80896.72987499999</v>
      </c>
      <c r="M204" s="56">
        <f>LISTAS!$B$22*_xlfn.XLOOKUP(G204,LISTAS!$B$27:$B$36,LISTAS!$A$27:$A$36)*_xlfn.XLOOKUP(H204,LISTAS!$B$38:$B$47,LISTAS!$A$38:$A$47,,-1)*_xlfn.XLOOKUP(J204,LISTAS!$E$26:$H$26,LISTAS!$E$48:$H$48)*_xlfn.XLOOKUP(F204,LISTAS!$A$15:$A$18,LISTAS!$H$15:$H$18)</f>
        <v>3.0946499999999995E-2</v>
      </c>
      <c r="N204" s="54" cm="1">
        <f t="array" ref="N204">_xlfn.XLOOKUP(K204,LISTAS!$D$27:$D$47,_xlfn.XLOOKUP(J204,LISTAS!$E$26:$H$26,LISTAS!$E$27:$H$47))</f>
        <v>31369000</v>
      </c>
      <c r="O204" s="56" t="s">
        <v>1625</v>
      </c>
      <c r="P204" s="76" t="str">
        <f t="shared" ca="1" si="11"/>
        <v>Vencida</v>
      </c>
    </row>
    <row r="205" spans="1:16" x14ac:dyDescent="0.3">
      <c r="A205" s="58" t="s">
        <v>495</v>
      </c>
      <c r="B205" s="56" t="s">
        <v>113</v>
      </c>
      <c r="C205" s="50" t="str">
        <f>_xlfn.XLOOKUP(B205,CLIENTES!$A$2:$A$301,CLIENTES!$B$2:$B$301)</f>
        <v>Federico Ruiz</v>
      </c>
      <c r="D205" s="60">
        <v>45391</v>
      </c>
      <c r="E205" s="60">
        <f t="shared" si="9"/>
        <v>45756</v>
      </c>
      <c r="F205" s="50" t="s">
        <v>1595</v>
      </c>
      <c r="G205" s="56" t="s">
        <v>1602</v>
      </c>
      <c r="H205" s="47">
        <v>55</v>
      </c>
      <c r="I205" s="60">
        <v>25903</v>
      </c>
      <c r="J205" s="56" t="s">
        <v>1611</v>
      </c>
      <c r="K205" s="56">
        <v>2025</v>
      </c>
      <c r="L205" s="52">
        <f t="shared" si="10"/>
        <v>49990.5</v>
      </c>
      <c r="M205" s="56">
        <f>LISTAS!$B$22*_xlfn.XLOOKUP(G205,LISTAS!$B$27:$B$36,LISTAS!$A$27:$A$36)*_xlfn.XLOOKUP(H205,LISTAS!$B$38:$B$47,LISTAS!$A$38:$A$47,,-1)*_xlfn.XLOOKUP(J205,LISTAS!$E$26:$H$26,LISTAS!$E$48:$H$48)*_xlfn.XLOOKUP(F205,LISTAS!$A$15:$A$18,LISTAS!$H$15:$H$18)</f>
        <v>1.4489999999999999E-2</v>
      </c>
      <c r="N205" s="54" cm="1">
        <f t="array" ref="N205">_xlfn.XLOOKUP(K205,LISTAS!$D$27:$D$47,_xlfn.XLOOKUP(J205,LISTAS!$E$26:$H$26,LISTAS!$E$27:$H$47))</f>
        <v>41400000</v>
      </c>
      <c r="O205" s="56" t="s">
        <v>1623</v>
      </c>
      <c r="P205" s="76" t="str">
        <f t="shared" ca="1" si="11"/>
        <v>Vencida</v>
      </c>
    </row>
    <row r="206" spans="1:16" x14ac:dyDescent="0.3">
      <c r="A206" s="58" t="s">
        <v>496</v>
      </c>
      <c r="B206" s="56" t="s">
        <v>287</v>
      </c>
      <c r="C206" s="50" t="str">
        <f>_xlfn.XLOOKUP(B206,CLIENTES!$A$2:$A$301,CLIENTES!$B$2:$B$301)</f>
        <v>Martina González</v>
      </c>
      <c r="D206" s="60">
        <v>45606</v>
      </c>
      <c r="E206" s="60">
        <f t="shared" si="9"/>
        <v>45971</v>
      </c>
      <c r="F206" s="50" t="s">
        <v>1595</v>
      </c>
      <c r="G206" s="56" t="s">
        <v>1603</v>
      </c>
      <c r="H206" s="47">
        <v>58</v>
      </c>
      <c r="I206" s="60">
        <v>24842</v>
      </c>
      <c r="J206" s="56" t="s">
        <v>1609</v>
      </c>
      <c r="K206" s="56">
        <v>2022</v>
      </c>
      <c r="L206" s="52">
        <f t="shared" si="10"/>
        <v>16555.649999999998</v>
      </c>
      <c r="M206" s="56">
        <f>LISTAS!$B$22*_xlfn.XLOOKUP(G206,LISTAS!$B$27:$B$36,LISTAS!$A$27:$A$36)*_xlfn.XLOOKUP(H206,LISTAS!$B$38:$B$47,LISTAS!$A$38:$A$47,,-1)*_xlfn.XLOOKUP(J206,LISTAS!$E$26:$H$26,LISTAS!$E$48:$H$48)*_xlfn.XLOOKUP(F206,LISTAS!$A$15:$A$18,LISTAS!$H$15:$H$18)</f>
        <v>1.1399999999999999E-2</v>
      </c>
      <c r="N206" s="54" cm="1">
        <f t="array" ref="N206">_xlfn.XLOOKUP(K206,LISTAS!$D$27:$D$47,_xlfn.XLOOKUP(J206,LISTAS!$E$26:$H$26,LISTAS!$E$27:$H$47))</f>
        <v>17427000</v>
      </c>
      <c r="O206" s="56" t="s">
        <v>1623</v>
      </c>
      <c r="P206" s="76" t="str">
        <f t="shared" ca="1" si="11"/>
        <v>Vencida</v>
      </c>
    </row>
    <row r="207" spans="1:16" x14ac:dyDescent="0.3">
      <c r="A207" s="58" t="s">
        <v>497</v>
      </c>
      <c r="B207" s="56" t="s">
        <v>129</v>
      </c>
      <c r="C207" s="50" t="str">
        <f>_xlfn.XLOOKUP(B207,CLIENTES!$A$2:$A$301,CLIENTES!$B$2:$B$301)</f>
        <v>Agustín Acosta</v>
      </c>
      <c r="D207" s="60">
        <v>45120</v>
      </c>
      <c r="E207" s="60">
        <f t="shared" si="9"/>
        <v>45486</v>
      </c>
      <c r="F207" s="50" t="s">
        <v>1598</v>
      </c>
      <c r="G207" s="56" t="s">
        <v>1600</v>
      </c>
      <c r="H207" s="47">
        <v>62</v>
      </c>
      <c r="I207" s="60">
        <v>23293</v>
      </c>
      <c r="J207" s="56" t="s">
        <v>1610</v>
      </c>
      <c r="K207" s="56">
        <v>2023</v>
      </c>
      <c r="L207" s="52">
        <f t="shared" si="10"/>
        <v>88183.845750000022</v>
      </c>
      <c r="M207" s="56">
        <f>LISTAS!$B$22*_xlfn.XLOOKUP(G207,LISTAS!$B$27:$B$36,LISTAS!$A$27:$A$36)*_xlfn.XLOOKUP(H207,LISTAS!$B$38:$B$47,LISTAS!$A$38:$A$47,,-1)*_xlfn.XLOOKUP(J207,LISTAS!$E$26:$H$26,LISTAS!$E$48:$H$48)*_xlfn.XLOOKUP(F207,LISTAS!$A$15:$A$18,LISTAS!$H$15:$H$18)</f>
        <v>3.453450000000001E-2</v>
      </c>
      <c r="N207" s="54" cm="1">
        <f t="array" ref="N207">_xlfn.XLOOKUP(K207,LISTAS!$D$27:$D$47,_xlfn.XLOOKUP(J207,LISTAS!$E$26:$H$26,LISTAS!$E$27:$H$47))</f>
        <v>30642000</v>
      </c>
      <c r="O207" s="56" t="s">
        <v>1623</v>
      </c>
      <c r="P207" s="76" t="str">
        <f t="shared" ca="1" si="11"/>
        <v>Vencida</v>
      </c>
    </row>
    <row r="208" spans="1:16" x14ac:dyDescent="0.3">
      <c r="A208" s="58" t="s">
        <v>498</v>
      </c>
      <c r="B208" s="56" t="s">
        <v>104</v>
      </c>
      <c r="C208" s="50" t="str">
        <f>_xlfn.XLOOKUP(B208,CLIENTES!$A$2:$A$301,CLIENTES!$B$2:$B$301)</f>
        <v>Malena Roldán</v>
      </c>
      <c r="D208" s="60">
        <v>44661</v>
      </c>
      <c r="E208" s="60">
        <f t="shared" si="9"/>
        <v>45026</v>
      </c>
      <c r="F208" s="50" t="s">
        <v>1595</v>
      </c>
      <c r="G208" s="56" t="s">
        <v>1604</v>
      </c>
      <c r="H208" s="47">
        <v>76</v>
      </c>
      <c r="I208" s="60">
        <v>18448</v>
      </c>
      <c r="J208" s="56" t="s">
        <v>1609</v>
      </c>
      <c r="K208" s="56">
        <v>2021</v>
      </c>
      <c r="L208" s="52">
        <f t="shared" si="10"/>
        <v>24145.327500000003</v>
      </c>
      <c r="M208" s="56">
        <f>LISTAS!$B$22*_xlfn.XLOOKUP(G208,LISTAS!$B$27:$B$36,LISTAS!$A$27:$A$36)*_xlfn.XLOOKUP(H208,LISTAS!$B$38:$B$47,LISTAS!$A$38:$A$47,,-1)*_xlfn.XLOOKUP(J208,LISTAS!$E$26:$H$26,LISTAS!$E$48:$H$48)*_xlfn.XLOOKUP(F208,LISTAS!$A$15:$A$18,LISTAS!$H$15:$H$18)</f>
        <v>1.8270000000000002E-2</v>
      </c>
      <c r="N208" s="54" cm="1">
        <f t="array" ref="N208">_xlfn.XLOOKUP(K208,LISTAS!$D$27:$D$47,_xlfn.XLOOKUP(J208,LISTAS!$E$26:$H$26,LISTAS!$E$27:$H$47))</f>
        <v>15859000</v>
      </c>
      <c r="O208" s="56" t="s">
        <v>1623</v>
      </c>
      <c r="P208" s="76" t="str">
        <f t="shared" ca="1" si="11"/>
        <v>Vencida</v>
      </c>
    </row>
    <row r="209" spans="1:16" x14ac:dyDescent="0.3">
      <c r="A209" s="58" t="s">
        <v>499</v>
      </c>
      <c r="B209" s="56" t="s">
        <v>111</v>
      </c>
      <c r="C209" s="50" t="str">
        <f>_xlfn.XLOOKUP(B209,CLIENTES!$A$2:$A$301,CLIENTES!$B$2:$B$301)</f>
        <v>Alejandro Ortiz</v>
      </c>
      <c r="D209" s="60">
        <v>46034</v>
      </c>
      <c r="E209" s="60">
        <f t="shared" si="9"/>
        <v>46399</v>
      </c>
      <c r="F209" s="50" t="s">
        <v>1595</v>
      </c>
      <c r="G209" s="56" t="s">
        <v>1604</v>
      </c>
      <c r="H209" s="47">
        <v>22</v>
      </c>
      <c r="I209" s="60">
        <v>37934</v>
      </c>
      <c r="J209" s="56" t="s">
        <v>1609</v>
      </c>
      <c r="K209" s="56">
        <v>2023</v>
      </c>
      <c r="L209" s="52">
        <f t="shared" si="10"/>
        <v>27146.5425</v>
      </c>
      <c r="M209" s="56">
        <f>LISTAS!$B$22*_xlfn.XLOOKUP(G209,LISTAS!$B$27:$B$36,LISTAS!$A$27:$A$36)*_xlfn.XLOOKUP(H209,LISTAS!$B$38:$B$47,LISTAS!$A$38:$A$47,,-1)*_xlfn.XLOOKUP(J209,LISTAS!$E$26:$H$26,LISTAS!$E$48:$H$48)*_xlfn.XLOOKUP(F209,LISTAS!$A$15:$A$18,LISTAS!$H$15:$H$18)</f>
        <v>1.7010000000000001E-2</v>
      </c>
      <c r="N209" s="54" cm="1">
        <f t="array" ref="N209">_xlfn.XLOOKUP(K209,LISTAS!$D$27:$D$47,_xlfn.XLOOKUP(J209,LISTAS!$E$26:$H$26,LISTAS!$E$27:$H$47))</f>
        <v>19151000</v>
      </c>
      <c r="O209" s="56" t="s">
        <v>1623</v>
      </c>
      <c r="P209" s="76" t="str">
        <f t="shared" ca="1" si="11"/>
        <v>Vigente</v>
      </c>
    </row>
    <row r="210" spans="1:16" x14ac:dyDescent="0.3">
      <c r="A210" s="58" t="s">
        <v>500</v>
      </c>
      <c r="B210" s="56" t="s">
        <v>34</v>
      </c>
      <c r="C210" s="50" t="str">
        <f>_xlfn.XLOOKUP(B210,CLIENTES!$A$2:$A$301,CLIENTES!$B$2:$B$301)</f>
        <v>Alejandro López</v>
      </c>
      <c r="D210" s="60">
        <v>44665</v>
      </c>
      <c r="E210" s="60">
        <f t="shared" si="9"/>
        <v>45030</v>
      </c>
      <c r="F210" s="50" t="s">
        <v>1597</v>
      </c>
      <c r="G210" s="56" t="s">
        <v>1600</v>
      </c>
      <c r="H210" s="47">
        <v>22</v>
      </c>
      <c r="I210" s="60">
        <v>37867</v>
      </c>
      <c r="J210" s="56" t="s">
        <v>1612</v>
      </c>
      <c r="K210" s="56">
        <v>2023</v>
      </c>
      <c r="L210" s="52">
        <f t="shared" si="10"/>
        <v>73258.632562500003</v>
      </c>
      <c r="M210" s="56">
        <f>LISTAS!$B$22*_xlfn.XLOOKUP(G210,LISTAS!$B$27:$B$36,LISTAS!$A$27:$A$36)*_xlfn.XLOOKUP(H210,LISTAS!$B$38:$B$47,LISTAS!$A$38:$A$47,,-1)*_xlfn.XLOOKUP(J210,LISTAS!$E$26:$H$26,LISTAS!$E$48:$H$48)*_xlfn.XLOOKUP(F210,LISTAS!$A$15:$A$18,LISTAS!$H$15:$H$18)</f>
        <v>3.5862750000000006E-2</v>
      </c>
      <c r="N210" s="54" cm="1">
        <f t="array" ref="N210">_xlfn.XLOOKUP(K210,LISTAS!$D$27:$D$47,_xlfn.XLOOKUP(J210,LISTAS!$E$26:$H$26,LISTAS!$E$27:$H$47))</f>
        <v>24513000</v>
      </c>
      <c r="O210" s="56" t="s">
        <v>1623</v>
      </c>
      <c r="P210" s="76" t="str">
        <f t="shared" ca="1" si="11"/>
        <v>Vencida</v>
      </c>
    </row>
    <row r="211" spans="1:16" x14ac:dyDescent="0.3">
      <c r="A211" s="58" t="s">
        <v>501</v>
      </c>
      <c r="B211" s="56" t="s">
        <v>4</v>
      </c>
      <c r="C211" s="50" t="str">
        <f>_xlfn.XLOOKUP(B211,CLIENTES!$A$2:$A$301,CLIENTES!$B$2:$B$301)</f>
        <v>Sebastián Ortiz</v>
      </c>
      <c r="D211" s="60">
        <v>45482</v>
      </c>
      <c r="E211" s="60">
        <f t="shared" si="9"/>
        <v>45847</v>
      </c>
      <c r="F211" s="50" t="s">
        <v>1596</v>
      </c>
      <c r="G211" s="56" t="s">
        <v>1605</v>
      </c>
      <c r="H211" s="47">
        <v>78</v>
      </c>
      <c r="I211" s="60">
        <v>17720</v>
      </c>
      <c r="J211" s="56" t="s">
        <v>1612</v>
      </c>
      <c r="K211" s="56">
        <v>2020</v>
      </c>
      <c r="L211" s="52">
        <f t="shared" si="10"/>
        <v>35857.615500000007</v>
      </c>
      <c r="M211" s="56">
        <f>LISTAS!$B$22*_xlfn.XLOOKUP(G211,LISTAS!$B$27:$B$36,LISTAS!$A$27:$A$36)*_xlfn.XLOOKUP(H211,LISTAS!$B$38:$B$47,LISTAS!$A$38:$A$47,,-1)*_xlfn.XLOOKUP(J211,LISTAS!$E$26:$H$26,LISTAS!$E$48:$H$48)*_xlfn.XLOOKUP(F211,LISTAS!$A$15:$A$18,LISTAS!$H$15:$H$18)</f>
        <v>2.3294250000000002E-2</v>
      </c>
      <c r="N211" s="54" cm="1">
        <f t="array" ref="N211">_xlfn.XLOOKUP(K211,LISTAS!$D$27:$D$47,_xlfn.XLOOKUP(J211,LISTAS!$E$26:$H$26,LISTAS!$E$27:$H$47))</f>
        <v>18472000</v>
      </c>
      <c r="O211" s="56" t="s">
        <v>1623</v>
      </c>
      <c r="P211" s="76" t="str">
        <f t="shared" ca="1" si="11"/>
        <v>Vencida</v>
      </c>
    </row>
    <row r="212" spans="1:16" x14ac:dyDescent="0.3">
      <c r="A212" s="58" t="s">
        <v>502</v>
      </c>
      <c r="B212" s="56" t="s">
        <v>243</v>
      </c>
      <c r="C212" s="50" t="str">
        <f>_xlfn.XLOOKUP(B212,CLIENTES!$A$2:$A$301,CLIENTES!$B$2:$B$301)</f>
        <v>Carolina Arias</v>
      </c>
      <c r="D212" s="60">
        <v>46061</v>
      </c>
      <c r="E212" s="60">
        <f t="shared" si="9"/>
        <v>46426</v>
      </c>
      <c r="F212" s="50" t="s">
        <v>1595</v>
      </c>
      <c r="G212" s="56" t="s">
        <v>1604</v>
      </c>
      <c r="H212" s="47">
        <v>42</v>
      </c>
      <c r="I212" s="60">
        <v>30793</v>
      </c>
      <c r="J212" s="56" t="s">
        <v>1612</v>
      </c>
      <c r="K212" s="56">
        <v>2009</v>
      </c>
      <c r="L212" s="52">
        <f t="shared" si="10"/>
        <v>7812.3701250000004</v>
      </c>
      <c r="M212" s="56">
        <f>LISTAS!$B$22*_xlfn.XLOOKUP(G212,LISTAS!$B$27:$B$36,LISTAS!$A$27:$A$36)*_xlfn.XLOOKUP(H212,LISTAS!$B$38:$B$47,LISTAS!$A$38:$A$47,,-1)*_xlfn.XLOOKUP(J212,LISTAS!$E$26:$H$26,LISTAS!$E$48:$H$48)*_xlfn.XLOOKUP(F212,LISTAS!$A$15:$A$18,LISTAS!$H$15:$H$18)</f>
        <v>1.25685E-2</v>
      </c>
      <c r="N212" s="54" cm="1">
        <f t="array" ref="N212">_xlfn.XLOOKUP(K212,LISTAS!$D$27:$D$47,_xlfn.XLOOKUP(J212,LISTAS!$E$26:$H$26,LISTAS!$E$27:$H$47))</f>
        <v>7459000</v>
      </c>
      <c r="O212" s="56" t="s">
        <v>1626</v>
      </c>
      <c r="P212" s="76" t="str">
        <f t="shared" ca="1" si="11"/>
        <v>Vigente</v>
      </c>
    </row>
    <row r="213" spans="1:16" x14ac:dyDescent="0.3">
      <c r="A213" s="58" t="s">
        <v>503</v>
      </c>
      <c r="B213" s="56" t="s">
        <v>195</v>
      </c>
      <c r="C213" s="50" t="str">
        <f>_xlfn.XLOOKUP(B213,CLIENTES!$A$2:$A$301,CLIENTES!$B$2:$B$301)</f>
        <v>Martina Luna</v>
      </c>
      <c r="D213" s="60">
        <v>46244</v>
      </c>
      <c r="E213" s="60">
        <f t="shared" si="9"/>
        <v>46609</v>
      </c>
      <c r="F213" s="50" t="s">
        <v>1595</v>
      </c>
      <c r="G213" s="56" t="s">
        <v>1601</v>
      </c>
      <c r="H213" s="47">
        <v>48</v>
      </c>
      <c r="I213" s="60">
        <v>28601</v>
      </c>
      <c r="J213" s="56" t="s">
        <v>1610</v>
      </c>
      <c r="K213" s="56">
        <v>2010</v>
      </c>
      <c r="L213" s="52">
        <f t="shared" si="10"/>
        <v>11985.052750000001</v>
      </c>
      <c r="M213" s="56">
        <f>LISTAS!$B$22*_xlfn.XLOOKUP(G213,LISTAS!$B$27:$B$36,LISTAS!$A$27:$A$36)*_xlfn.XLOOKUP(H213,LISTAS!$B$38:$B$47,LISTAS!$A$38:$A$47,,-1)*_xlfn.XLOOKUP(J213,LISTAS!$E$26:$H$26,LISTAS!$E$48:$H$48)*_xlfn.XLOOKUP(F213,LISTAS!$A$15:$A$18,LISTAS!$H$15:$H$18)</f>
        <v>1.4421E-2</v>
      </c>
      <c r="N213" s="54" cm="1">
        <f t="array" ref="N213">_xlfn.XLOOKUP(K213,LISTAS!$D$27:$D$47,_xlfn.XLOOKUP(J213,LISTAS!$E$26:$H$26,LISTAS!$E$27:$H$47))</f>
        <v>9973000</v>
      </c>
      <c r="O213" s="56" t="s">
        <v>1623</v>
      </c>
      <c r="P213" s="76" t="str">
        <f t="shared" ca="1" si="11"/>
        <v>Vigente</v>
      </c>
    </row>
    <row r="214" spans="1:16" x14ac:dyDescent="0.3">
      <c r="A214" s="58" t="s">
        <v>504</v>
      </c>
      <c r="B214" s="56" t="s">
        <v>271</v>
      </c>
      <c r="C214" s="50" t="str">
        <f>_xlfn.XLOOKUP(B214,CLIENTES!$A$2:$A$301,CLIENTES!$B$2:$B$301)</f>
        <v>Carolina Roldán</v>
      </c>
      <c r="D214" s="60">
        <v>44474</v>
      </c>
      <c r="E214" s="60">
        <f t="shared" si="9"/>
        <v>44839</v>
      </c>
      <c r="F214" s="50" t="s">
        <v>1598</v>
      </c>
      <c r="G214" s="56" t="s">
        <v>1599</v>
      </c>
      <c r="H214" s="47">
        <v>25</v>
      </c>
      <c r="I214" s="60">
        <v>37118</v>
      </c>
      <c r="J214" s="56" t="s">
        <v>1612</v>
      </c>
      <c r="K214" s="56">
        <v>2025</v>
      </c>
      <c r="L214" s="52">
        <f t="shared" si="10"/>
        <v>96445.440000000002</v>
      </c>
      <c r="M214" s="56">
        <f>LISTAS!$B$22*_xlfn.XLOOKUP(G214,LISTAS!$B$27:$B$36,LISTAS!$A$27:$A$36)*_xlfn.XLOOKUP(H214,LISTAS!$B$38:$B$47,LISTAS!$A$38:$A$47,,-1)*_xlfn.XLOOKUP(J214,LISTAS!$E$26:$H$26,LISTAS!$E$48:$H$48)*_xlfn.XLOOKUP(F214,LISTAS!$A$15:$A$18,LISTAS!$H$15:$H$18)</f>
        <v>3.9312E-2</v>
      </c>
      <c r="N214" s="54" cm="1">
        <f t="array" ref="N214">_xlfn.XLOOKUP(K214,LISTAS!$D$27:$D$47,_xlfn.XLOOKUP(J214,LISTAS!$E$26:$H$26,LISTAS!$E$27:$H$47))</f>
        <v>29440000</v>
      </c>
      <c r="O214" s="56" t="s">
        <v>1623</v>
      </c>
      <c r="P214" s="76" t="str">
        <f t="shared" ca="1" si="11"/>
        <v>Vencida</v>
      </c>
    </row>
    <row r="215" spans="1:16" x14ac:dyDescent="0.3">
      <c r="A215" s="58" t="s">
        <v>505</v>
      </c>
      <c r="B215" s="56" t="s">
        <v>203</v>
      </c>
      <c r="C215" s="50" t="str">
        <f>_xlfn.XLOOKUP(B215,CLIENTES!$A$2:$A$301,CLIENTES!$B$2:$B$301)</f>
        <v>Mariano Molina</v>
      </c>
      <c r="D215" s="60">
        <v>45849</v>
      </c>
      <c r="E215" s="60">
        <f t="shared" si="9"/>
        <v>46214</v>
      </c>
      <c r="F215" s="50" t="s">
        <v>1595</v>
      </c>
      <c r="G215" s="56" t="s">
        <v>1608</v>
      </c>
      <c r="H215" s="47">
        <v>61</v>
      </c>
      <c r="I215" s="60">
        <v>23735</v>
      </c>
      <c r="J215" s="56" t="s">
        <v>1612</v>
      </c>
      <c r="K215" s="56">
        <v>2021</v>
      </c>
      <c r="L215" s="52">
        <f t="shared" si="10"/>
        <v>21260.665125</v>
      </c>
      <c r="M215" s="56">
        <f>LISTAS!$B$22*_xlfn.XLOOKUP(G215,LISTAS!$B$27:$B$36,LISTAS!$A$27:$A$36)*_xlfn.XLOOKUP(H215,LISTAS!$B$38:$B$47,LISTAS!$A$38:$A$47,,-1)*_xlfn.XLOOKUP(J215,LISTAS!$E$26:$H$26,LISTAS!$E$48:$H$48)*_xlfn.XLOOKUP(F215,LISTAS!$A$15:$A$18,LISTAS!$H$15:$H$18)</f>
        <v>1.25685E-2</v>
      </c>
      <c r="N215" s="54" cm="1">
        <f t="array" ref="N215">_xlfn.XLOOKUP(K215,LISTAS!$D$27:$D$47,_xlfn.XLOOKUP(J215,LISTAS!$E$26:$H$26,LISTAS!$E$27:$H$47))</f>
        <v>20299000</v>
      </c>
      <c r="O215" s="56" t="s">
        <v>1623</v>
      </c>
      <c r="P215" s="76" t="str">
        <f t="shared" ca="1" si="11"/>
        <v>Vencida</v>
      </c>
    </row>
    <row r="216" spans="1:16" x14ac:dyDescent="0.3">
      <c r="A216" s="58" t="s">
        <v>506</v>
      </c>
      <c r="B216" s="56" t="s">
        <v>97</v>
      </c>
      <c r="C216" s="50" t="str">
        <f>_xlfn.XLOOKUP(B216,CLIENTES!$A$2:$A$301,CLIENTES!$B$2:$B$301)</f>
        <v>Florencia Romero</v>
      </c>
      <c r="D216" s="60">
        <v>46096</v>
      </c>
      <c r="E216" s="60">
        <f t="shared" si="9"/>
        <v>46461</v>
      </c>
      <c r="F216" s="50" t="s">
        <v>1598</v>
      </c>
      <c r="G216" s="56" t="s">
        <v>1604</v>
      </c>
      <c r="H216" s="47">
        <v>19</v>
      </c>
      <c r="I216" s="60">
        <v>38987</v>
      </c>
      <c r="J216" s="56" t="s">
        <v>1610</v>
      </c>
      <c r="K216" s="56">
        <v>2019</v>
      </c>
      <c r="L216" s="52">
        <f t="shared" si="10"/>
        <v>78873.794999999998</v>
      </c>
      <c r="M216" s="56">
        <f>LISTAS!$B$22*_xlfn.XLOOKUP(G216,LISTAS!$B$27:$B$36,LISTAS!$A$27:$A$36)*_xlfn.XLOOKUP(H216,LISTAS!$B$38:$B$47,LISTAS!$A$38:$A$47,,-1)*_xlfn.XLOOKUP(J216,LISTAS!$E$26:$H$26,LISTAS!$E$48:$H$48)*_xlfn.XLOOKUP(F216,LISTAS!$A$15:$A$18,LISTAS!$H$15:$H$18)</f>
        <v>4.5045000000000002E-2</v>
      </c>
      <c r="N216" s="54" cm="1">
        <f t="array" ref="N216">_xlfn.XLOOKUP(K216,LISTAS!$D$27:$D$47,_xlfn.XLOOKUP(J216,LISTAS!$E$26:$H$26,LISTAS!$E$27:$H$47))</f>
        <v>21012000</v>
      </c>
      <c r="O216" s="56" t="s">
        <v>1623</v>
      </c>
      <c r="P216" s="76" t="str">
        <f t="shared" ca="1" si="11"/>
        <v>Vigente</v>
      </c>
    </row>
    <row r="217" spans="1:16" x14ac:dyDescent="0.3">
      <c r="A217" s="58" t="s">
        <v>507</v>
      </c>
      <c r="B217" s="56" t="s">
        <v>273</v>
      </c>
      <c r="C217" s="50" t="str">
        <f>_xlfn.XLOOKUP(B217,CLIENTES!$A$2:$A$301,CLIENTES!$B$2:$B$301)</f>
        <v>Nicolás Ramírez</v>
      </c>
      <c r="D217" s="60">
        <v>45261</v>
      </c>
      <c r="E217" s="60">
        <f t="shared" si="9"/>
        <v>45627</v>
      </c>
      <c r="F217" s="50" t="s">
        <v>1596</v>
      </c>
      <c r="G217" s="56" t="s">
        <v>1601</v>
      </c>
      <c r="H217" s="47">
        <v>61</v>
      </c>
      <c r="I217" s="60">
        <v>23882</v>
      </c>
      <c r="J217" s="56" t="s">
        <v>1609</v>
      </c>
      <c r="K217" s="56">
        <v>2016</v>
      </c>
      <c r="L217" s="52">
        <f t="shared" si="10"/>
        <v>17022.429375</v>
      </c>
      <c r="M217" s="56">
        <f>LISTAS!$B$22*_xlfn.XLOOKUP(G217,LISTAS!$B$27:$B$36,LISTAS!$A$27:$A$36)*_xlfn.XLOOKUP(H217,LISTAS!$B$38:$B$47,LISTAS!$A$38:$A$47,,-1)*_xlfn.XLOOKUP(J217,LISTAS!$E$26:$H$26,LISTAS!$E$48:$H$48)*_xlfn.XLOOKUP(F217,LISTAS!$A$15:$A$18,LISTAS!$H$15:$H$18)</f>
        <v>2.0527500000000001E-2</v>
      </c>
      <c r="N217" s="54" cm="1">
        <f t="array" ref="N217">_xlfn.XLOOKUP(K217,LISTAS!$D$27:$D$47,_xlfn.XLOOKUP(J217,LISTAS!$E$26:$H$26,LISTAS!$E$27:$H$47))</f>
        <v>9951000</v>
      </c>
      <c r="O217" s="56" t="s">
        <v>1624</v>
      </c>
      <c r="P217" s="76" t="str">
        <f t="shared" ca="1" si="11"/>
        <v>Vencida</v>
      </c>
    </row>
    <row r="218" spans="1:16" x14ac:dyDescent="0.3">
      <c r="A218" s="58" t="s">
        <v>508</v>
      </c>
      <c r="B218" s="56" t="s">
        <v>245</v>
      </c>
      <c r="C218" s="50" t="str">
        <f>_xlfn.XLOOKUP(B218,CLIENTES!$A$2:$A$301,CLIENTES!$B$2:$B$301)</f>
        <v>Ignacio Campos</v>
      </c>
      <c r="D218" s="60">
        <v>45408</v>
      </c>
      <c r="E218" s="60">
        <f t="shared" si="9"/>
        <v>45773</v>
      </c>
      <c r="F218" s="50" t="s">
        <v>1595</v>
      </c>
      <c r="G218" s="56" t="s">
        <v>1602</v>
      </c>
      <c r="H218" s="47">
        <v>20</v>
      </c>
      <c r="I218" s="60">
        <v>38748</v>
      </c>
      <c r="J218" s="56" t="s">
        <v>1611</v>
      </c>
      <c r="K218" s="56">
        <v>2016</v>
      </c>
      <c r="L218" s="52">
        <f t="shared" si="10"/>
        <v>32443.11</v>
      </c>
      <c r="M218" s="56">
        <f>LISTAS!$B$22*_xlfn.XLOOKUP(G218,LISTAS!$B$27:$B$36,LISTAS!$A$27:$A$36)*_xlfn.XLOOKUP(H218,LISTAS!$B$38:$B$47,LISTAS!$A$38:$A$47,,-1)*_xlfn.XLOOKUP(J218,LISTAS!$E$26:$H$26,LISTAS!$E$48:$H$48)*_xlfn.XLOOKUP(F218,LISTAS!$A$15:$A$18,LISTAS!$H$15:$H$18)</f>
        <v>2.1735000000000001E-2</v>
      </c>
      <c r="N218" s="54" cm="1">
        <f t="array" ref="N218">_xlfn.XLOOKUP(K218,LISTAS!$D$27:$D$47,_xlfn.XLOOKUP(J218,LISTAS!$E$26:$H$26,LISTAS!$E$27:$H$47))</f>
        <v>17912000</v>
      </c>
      <c r="O218" s="56" t="s">
        <v>1623</v>
      </c>
      <c r="P218" s="76" t="str">
        <f t="shared" ca="1" si="11"/>
        <v>Vencida</v>
      </c>
    </row>
    <row r="219" spans="1:16" x14ac:dyDescent="0.3">
      <c r="A219" s="58" t="s">
        <v>509</v>
      </c>
      <c r="B219" s="56" t="s">
        <v>81</v>
      </c>
      <c r="C219" s="50" t="str">
        <f>_xlfn.XLOOKUP(B219,CLIENTES!$A$2:$A$301,CLIENTES!$B$2:$B$301)</f>
        <v>Alejandro Rojas</v>
      </c>
      <c r="D219" s="60">
        <v>44736</v>
      </c>
      <c r="E219" s="60">
        <f t="shared" si="9"/>
        <v>45101</v>
      </c>
      <c r="F219" s="50" t="s">
        <v>1598</v>
      </c>
      <c r="G219" s="56" t="s">
        <v>1603</v>
      </c>
      <c r="H219" s="47">
        <v>68</v>
      </c>
      <c r="I219" s="60">
        <v>21307</v>
      </c>
      <c r="J219" s="56" t="s">
        <v>1611</v>
      </c>
      <c r="K219" s="56">
        <v>2021</v>
      </c>
      <c r="L219" s="52">
        <f t="shared" si="10"/>
        <v>77706.374958333341</v>
      </c>
      <c r="M219" s="56">
        <f>LISTAS!$B$22*_xlfn.XLOOKUP(G219,LISTAS!$B$27:$B$36,LISTAS!$A$27:$A$36)*_xlfn.XLOOKUP(H219,LISTAS!$B$38:$B$47,LISTAS!$A$38:$A$47,,-1)*_xlfn.XLOOKUP(J219,LISTAS!$E$26:$H$26,LISTAS!$E$48:$H$48)*_xlfn.XLOOKUP(F219,LISTAS!$A$15:$A$18,LISTAS!$H$15:$H$18)</f>
        <v>3.266575E-2</v>
      </c>
      <c r="N219" s="54" cm="1">
        <f t="array" ref="N219">_xlfn.XLOOKUP(K219,LISTAS!$D$27:$D$47,_xlfn.XLOOKUP(J219,LISTAS!$E$26:$H$26,LISTAS!$E$27:$H$47))</f>
        <v>28546000</v>
      </c>
      <c r="O219" s="56" t="s">
        <v>1623</v>
      </c>
      <c r="P219" s="76" t="str">
        <f t="shared" ca="1" si="11"/>
        <v>Vencida</v>
      </c>
    </row>
    <row r="220" spans="1:16" x14ac:dyDescent="0.3">
      <c r="A220" s="58" t="s">
        <v>510</v>
      </c>
      <c r="B220" s="56" t="s">
        <v>270</v>
      </c>
      <c r="C220" s="50" t="str">
        <f>_xlfn.XLOOKUP(B220,CLIENTES!$A$2:$A$301,CLIENTES!$B$2:$B$301)</f>
        <v>Gonzalo Ramírez</v>
      </c>
      <c r="D220" s="60">
        <v>45619</v>
      </c>
      <c r="E220" s="60">
        <f t="shared" si="9"/>
        <v>45984</v>
      </c>
      <c r="F220" s="50" t="s">
        <v>1595</v>
      </c>
      <c r="G220" s="56" t="s">
        <v>1603</v>
      </c>
      <c r="H220" s="47">
        <v>76</v>
      </c>
      <c r="I220" s="60">
        <v>18301</v>
      </c>
      <c r="J220" s="56" t="s">
        <v>1609</v>
      </c>
      <c r="K220" s="56">
        <v>2025</v>
      </c>
      <c r="L220" s="52">
        <f t="shared" si="10"/>
        <v>31682.5</v>
      </c>
      <c r="M220" s="56">
        <f>LISTAS!$B$22*_xlfn.XLOOKUP(G220,LISTAS!$B$27:$B$36,LISTAS!$A$27:$A$36)*_xlfn.XLOOKUP(H220,LISTAS!$B$38:$B$47,LISTAS!$A$38:$A$47,,-1)*_xlfn.XLOOKUP(J220,LISTAS!$E$26:$H$26,LISTAS!$E$48:$H$48)*_xlfn.XLOOKUP(F220,LISTAS!$A$15:$A$18,LISTAS!$H$15:$H$18)</f>
        <v>1.653E-2</v>
      </c>
      <c r="N220" s="54" cm="1">
        <f t="array" ref="N220">_xlfn.XLOOKUP(K220,LISTAS!$D$27:$D$47,_xlfn.XLOOKUP(J220,LISTAS!$E$26:$H$26,LISTAS!$E$27:$H$47))</f>
        <v>23000000</v>
      </c>
      <c r="O220" s="56" t="s">
        <v>1623</v>
      </c>
      <c r="P220" s="76" t="str">
        <f t="shared" ca="1" si="11"/>
        <v>Vencida</v>
      </c>
    </row>
    <row r="221" spans="1:16" x14ac:dyDescent="0.3">
      <c r="A221" s="58" t="s">
        <v>511</v>
      </c>
      <c r="B221" s="56" t="s">
        <v>217</v>
      </c>
      <c r="C221" s="50" t="str">
        <f>_xlfn.XLOOKUP(B221,CLIENTES!$A$2:$A$301,CLIENTES!$B$2:$B$301)</f>
        <v>Santiago López</v>
      </c>
      <c r="D221" s="60">
        <v>45048</v>
      </c>
      <c r="E221" s="60">
        <f t="shared" si="9"/>
        <v>45414</v>
      </c>
      <c r="F221" s="50" t="s">
        <v>1596</v>
      </c>
      <c r="G221" s="56" t="s">
        <v>1606</v>
      </c>
      <c r="H221" s="47">
        <v>71</v>
      </c>
      <c r="I221" s="60">
        <v>20164</v>
      </c>
      <c r="J221" s="56" t="s">
        <v>1610</v>
      </c>
      <c r="K221" s="56">
        <v>2022</v>
      </c>
      <c r="L221" s="52">
        <f t="shared" si="10"/>
        <v>60833.593333333331</v>
      </c>
      <c r="M221" s="56">
        <f>LISTAS!$B$22*_xlfn.XLOOKUP(G221,LISTAS!$B$27:$B$36,LISTAS!$A$27:$A$36)*_xlfn.XLOOKUP(H221,LISTAS!$B$38:$B$47,LISTAS!$A$38:$A$47,,-1)*_xlfn.XLOOKUP(J221,LISTAS!$E$26:$H$26,LISTAS!$E$48:$H$48)*_xlfn.XLOOKUP(F221,LISTAS!$A$15:$A$18,LISTAS!$H$15:$H$18)</f>
        <v>2.6180000000000002E-2</v>
      </c>
      <c r="N221" s="54" cm="1">
        <f t="array" ref="N221">_xlfn.XLOOKUP(K221,LISTAS!$D$27:$D$47,_xlfn.XLOOKUP(J221,LISTAS!$E$26:$H$26,LISTAS!$E$27:$H$47))</f>
        <v>27884000</v>
      </c>
      <c r="O221" s="56" t="s">
        <v>1623</v>
      </c>
      <c r="P221" s="76" t="str">
        <f t="shared" ca="1" si="11"/>
        <v>Vencida</v>
      </c>
    </row>
    <row r="222" spans="1:16" x14ac:dyDescent="0.3">
      <c r="A222" s="58" t="s">
        <v>512</v>
      </c>
      <c r="B222" s="56" t="s">
        <v>84</v>
      </c>
      <c r="C222" s="50" t="str">
        <f>_xlfn.XLOOKUP(B222,CLIENTES!$A$2:$A$301,CLIENTES!$B$2:$B$301)</f>
        <v>Agustín Sánchez</v>
      </c>
      <c r="D222" s="60">
        <v>45771</v>
      </c>
      <c r="E222" s="60">
        <f t="shared" si="9"/>
        <v>46136</v>
      </c>
      <c r="F222" s="50" t="s">
        <v>1595</v>
      </c>
      <c r="G222" s="56" t="s">
        <v>1600</v>
      </c>
      <c r="H222" s="47">
        <v>60</v>
      </c>
      <c r="I222" s="60">
        <v>24298</v>
      </c>
      <c r="J222" s="56" t="s">
        <v>1612</v>
      </c>
      <c r="K222" s="56">
        <v>2015</v>
      </c>
      <c r="L222" s="52">
        <f t="shared" si="10"/>
        <v>14856.95925</v>
      </c>
      <c r="M222" s="56">
        <f>LISTAS!$B$22*_xlfn.XLOOKUP(G222,LISTAS!$B$27:$B$36,LISTAS!$A$27:$A$36)*_xlfn.XLOOKUP(H222,LISTAS!$B$38:$B$47,LISTAS!$A$38:$A$47,,-1)*_xlfn.XLOOKUP(J222,LISTAS!$E$26:$H$26,LISTAS!$E$48:$H$48)*_xlfn.XLOOKUP(F222,LISTAS!$A$15:$A$18,LISTAS!$H$15:$H$18)</f>
        <v>1.5214500000000001E-2</v>
      </c>
      <c r="N222" s="54" cm="1">
        <f t="array" ref="N222">_xlfn.XLOOKUP(K222,LISTAS!$D$27:$D$47,_xlfn.XLOOKUP(J222,LISTAS!$E$26:$H$26,LISTAS!$E$27:$H$47))</f>
        <v>11718000</v>
      </c>
      <c r="O222" s="56" t="s">
        <v>1623</v>
      </c>
      <c r="P222" s="76" t="str">
        <f t="shared" ca="1" si="11"/>
        <v>Vencida</v>
      </c>
    </row>
    <row r="223" spans="1:16" x14ac:dyDescent="0.3">
      <c r="A223" s="58" t="s">
        <v>513</v>
      </c>
      <c r="B223" s="56" t="s">
        <v>289</v>
      </c>
      <c r="C223" s="50" t="str">
        <f>_xlfn.XLOOKUP(B223,CLIENTES!$A$2:$A$301,CLIENTES!$B$2:$B$301)</f>
        <v>Natalia Bravo</v>
      </c>
      <c r="D223" s="60">
        <v>45334</v>
      </c>
      <c r="E223" s="60">
        <f t="shared" si="9"/>
        <v>45700</v>
      </c>
      <c r="F223" s="50" t="s">
        <v>1596</v>
      </c>
      <c r="G223" s="56" t="s">
        <v>1606</v>
      </c>
      <c r="H223" s="47">
        <v>31</v>
      </c>
      <c r="I223" s="60">
        <v>34918</v>
      </c>
      <c r="J223" s="56" t="s">
        <v>1612</v>
      </c>
      <c r="K223" s="56">
        <v>2022</v>
      </c>
      <c r="L223" s="52">
        <f t="shared" si="10"/>
        <v>33181.662499999999</v>
      </c>
      <c r="M223" s="56">
        <f>LISTAS!$B$22*_xlfn.XLOOKUP(G223,LISTAS!$B$27:$B$36,LISTAS!$A$27:$A$36)*_xlfn.XLOOKUP(H223,LISTAS!$B$38:$B$47,LISTAS!$A$38:$A$47,,-1)*_xlfn.XLOOKUP(J223,LISTAS!$E$26:$H$26,LISTAS!$E$48:$H$48)*_xlfn.XLOOKUP(F223,LISTAS!$A$15:$A$18,LISTAS!$H$15:$H$18)</f>
        <v>1.7850000000000001E-2</v>
      </c>
      <c r="N223" s="54" cm="1">
        <f t="array" ref="N223">_xlfn.XLOOKUP(K223,LISTAS!$D$27:$D$47,_xlfn.XLOOKUP(J223,LISTAS!$E$26:$H$26,LISTAS!$E$27:$H$47))</f>
        <v>22307000</v>
      </c>
      <c r="O223" s="56" t="s">
        <v>1623</v>
      </c>
      <c r="P223" s="76" t="str">
        <f t="shared" ca="1" si="11"/>
        <v>Vencida</v>
      </c>
    </row>
    <row r="224" spans="1:16" x14ac:dyDescent="0.3">
      <c r="A224" s="58" t="s">
        <v>514</v>
      </c>
      <c r="B224" s="56" t="s">
        <v>11</v>
      </c>
      <c r="C224" s="50" t="str">
        <f>_xlfn.XLOOKUP(B224,CLIENTES!$A$2:$A$301,CLIENTES!$B$2:$B$301)</f>
        <v>Andrés Cabrera</v>
      </c>
      <c r="D224" s="60">
        <v>46012</v>
      </c>
      <c r="E224" s="60">
        <f t="shared" si="9"/>
        <v>46377</v>
      </c>
      <c r="F224" s="50" t="s">
        <v>1596</v>
      </c>
      <c r="G224" s="56" t="s">
        <v>1599</v>
      </c>
      <c r="H224" s="47">
        <v>30</v>
      </c>
      <c r="I224" s="60">
        <v>35008</v>
      </c>
      <c r="J224" s="56" t="s">
        <v>1609</v>
      </c>
      <c r="K224" s="56">
        <v>2024</v>
      </c>
      <c r="L224" s="52">
        <f t="shared" si="10"/>
        <v>35776.500000000007</v>
      </c>
      <c r="M224" s="56">
        <f>LISTAS!$B$22*_xlfn.XLOOKUP(G224,LISTAS!$B$27:$B$36,LISTAS!$A$27:$A$36)*_xlfn.XLOOKUP(H224,LISTAS!$B$38:$B$47,LISTAS!$A$38:$A$47,,-1)*_xlfn.XLOOKUP(J224,LISTAS!$E$26:$H$26,LISTAS!$E$48:$H$48)*_xlfn.XLOOKUP(F224,LISTAS!$A$15:$A$18,LISTAS!$H$15:$H$18)</f>
        <v>2.0400000000000001E-2</v>
      </c>
      <c r="N224" s="54" cm="1">
        <f t="array" ref="N224">_xlfn.XLOOKUP(K224,LISTAS!$D$27:$D$47,_xlfn.XLOOKUP(J224,LISTAS!$E$26:$H$26,LISTAS!$E$27:$H$47))</f>
        <v>21045000</v>
      </c>
      <c r="O224" s="56" t="s">
        <v>1625</v>
      </c>
      <c r="P224" s="76" t="str">
        <f t="shared" ca="1" si="11"/>
        <v>Vigente</v>
      </c>
    </row>
    <row r="225" spans="1:16" x14ac:dyDescent="0.3">
      <c r="A225" s="58" t="s">
        <v>515</v>
      </c>
      <c r="B225" s="56" t="s">
        <v>24</v>
      </c>
      <c r="C225" s="50" t="str">
        <f>_xlfn.XLOOKUP(B225,CLIENTES!$A$2:$A$301,CLIENTES!$B$2:$B$301)</f>
        <v>Pablo Álvarez</v>
      </c>
      <c r="D225" s="60">
        <v>45393</v>
      </c>
      <c r="E225" s="60">
        <f t="shared" si="9"/>
        <v>45758</v>
      </c>
      <c r="F225" s="50" t="s">
        <v>1597</v>
      </c>
      <c r="G225" s="56" t="s">
        <v>1607</v>
      </c>
      <c r="H225" s="47">
        <v>50</v>
      </c>
      <c r="I225" s="60">
        <v>27688</v>
      </c>
      <c r="J225" s="56" t="s">
        <v>1611</v>
      </c>
      <c r="K225" s="56">
        <v>2017</v>
      </c>
      <c r="L225" s="52">
        <f t="shared" si="10"/>
        <v>45397.6875</v>
      </c>
      <c r="M225" s="56">
        <f>LISTAS!$B$22*_xlfn.XLOOKUP(G225,LISTAS!$B$27:$B$36,LISTAS!$A$27:$A$36)*_xlfn.XLOOKUP(H225,LISTAS!$B$38:$B$47,LISTAS!$A$38:$A$47,,-1)*_xlfn.XLOOKUP(J225,LISTAS!$E$26:$H$26,LISTAS!$E$48:$H$48)*_xlfn.XLOOKUP(F225,LISTAS!$A$15:$A$18,LISTAS!$H$15:$H$18)</f>
        <v>2.7830000000000001E-2</v>
      </c>
      <c r="N225" s="54" cm="1">
        <f t="array" ref="N225">_xlfn.XLOOKUP(K225,LISTAS!$D$27:$D$47,_xlfn.XLOOKUP(J225,LISTAS!$E$26:$H$26,LISTAS!$E$27:$H$47))</f>
        <v>19575000</v>
      </c>
      <c r="O225" s="56" t="s">
        <v>1624</v>
      </c>
      <c r="P225" s="76" t="str">
        <f t="shared" ca="1" si="11"/>
        <v>Vencida</v>
      </c>
    </row>
    <row r="226" spans="1:16" x14ac:dyDescent="0.3">
      <c r="A226" s="58" t="s">
        <v>516</v>
      </c>
      <c r="B226" s="56" t="s">
        <v>27</v>
      </c>
      <c r="C226" s="50" t="str">
        <f>_xlfn.XLOOKUP(B226,CLIENTES!$A$2:$A$301,CLIENTES!$B$2:$B$301)</f>
        <v>Agustina Vera</v>
      </c>
      <c r="D226" s="60">
        <v>44855</v>
      </c>
      <c r="E226" s="60">
        <f t="shared" si="9"/>
        <v>45220</v>
      </c>
      <c r="F226" s="50" t="s">
        <v>1597</v>
      </c>
      <c r="G226" s="56" t="s">
        <v>1599</v>
      </c>
      <c r="H226" s="47">
        <v>21</v>
      </c>
      <c r="I226" s="60">
        <v>38257</v>
      </c>
      <c r="J226" s="56" t="s">
        <v>1609</v>
      </c>
      <c r="K226" s="56">
        <v>2025</v>
      </c>
      <c r="L226" s="52">
        <f t="shared" si="10"/>
        <v>68310.000000000015</v>
      </c>
      <c r="M226" s="56">
        <f>LISTAS!$B$22*_xlfn.XLOOKUP(G226,LISTAS!$B$27:$B$36,LISTAS!$A$27:$A$36)*_xlfn.XLOOKUP(H226,LISTAS!$B$38:$B$47,LISTAS!$A$38:$A$47,,-1)*_xlfn.XLOOKUP(J226,LISTAS!$E$26:$H$26,LISTAS!$E$48:$H$48)*_xlfn.XLOOKUP(F226,LISTAS!$A$15:$A$18,LISTAS!$H$15:$H$18)</f>
        <v>3.5640000000000012E-2</v>
      </c>
      <c r="N226" s="54" cm="1">
        <f t="array" ref="N226">_xlfn.XLOOKUP(K226,LISTAS!$D$27:$D$47,_xlfn.XLOOKUP(J226,LISTAS!$E$26:$H$26,LISTAS!$E$27:$H$47))</f>
        <v>23000000</v>
      </c>
      <c r="O226" s="56" t="s">
        <v>1625</v>
      </c>
      <c r="P226" s="76" t="str">
        <f t="shared" ca="1" si="11"/>
        <v>Vencida</v>
      </c>
    </row>
    <row r="227" spans="1:16" x14ac:dyDescent="0.3">
      <c r="A227" s="58" t="s">
        <v>517</v>
      </c>
      <c r="B227" s="56" t="s">
        <v>49</v>
      </c>
      <c r="C227" s="50" t="str">
        <f>_xlfn.XLOOKUP(B227,CLIENTES!$A$2:$A$301,CLIENTES!$B$2:$B$301)</f>
        <v>Mateo Torres</v>
      </c>
      <c r="D227" s="60">
        <v>45840</v>
      </c>
      <c r="E227" s="60">
        <f t="shared" si="9"/>
        <v>46205</v>
      </c>
      <c r="F227" s="50" t="s">
        <v>1596</v>
      </c>
      <c r="G227" s="56" t="s">
        <v>1600</v>
      </c>
      <c r="H227" s="47">
        <v>50</v>
      </c>
      <c r="I227" s="60">
        <v>27765</v>
      </c>
      <c r="J227" s="56" t="s">
        <v>1612</v>
      </c>
      <c r="K227" s="56">
        <v>2026</v>
      </c>
      <c r="L227" s="52">
        <f t="shared" si="10"/>
        <v>54740</v>
      </c>
      <c r="M227" s="56">
        <f>LISTAS!$B$22*_xlfn.XLOOKUP(G227,LISTAS!$B$27:$B$36,LISTAS!$A$27:$A$36)*_xlfn.XLOOKUP(H227,LISTAS!$B$38:$B$47,LISTAS!$A$38:$A$47,,-1)*_xlfn.XLOOKUP(J227,LISTAS!$E$26:$H$26,LISTAS!$E$48:$H$48)*_xlfn.XLOOKUP(F227,LISTAS!$A$15:$A$18,LISTAS!$H$15:$H$18)</f>
        <v>2.0527500000000001E-2</v>
      </c>
      <c r="N227" s="54" cm="1">
        <f t="array" ref="N227">_xlfn.XLOOKUP(K227,LISTAS!$D$27:$D$47,_xlfn.XLOOKUP(J227,LISTAS!$E$26:$H$26,LISTAS!$E$27:$H$47))</f>
        <v>32000000</v>
      </c>
      <c r="O227" s="56" t="s">
        <v>1623</v>
      </c>
      <c r="P227" s="76" t="str">
        <f t="shared" ca="1" si="11"/>
        <v>Vencida</v>
      </c>
    </row>
    <row r="228" spans="1:16" x14ac:dyDescent="0.3">
      <c r="A228" s="58" t="s">
        <v>518</v>
      </c>
      <c r="B228" s="56" t="s">
        <v>7</v>
      </c>
      <c r="C228" s="50" t="str">
        <f>_xlfn.XLOOKUP(B228,CLIENTES!$A$2:$A$301,CLIENTES!$B$2:$B$301)</f>
        <v>Federico Ramírez</v>
      </c>
      <c r="D228" s="60">
        <v>45510</v>
      </c>
      <c r="E228" s="60">
        <f t="shared" si="9"/>
        <v>45875</v>
      </c>
      <c r="F228" s="50" t="s">
        <v>1596</v>
      </c>
      <c r="G228" s="56" t="s">
        <v>1602</v>
      </c>
      <c r="H228" s="47">
        <v>59</v>
      </c>
      <c r="I228" s="60">
        <v>24401</v>
      </c>
      <c r="J228" s="56" t="s">
        <v>1612</v>
      </c>
      <c r="K228" s="56">
        <v>2025</v>
      </c>
      <c r="L228" s="52">
        <f t="shared" si="10"/>
        <v>45981.600000000006</v>
      </c>
      <c r="M228" s="56">
        <f>LISTAS!$B$22*_xlfn.XLOOKUP(G228,LISTAS!$B$27:$B$36,LISTAS!$A$27:$A$36)*_xlfn.XLOOKUP(H228,LISTAS!$B$38:$B$47,LISTAS!$A$38:$A$47,,-1)*_xlfn.XLOOKUP(J228,LISTAS!$E$26:$H$26,LISTAS!$E$48:$H$48)*_xlfn.XLOOKUP(F228,LISTAS!$A$15:$A$18,LISTAS!$H$15:$H$18)</f>
        <v>1.8742500000000002E-2</v>
      </c>
      <c r="N228" s="54" cm="1">
        <f t="array" ref="N228">_xlfn.XLOOKUP(K228,LISTAS!$D$27:$D$47,_xlfn.XLOOKUP(J228,LISTAS!$E$26:$H$26,LISTAS!$E$27:$H$47))</f>
        <v>29440000</v>
      </c>
      <c r="O228" s="56" t="s">
        <v>1623</v>
      </c>
      <c r="P228" s="76" t="str">
        <f t="shared" ca="1" si="11"/>
        <v>Vencida</v>
      </c>
    </row>
    <row r="229" spans="1:16" x14ac:dyDescent="0.3">
      <c r="A229" s="58" t="s">
        <v>519</v>
      </c>
      <c r="B229" s="56" t="s">
        <v>110</v>
      </c>
      <c r="C229" s="50" t="str">
        <f>_xlfn.XLOOKUP(B229,CLIENTES!$A$2:$A$301,CLIENTES!$B$2:$B$301)</f>
        <v>Valentina Ponce</v>
      </c>
      <c r="D229" s="60">
        <v>45619</v>
      </c>
      <c r="E229" s="60">
        <f t="shared" si="9"/>
        <v>45984</v>
      </c>
      <c r="F229" s="50" t="s">
        <v>1597</v>
      </c>
      <c r="G229" s="56" t="s">
        <v>1600</v>
      </c>
      <c r="H229" s="47">
        <v>39</v>
      </c>
      <c r="I229" s="60">
        <v>31780</v>
      </c>
      <c r="J229" s="56" t="s">
        <v>1612</v>
      </c>
      <c r="K229" s="56">
        <v>2025</v>
      </c>
      <c r="L229" s="52">
        <f t="shared" si="10"/>
        <v>65172.800000000017</v>
      </c>
      <c r="M229" s="56">
        <f>LISTAS!$B$22*_xlfn.XLOOKUP(G229,LISTAS!$B$27:$B$36,LISTAS!$A$27:$A$36)*_xlfn.XLOOKUP(H229,LISTAS!$B$38:$B$47,LISTAS!$A$38:$A$47,,-1)*_xlfn.XLOOKUP(J229,LISTAS!$E$26:$H$26,LISTAS!$E$48:$H$48)*_xlfn.XLOOKUP(F229,LISTAS!$A$15:$A$18,LISTAS!$H$15:$H$18)</f>
        <v>2.6565000000000005E-2</v>
      </c>
      <c r="N229" s="54" cm="1">
        <f t="array" ref="N229">_xlfn.XLOOKUP(K229,LISTAS!$D$27:$D$47,_xlfn.XLOOKUP(J229,LISTAS!$E$26:$H$26,LISTAS!$E$27:$H$47))</f>
        <v>29440000</v>
      </c>
      <c r="O229" s="56" t="s">
        <v>1623</v>
      </c>
      <c r="P229" s="76" t="str">
        <f t="shared" ca="1" si="11"/>
        <v>Vencida</v>
      </c>
    </row>
    <row r="230" spans="1:16" x14ac:dyDescent="0.3">
      <c r="A230" s="58" t="s">
        <v>520</v>
      </c>
      <c r="B230" s="56" t="s">
        <v>221</v>
      </c>
      <c r="C230" s="50" t="str">
        <f>_xlfn.XLOOKUP(B230,CLIENTES!$A$2:$A$301,CLIENTES!$B$2:$B$301)</f>
        <v>Bruno Silva</v>
      </c>
      <c r="D230" s="60">
        <v>45361</v>
      </c>
      <c r="E230" s="60">
        <f t="shared" si="9"/>
        <v>45726</v>
      </c>
      <c r="F230" s="50" t="s">
        <v>1598</v>
      </c>
      <c r="G230" s="56" t="s">
        <v>1608</v>
      </c>
      <c r="H230" s="47">
        <v>56</v>
      </c>
      <c r="I230" s="60">
        <v>25552</v>
      </c>
      <c r="J230" s="56" t="s">
        <v>1612</v>
      </c>
      <c r="K230" s="56">
        <v>2025</v>
      </c>
      <c r="L230" s="52">
        <f t="shared" si="10"/>
        <v>63627.200000000004</v>
      </c>
      <c r="M230" s="56">
        <f>LISTAS!$B$22*_xlfn.XLOOKUP(G230,LISTAS!$B$27:$B$36,LISTAS!$A$27:$A$36)*_xlfn.XLOOKUP(H230,LISTAS!$B$38:$B$47,LISTAS!$A$38:$A$47,,-1)*_xlfn.XLOOKUP(J230,LISTAS!$E$26:$H$26,LISTAS!$E$48:$H$48)*_xlfn.XLOOKUP(F230,LISTAS!$A$15:$A$18,LISTAS!$H$15:$H$18)</f>
        <v>2.5935E-2</v>
      </c>
      <c r="N230" s="54" cm="1">
        <f t="array" ref="N230">_xlfn.XLOOKUP(K230,LISTAS!$D$27:$D$47,_xlfn.XLOOKUP(J230,LISTAS!$E$26:$H$26,LISTAS!$E$27:$H$47))</f>
        <v>29440000</v>
      </c>
      <c r="O230" s="56" t="s">
        <v>1623</v>
      </c>
      <c r="P230" s="76" t="str">
        <f t="shared" ca="1" si="11"/>
        <v>Vencida</v>
      </c>
    </row>
    <row r="231" spans="1:16" x14ac:dyDescent="0.3">
      <c r="A231" s="58" t="s">
        <v>521</v>
      </c>
      <c r="B231" s="56" t="s">
        <v>50</v>
      </c>
      <c r="C231" s="50" t="str">
        <f>_xlfn.XLOOKUP(B231,CLIENTES!$A$2:$A$301,CLIENTES!$B$2:$B$301)</f>
        <v>Agustín Medina</v>
      </c>
      <c r="D231" s="60">
        <v>45940</v>
      </c>
      <c r="E231" s="60">
        <f t="shared" si="9"/>
        <v>46305</v>
      </c>
      <c r="F231" s="50" t="s">
        <v>1598</v>
      </c>
      <c r="G231" s="56" t="s">
        <v>1607</v>
      </c>
      <c r="H231" s="47">
        <v>76</v>
      </c>
      <c r="I231" s="60">
        <v>18296</v>
      </c>
      <c r="J231" s="56" t="s">
        <v>1609</v>
      </c>
      <c r="K231" s="56">
        <v>2019</v>
      </c>
      <c r="L231" s="52">
        <f t="shared" si="10"/>
        <v>45385.459166666675</v>
      </c>
      <c r="M231" s="56">
        <f>LISTAS!$B$22*_xlfn.XLOOKUP(G231,LISTAS!$B$27:$B$36,LISTAS!$A$27:$A$36)*_xlfn.XLOOKUP(H231,LISTAS!$B$38:$B$47,LISTAS!$A$38:$A$47,,-1)*_xlfn.XLOOKUP(J231,LISTAS!$E$26:$H$26,LISTAS!$E$48:$H$48)*_xlfn.XLOOKUP(F231,LISTAS!$A$15:$A$18,LISTAS!$H$15:$H$18)</f>
        <v>4.1470000000000007E-2</v>
      </c>
      <c r="N231" s="54" cm="1">
        <f t="array" ref="N231">_xlfn.XLOOKUP(K231,LISTAS!$D$27:$D$47,_xlfn.XLOOKUP(J231,LISTAS!$E$26:$H$26,LISTAS!$E$27:$H$47))</f>
        <v>13133000</v>
      </c>
      <c r="O231" s="56" t="s">
        <v>1624</v>
      </c>
      <c r="P231" s="76" t="str">
        <f t="shared" ca="1" si="11"/>
        <v>Vigente</v>
      </c>
    </row>
    <row r="232" spans="1:16" x14ac:dyDescent="0.3">
      <c r="A232" s="58" t="s">
        <v>522</v>
      </c>
      <c r="B232" s="56" t="s">
        <v>74</v>
      </c>
      <c r="C232" s="50" t="str">
        <f>_xlfn.XLOOKUP(B232,CLIENTES!$A$2:$A$301,CLIENTES!$B$2:$B$301)</f>
        <v>Federico Flores</v>
      </c>
      <c r="D232" s="60">
        <v>45096</v>
      </c>
      <c r="E232" s="60">
        <f t="shared" si="9"/>
        <v>45462</v>
      </c>
      <c r="F232" s="50" t="s">
        <v>1595</v>
      </c>
      <c r="G232" s="56" t="s">
        <v>1599</v>
      </c>
      <c r="H232" s="47">
        <v>30</v>
      </c>
      <c r="I232" s="60">
        <v>35188</v>
      </c>
      <c r="J232" s="56" t="s">
        <v>1612</v>
      </c>
      <c r="K232" s="56">
        <v>2023</v>
      </c>
      <c r="L232" s="52">
        <f t="shared" si="10"/>
        <v>30886.38</v>
      </c>
      <c r="M232" s="56">
        <f>LISTAS!$B$22*_xlfn.XLOOKUP(G232,LISTAS!$B$27:$B$36,LISTAS!$A$27:$A$36)*_xlfn.XLOOKUP(H232,LISTAS!$B$38:$B$47,LISTAS!$A$38:$A$47,,-1)*_xlfn.XLOOKUP(J232,LISTAS!$E$26:$H$26,LISTAS!$E$48:$H$48)*_xlfn.XLOOKUP(F232,LISTAS!$A$15:$A$18,LISTAS!$H$15:$H$18)</f>
        <v>1.512E-2</v>
      </c>
      <c r="N232" s="54" cm="1">
        <f t="array" ref="N232">_xlfn.XLOOKUP(K232,LISTAS!$D$27:$D$47,_xlfn.XLOOKUP(J232,LISTAS!$E$26:$H$26,LISTAS!$E$27:$H$47))</f>
        <v>24513000</v>
      </c>
      <c r="O232" s="56" t="s">
        <v>1625</v>
      </c>
      <c r="P232" s="76" t="str">
        <f t="shared" ca="1" si="11"/>
        <v>Vencida</v>
      </c>
    </row>
    <row r="233" spans="1:16" x14ac:dyDescent="0.3">
      <c r="A233" s="58" t="s">
        <v>523</v>
      </c>
      <c r="B233" s="56" t="s">
        <v>222</v>
      </c>
      <c r="C233" s="50" t="str">
        <f>_xlfn.XLOOKUP(B233,CLIENTES!$A$2:$A$301,CLIENTES!$B$2:$B$301)</f>
        <v>Mateo Rodríguez</v>
      </c>
      <c r="D233" s="60">
        <v>45060</v>
      </c>
      <c r="E233" s="60">
        <f t="shared" si="9"/>
        <v>45426</v>
      </c>
      <c r="F233" s="50" t="s">
        <v>1598</v>
      </c>
      <c r="G233" s="56" t="s">
        <v>1600</v>
      </c>
      <c r="H233" s="47">
        <v>47</v>
      </c>
      <c r="I233" s="60">
        <v>28831</v>
      </c>
      <c r="J233" s="56" t="s">
        <v>1611</v>
      </c>
      <c r="K233" s="56">
        <v>2017</v>
      </c>
      <c r="L233" s="52">
        <f t="shared" si="10"/>
        <v>53286.004687500004</v>
      </c>
      <c r="M233" s="56">
        <f>LISTAS!$B$22*_xlfn.XLOOKUP(G233,LISTAS!$B$27:$B$36,LISTAS!$A$27:$A$36)*_xlfn.XLOOKUP(H233,LISTAS!$B$38:$B$47,LISTAS!$A$38:$A$47,,-1)*_xlfn.XLOOKUP(J233,LISTAS!$E$26:$H$26,LISTAS!$E$48:$H$48)*_xlfn.XLOOKUP(F233,LISTAS!$A$15:$A$18,LISTAS!$H$15:$H$18)</f>
        <v>3.266575E-2</v>
      </c>
      <c r="N233" s="54" cm="1">
        <f t="array" ref="N233">_xlfn.XLOOKUP(K233,LISTAS!$D$27:$D$47,_xlfn.XLOOKUP(J233,LISTAS!$E$26:$H$26,LISTAS!$E$27:$H$47))</f>
        <v>19575000</v>
      </c>
      <c r="O233" s="56" t="s">
        <v>1625</v>
      </c>
      <c r="P233" s="76" t="str">
        <f t="shared" ca="1" si="11"/>
        <v>Vencida</v>
      </c>
    </row>
    <row r="234" spans="1:16" x14ac:dyDescent="0.3">
      <c r="A234" s="58" t="s">
        <v>524</v>
      </c>
      <c r="B234" s="56" t="s">
        <v>217</v>
      </c>
      <c r="C234" s="50" t="str">
        <f>_xlfn.XLOOKUP(B234,CLIENTES!$A$2:$A$301,CLIENTES!$B$2:$B$301)</f>
        <v>Santiago López</v>
      </c>
      <c r="D234" s="60">
        <v>45069</v>
      </c>
      <c r="E234" s="60">
        <f t="shared" si="9"/>
        <v>45435</v>
      </c>
      <c r="F234" s="50" t="s">
        <v>1598</v>
      </c>
      <c r="G234" s="56" t="s">
        <v>1606</v>
      </c>
      <c r="H234" s="47">
        <v>62</v>
      </c>
      <c r="I234" s="60">
        <v>23402</v>
      </c>
      <c r="J234" s="56" t="s">
        <v>1610</v>
      </c>
      <c r="K234" s="56">
        <v>2025</v>
      </c>
      <c r="L234" s="52">
        <f t="shared" si="10"/>
        <v>92092.000000000015</v>
      </c>
      <c r="M234" s="56">
        <f>LISTAS!$B$22*_xlfn.XLOOKUP(G234,LISTAS!$B$27:$B$36,LISTAS!$A$27:$A$36)*_xlfn.XLOOKUP(H234,LISTAS!$B$38:$B$47,LISTAS!$A$38:$A$47,,-1)*_xlfn.XLOOKUP(J234,LISTAS!$E$26:$H$26,LISTAS!$E$48:$H$48)*_xlfn.XLOOKUP(F234,LISTAS!$A$15:$A$18,LISTAS!$H$15:$H$18)</f>
        <v>3.0030000000000005E-2</v>
      </c>
      <c r="N234" s="54" cm="1">
        <f t="array" ref="N234">_xlfn.XLOOKUP(K234,LISTAS!$D$27:$D$47,_xlfn.XLOOKUP(J234,LISTAS!$E$26:$H$26,LISTAS!$E$27:$H$47))</f>
        <v>36800000</v>
      </c>
      <c r="O234" s="56" t="s">
        <v>1623</v>
      </c>
      <c r="P234" s="76" t="str">
        <f t="shared" ca="1" si="11"/>
        <v>Vencida</v>
      </c>
    </row>
    <row r="235" spans="1:16" x14ac:dyDescent="0.3">
      <c r="A235" s="58" t="s">
        <v>525</v>
      </c>
      <c r="B235" s="56" t="s">
        <v>261</v>
      </c>
      <c r="C235" s="50" t="str">
        <f>_xlfn.XLOOKUP(B235,CLIENTES!$A$2:$A$301,CLIENTES!$B$2:$B$301)</f>
        <v>Malena Peralta</v>
      </c>
      <c r="D235" s="60">
        <v>45507</v>
      </c>
      <c r="E235" s="60">
        <f t="shared" si="9"/>
        <v>45872</v>
      </c>
      <c r="F235" s="50" t="s">
        <v>1595</v>
      </c>
      <c r="G235" s="56" t="s">
        <v>1602</v>
      </c>
      <c r="H235" s="47">
        <v>47</v>
      </c>
      <c r="I235" s="60">
        <v>28810</v>
      </c>
      <c r="J235" s="56" t="s">
        <v>1611</v>
      </c>
      <c r="K235" s="56">
        <v>2020</v>
      </c>
      <c r="L235" s="52">
        <f t="shared" si="10"/>
        <v>29798.866124999997</v>
      </c>
      <c r="M235" s="56">
        <f>LISTAS!$B$22*_xlfn.XLOOKUP(G235,LISTAS!$B$27:$B$36,LISTAS!$A$27:$A$36)*_xlfn.XLOOKUP(H235,LISTAS!$B$38:$B$47,LISTAS!$A$38:$A$47,,-1)*_xlfn.XLOOKUP(J235,LISTAS!$E$26:$H$26,LISTAS!$E$48:$H$48)*_xlfn.XLOOKUP(F235,LISTAS!$A$15:$A$18,LISTAS!$H$15:$H$18)</f>
        <v>1.3765499999999998E-2</v>
      </c>
      <c r="N235" s="54" cm="1">
        <f t="array" ref="N235">_xlfn.XLOOKUP(K235,LISTAS!$D$27:$D$47,_xlfn.XLOOKUP(J235,LISTAS!$E$26:$H$26,LISTAS!$E$27:$H$47))</f>
        <v>25977000</v>
      </c>
      <c r="O235" s="56" t="s">
        <v>1626</v>
      </c>
      <c r="P235" s="76" t="str">
        <f t="shared" ca="1" si="11"/>
        <v>Vencida</v>
      </c>
    </row>
    <row r="236" spans="1:16" x14ac:dyDescent="0.3">
      <c r="A236" s="58" t="s">
        <v>526</v>
      </c>
      <c r="B236" s="56" t="s">
        <v>88</v>
      </c>
      <c r="C236" s="50" t="str">
        <f>_xlfn.XLOOKUP(B236,CLIENTES!$A$2:$A$301,CLIENTES!$B$2:$B$301)</f>
        <v>Clara Bravo</v>
      </c>
      <c r="D236" s="60">
        <v>44581</v>
      </c>
      <c r="E236" s="60">
        <f t="shared" si="9"/>
        <v>44946</v>
      </c>
      <c r="F236" s="50" t="s">
        <v>1598</v>
      </c>
      <c r="G236" s="56" t="s">
        <v>1604</v>
      </c>
      <c r="H236" s="47">
        <v>49</v>
      </c>
      <c r="I236" s="60">
        <v>28000</v>
      </c>
      <c r="J236" s="56" t="s">
        <v>1611</v>
      </c>
      <c r="K236" s="56">
        <v>2024</v>
      </c>
      <c r="L236" s="52">
        <f t="shared" si="10"/>
        <v>94150.857937499997</v>
      </c>
      <c r="M236" s="56">
        <f>LISTAS!$B$22*_xlfn.XLOOKUP(G236,LISTAS!$B$27:$B$36,LISTAS!$A$27:$A$36)*_xlfn.XLOOKUP(H236,LISTAS!$B$38:$B$47,LISTAS!$A$38:$A$47,,-1)*_xlfn.XLOOKUP(J236,LISTAS!$E$26:$H$26,LISTAS!$E$48:$H$48)*_xlfn.XLOOKUP(F236,LISTAS!$A$15:$A$18,LISTAS!$H$15:$H$18)</f>
        <v>2.9825249999999998E-2</v>
      </c>
      <c r="N236" s="54" cm="1">
        <f t="array" ref="N236">_xlfn.XLOOKUP(K236,LISTAS!$D$27:$D$47,_xlfn.XLOOKUP(J236,LISTAS!$E$26:$H$26,LISTAS!$E$27:$H$47))</f>
        <v>37881000</v>
      </c>
      <c r="O236" s="56" t="s">
        <v>1623</v>
      </c>
      <c r="P236" s="76" t="str">
        <f t="shared" ca="1" si="11"/>
        <v>Vencida</v>
      </c>
    </row>
    <row r="237" spans="1:16" x14ac:dyDescent="0.3">
      <c r="A237" s="58" t="s">
        <v>527</v>
      </c>
      <c r="B237" s="56" t="s">
        <v>84</v>
      </c>
      <c r="C237" s="50" t="str">
        <f>_xlfn.XLOOKUP(B237,CLIENTES!$A$2:$A$301,CLIENTES!$B$2:$B$301)</f>
        <v>Agustín Sánchez</v>
      </c>
      <c r="D237" s="60">
        <v>45524</v>
      </c>
      <c r="E237" s="60">
        <f t="shared" si="9"/>
        <v>45889</v>
      </c>
      <c r="F237" s="50" t="s">
        <v>1597</v>
      </c>
      <c r="G237" s="56" t="s">
        <v>1603</v>
      </c>
      <c r="H237" s="47">
        <v>55</v>
      </c>
      <c r="I237" s="60">
        <v>26091</v>
      </c>
      <c r="J237" s="56" t="s">
        <v>1611</v>
      </c>
      <c r="K237" s="56">
        <v>2017</v>
      </c>
      <c r="L237" s="52">
        <f t="shared" si="10"/>
        <v>39207.09375</v>
      </c>
      <c r="M237" s="56">
        <f>LISTAS!$B$22*_xlfn.XLOOKUP(G237,LISTAS!$B$27:$B$36,LISTAS!$A$27:$A$36)*_xlfn.XLOOKUP(H237,LISTAS!$B$38:$B$47,LISTAS!$A$38:$A$47,,-1)*_xlfn.XLOOKUP(J237,LISTAS!$E$26:$H$26,LISTAS!$E$48:$H$48)*_xlfn.XLOOKUP(F237,LISTAS!$A$15:$A$18,LISTAS!$H$15:$H$18)</f>
        <v>2.4035000000000001E-2</v>
      </c>
      <c r="N237" s="54" cm="1">
        <f t="array" ref="N237">_xlfn.XLOOKUP(K237,LISTAS!$D$27:$D$47,_xlfn.XLOOKUP(J237,LISTAS!$E$26:$H$26,LISTAS!$E$27:$H$47))</f>
        <v>19575000</v>
      </c>
      <c r="O237" s="56" t="s">
        <v>1623</v>
      </c>
      <c r="P237" s="76" t="str">
        <f t="shared" ca="1" si="11"/>
        <v>Vencida</v>
      </c>
    </row>
    <row r="238" spans="1:16" x14ac:dyDescent="0.3">
      <c r="A238" s="58" t="s">
        <v>528</v>
      </c>
      <c r="B238" s="56" t="s">
        <v>157</v>
      </c>
      <c r="C238" s="50" t="str">
        <f>_xlfn.XLOOKUP(B238,CLIENTES!$A$2:$A$301,CLIENTES!$B$2:$B$301)</f>
        <v>Tomás Sánchez</v>
      </c>
      <c r="D238" s="60">
        <v>44849</v>
      </c>
      <c r="E238" s="60">
        <f t="shared" si="9"/>
        <v>45214</v>
      </c>
      <c r="F238" s="50" t="s">
        <v>1597</v>
      </c>
      <c r="G238" s="56" t="s">
        <v>1605</v>
      </c>
      <c r="H238" s="47">
        <v>47</v>
      </c>
      <c r="I238" s="60">
        <v>28816</v>
      </c>
      <c r="J238" s="56" t="s">
        <v>1612</v>
      </c>
      <c r="K238" s="56">
        <v>2022</v>
      </c>
      <c r="L238" s="52">
        <f t="shared" si="10"/>
        <v>36714.533625000004</v>
      </c>
      <c r="M238" s="56">
        <f>LISTAS!$B$22*_xlfn.XLOOKUP(G238,LISTAS!$B$27:$B$36,LISTAS!$A$27:$A$36)*_xlfn.XLOOKUP(H238,LISTAS!$B$38:$B$47,LISTAS!$A$38:$A$47,,-1)*_xlfn.XLOOKUP(J238,LISTAS!$E$26:$H$26,LISTAS!$E$48:$H$48)*_xlfn.XLOOKUP(F238,LISTAS!$A$15:$A$18,LISTAS!$H$15:$H$18)</f>
        <v>1.9750500000000004E-2</v>
      </c>
      <c r="N238" s="54" cm="1">
        <f t="array" ref="N238">_xlfn.XLOOKUP(K238,LISTAS!$D$27:$D$47,_xlfn.XLOOKUP(J238,LISTAS!$E$26:$H$26,LISTAS!$E$27:$H$47))</f>
        <v>22307000</v>
      </c>
      <c r="O238" s="56" t="s">
        <v>1624</v>
      </c>
      <c r="P238" s="76" t="str">
        <f t="shared" ca="1" si="11"/>
        <v>Vencida</v>
      </c>
    </row>
    <row r="239" spans="1:16" x14ac:dyDescent="0.3">
      <c r="A239" s="58" t="s">
        <v>529</v>
      </c>
      <c r="B239" s="56" t="s">
        <v>289</v>
      </c>
      <c r="C239" s="50" t="str">
        <f>_xlfn.XLOOKUP(B239,CLIENTES!$A$2:$A$301,CLIENTES!$B$2:$B$301)</f>
        <v>Natalia Bravo</v>
      </c>
      <c r="D239" s="60">
        <v>45289</v>
      </c>
      <c r="E239" s="60">
        <f t="shared" si="9"/>
        <v>45655</v>
      </c>
      <c r="F239" s="50" t="s">
        <v>1598</v>
      </c>
      <c r="G239" s="56" t="s">
        <v>1602</v>
      </c>
      <c r="H239" s="47">
        <v>49</v>
      </c>
      <c r="I239" s="60">
        <v>28169</v>
      </c>
      <c r="J239" s="56" t="s">
        <v>1612</v>
      </c>
      <c r="K239" s="56">
        <v>2025</v>
      </c>
      <c r="L239" s="52">
        <f t="shared" si="10"/>
        <v>66808.560000000012</v>
      </c>
      <c r="M239" s="56">
        <f>LISTAS!$B$22*_xlfn.XLOOKUP(G239,LISTAS!$B$27:$B$36,LISTAS!$A$27:$A$36)*_xlfn.XLOOKUP(H239,LISTAS!$B$38:$B$47,LISTAS!$A$38:$A$47,,-1)*_xlfn.XLOOKUP(J239,LISTAS!$E$26:$H$26,LISTAS!$E$48:$H$48)*_xlfn.XLOOKUP(F239,LISTAS!$A$15:$A$18,LISTAS!$H$15:$H$18)</f>
        <v>2.7231750000000002E-2</v>
      </c>
      <c r="N239" s="54" cm="1">
        <f t="array" ref="N239">_xlfn.XLOOKUP(K239,LISTAS!$D$27:$D$47,_xlfn.XLOOKUP(J239,LISTAS!$E$26:$H$26,LISTAS!$E$27:$H$47))</f>
        <v>29440000</v>
      </c>
      <c r="O239" s="56" t="s">
        <v>1623</v>
      </c>
      <c r="P239" s="76" t="str">
        <f t="shared" ca="1" si="11"/>
        <v>Vencida</v>
      </c>
    </row>
    <row r="240" spans="1:16" x14ac:dyDescent="0.3">
      <c r="A240" s="58" t="s">
        <v>530</v>
      </c>
      <c r="B240" s="56" t="s">
        <v>119</v>
      </c>
      <c r="C240" s="50" t="str">
        <f>_xlfn.XLOOKUP(B240,CLIENTES!$A$2:$A$301,CLIENTES!$B$2:$B$301)</f>
        <v>Juan Gómez</v>
      </c>
      <c r="D240" s="60">
        <v>46198</v>
      </c>
      <c r="E240" s="60">
        <f t="shared" si="9"/>
        <v>46563</v>
      </c>
      <c r="F240" s="50" t="s">
        <v>1598</v>
      </c>
      <c r="G240" s="56" t="s">
        <v>1602</v>
      </c>
      <c r="H240" s="47">
        <v>18</v>
      </c>
      <c r="I240" s="60">
        <v>39568</v>
      </c>
      <c r="J240" s="56" t="s">
        <v>1610</v>
      </c>
      <c r="K240" s="56">
        <v>2025</v>
      </c>
      <c r="L240" s="52">
        <f t="shared" si="10"/>
        <v>138138</v>
      </c>
      <c r="M240" s="56">
        <f>LISTAS!$B$22*_xlfn.XLOOKUP(G240,LISTAS!$B$27:$B$36,LISTAS!$A$27:$A$36)*_xlfn.XLOOKUP(H240,LISTAS!$B$38:$B$47,LISTAS!$A$38:$A$47,,-1)*_xlfn.XLOOKUP(J240,LISTAS!$E$26:$H$26,LISTAS!$E$48:$H$48)*_xlfn.XLOOKUP(F240,LISTAS!$A$15:$A$18,LISTAS!$H$15:$H$18)</f>
        <v>4.5045000000000002E-2</v>
      </c>
      <c r="N240" s="54" cm="1">
        <f t="array" ref="N240">_xlfn.XLOOKUP(K240,LISTAS!$D$27:$D$47,_xlfn.XLOOKUP(J240,LISTAS!$E$26:$H$26,LISTAS!$E$27:$H$47))</f>
        <v>36800000</v>
      </c>
      <c r="O240" s="56" t="s">
        <v>1623</v>
      </c>
      <c r="P240" s="76" t="str">
        <f t="shared" ca="1" si="11"/>
        <v>Vigente</v>
      </c>
    </row>
    <row r="241" spans="1:16" x14ac:dyDescent="0.3">
      <c r="A241" s="58" t="s">
        <v>531</v>
      </c>
      <c r="B241" s="56" t="s">
        <v>292</v>
      </c>
      <c r="C241" s="50" t="str">
        <f>_xlfn.XLOOKUP(B241,CLIENTES!$A$2:$A$301,CLIENTES!$B$2:$B$301)</f>
        <v>Paula Mansilla</v>
      </c>
      <c r="D241" s="60">
        <v>44547</v>
      </c>
      <c r="E241" s="60">
        <f t="shared" si="9"/>
        <v>44912</v>
      </c>
      <c r="F241" s="50" t="s">
        <v>1597</v>
      </c>
      <c r="G241" s="56" t="s">
        <v>1607</v>
      </c>
      <c r="H241" s="47">
        <v>48</v>
      </c>
      <c r="I241" s="60">
        <v>28441</v>
      </c>
      <c r="J241" s="56" t="s">
        <v>1610</v>
      </c>
      <c r="K241" s="56">
        <v>2024</v>
      </c>
      <c r="L241" s="52">
        <f t="shared" si="10"/>
        <v>70960.934000000023</v>
      </c>
      <c r="M241" s="56">
        <f>LISTAS!$B$22*_xlfn.XLOOKUP(G241,LISTAS!$B$27:$B$36,LISTAS!$A$27:$A$36)*_xlfn.XLOOKUP(H241,LISTAS!$B$38:$B$47,LISTAS!$A$38:$A$47,,-1)*_xlfn.XLOOKUP(J241,LISTAS!$E$26:$H$26,LISTAS!$E$48:$H$48)*_xlfn.XLOOKUP(F241,LISTAS!$A$15:$A$18,LISTAS!$H$15:$H$18)</f>
        <v>2.5289000000000006E-2</v>
      </c>
      <c r="N241" s="54" cm="1">
        <f t="array" ref="N241">_xlfn.XLOOKUP(K241,LISTAS!$D$27:$D$47,_xlfn.XLOOKUP(J241,LISTAS!$E$26:$H$26,LISTAS!$E$27:$H$47))</f>
        <v>33672000</v>
      </c>
      <c r="O241" s="56" t="s">
        <v>1624</v>
      </c>
      <c r="P241" s="76" t="str">
        <f t="shared" ca="1" si="11"/>
        <v>Vencida</v>
      </c>
    </row>
    <row r="242" spans="1:16" x14ac:dyDescent="0.3">
      <c r="A242" s="58" t="s">
        <v>532</v>
      </c>
      <c r="B242" s="56" t="s">
        <v>116</v>
      </c>
      <c r="C242" s="50" t="str">
        <f>_xlfn.XLOOKUP(B242,CLIENTES!$A$2:$A$301,CLIENTES!$B$2:$B$301)</f>
        <v>Martina Pereyra</v>
      </c>
      <c r="D242" s="60">
        <v>44584</v>
      </c>
      <c r="E242" s="60">
        <f t="shared" si="9"/>
        <v>44949</v>
      </c>
      <c r="F242" s="50" t="s">
        <v>1598</v>
      </c>
      <c r="G242" s="56" t="s">
        <v>1607</v>
      </c>
      <c r="H242" s="47">
        <v>43</v>
      </c>
      <c r="I242" s="60">
        <v>30316</v>
      </c>
      <c r="J242" s="56" t="s">
        <v>1610</v>
      </c>
      <c r="K242" s="56">
        <v>2023</v>
      </c>
      <c r="L242" s="52">
        <f t="shared" si="10"/>
        <v>76316.454500000007</v>
      </c>
      <c r="M242" s="56">
        <f>LISTAS!$B$22*_xlfn.XLOOKUP(G242,LISTAS!$B$27:$B$36,LISTAS!$A$27:$A$36)*_xlfn.XLOOKUP(H242,LISTAS!$B$38:$B$47,LISTAS!$A$38:$A$47,,-1)*_xlfn.XLOOKUP(J242,LISTAS!$E$26:$H$26,LISTAS!$E$48:$H$48)*_xlfn.XLOOKUP(F242,LISTAS!$A$15:$A$18,LISTAS!$H$15:$H$18)</f>
        <v>2.9887000000000004E-2</v>
      </c>
      <c r="N242" s="54" cm="1">
        <f t="array" ref="N242">_xlfn.XLOOKUP(K242,LISTAS!$D$27:$D$47,_xlfn.XLOOKUP(J242,LISTAS!$E$26:$H$26,LISTAS!$E$27:$H$47))</f>
        <v>30642000</v>
      </c>
      <c r="O242" s="56" t="s">
        <v>1624</v>
      </c>
      <c r="P242" s="76" t="str">
        <f t="shared" ca="1" si="11"/>
        <v>Vencida</v>
      </c>
    </row>
    <row r="243" spans="1:16" x14ac:dyDescent="0.3">
      <c r="A243" s="58" t="s">
        <v>533</v>
      </c>
      <c r="B243" s="56" t="s">
        <v>263</v>
      </c>
      <c r="C243" s="50" t="str">
        <f>_xlfn.XLOOKUP(B243,CLIENTES!$A$2:$A$301,CLIENTES!$B$2:$B$301)</f>
        <v>Bruno Núñez</v>
      </c>
      <c r="D243" s="60">
        <v>45994</v>
      </c>
      <c r="E243" s="60">
        <f t="shared" si="9"/>
        <v>46359</v>
      </c>
      <c r="F243" s="50" t="s">
        <v>1597</v>
      </c>
      <c r="G243" s="56" t="s">
        <v>1606</v>
      </c>
      <c r="H243" s="47">
        <v>19</v>
      </c>
      <c r="I243" s="60">
        <v>39256</v>
      </c>
      <c r="J243" s="56" t="s">
        <v>1609</v>
      </c>
      <c r="K243" s="56">
        <v>2022</v>
      </c>
      <c r="L243" s="52">
        <f t="shared" si="10"/>
        <v>47924.25</v>
      </c>
      <c r="M243" s="56">
        <f>LISTAS!$B$22*_xlfn.XLOOKUP(G243,LISTAS!$B$27:$B$36,LISTAS!$A$27:$A$36)*_xlfn.XLOOKUP(H243,LISTAS!$B$38:$B$47,LISTAS!$A$38:$A$47,,-1)*_xlfn.XLOOKUP(J243,LISTAS!$E$26:$H$26,LISTAS!$E$48:$H$48)*_xlfn.XLOOKUP(F243,LISTAS!$A$15:$A$18,LISTAS!$H$15:$H$18)</f>
        <v>3.3000000000000002E-2</v>
      </c>
      <c r="N243" s="54" cm="1">
        <f t="array" ref="N243">_xlfn.XLOOKUP(K243,LISTAS!$D$27:$D$47,_xlfn.XLOOKUP(J243,LISTAS!$E$26:$H$26,LISTAS!$E$27:$H$47))</f>
        <v>17427000</v>
      </c>
      <c r="O243" s="56" t="s">
        <v>1623</v>
      </c>
      <c r="P243" s="76" t="str">
        <f t="shared" ca="1" si="11"/>
        <v>Vigente</v>
      </c>
    </row>
    <row r="244" spans="1:16" x14ac:dyDescent="0.3">
      <c r="A244" s="58" t="s">
        <v>534</v>
      </c>
      <c r="B244" s="56" t="s">
        <v>62</v>
      </c>
      <c r="C244" s="50" t="str">
        <f>_xlfn.XLOOKUP(B244,CLIENTES!$A$2:$A$301,CLIENTES!$B$2:$B$301)</f>
        <v>Federico Flores</v>
      </c>
      <c r="D244" s="60">
        <v>46058</v>
      </c>
      <c r="E244" s="60">
        <f t="shared" si="9"/>
        <v>46423</v>
      </c>
      <c r="F244" s="50" t="s">
        <v>1595</v>
      </c>
      <c r="G244" s="56" t="s">
        <v>1600</v>
      </c>
      <c r="H244" s="47">
        <v>52</v>
      </c>
      <c r="I244" s="60">
        <v>27125</v>
      </c>
      <c r="J244" s="56" t="s">
        <v>1609</v>
      </c>
      <c r="K244" s="56">
        <v>2025</v>
      </c>
      <c r="L244" s="52">
        <f t="shared" si="10"/>
        <v>26450</v>
      </c>
      <c r="M244" s="56">
        <f>LISTAS!$B$22*_xlfn.XLOOKUP(G244,LISTAS!$B$27:$B$36,LISTAS!$A$27:$A$36)*_xlfn.XLOOKUP(H244,LISTAS!$B$38:$B$47,LISTAS!$A$38:$A$47,,-1)*_xlfn.XLOOKUP(J244,LISTAS!$E$26:$H$26,LISTAS!$E$48:$H$48)*_xlfn.XLOOKUP(F244,LISTAS!$A$15:$A$18,LISTAS!$H$15:$H$18)</f>
        <v>1.38E-2</v>
      </c>
      <c r="N244" s="54" cm="1">
        <f t="array" ref="N244">_xlfn.XLOOKUP(K244,LISTAS!$D$27:$D$47,_xlfn.XLOOKUP(J244,LISTAS!$E$26:$H$26,LISTAS!$E$27:$H$47))</f>
        <v>23000000</v>
      </c>
      <c r="O244" s="56" t="s">
        <v>1623</v>
      </c>
      <c r="P244" s="76" t="str">
        <f t="shared" ca="1" si="11"/>
        <v>Vigente</v>
      </c>
    </row>
    <row r="245" spans="1:16" x14ac:dyDescent="0.3">
      <c r="A245" s="58" t="s">
        <v>535</v>
      </c>
      <c r="B245" s="56" t="s">
        <v>134</v>
      </c>
      <c r="C245" s="50" t="str">
        <f>_xlfn.XLOOKUP(B245,CLIENTES!$A$2:$A$301,CLIENTES!$B$2:$B$301)</f>
        <v>Micaela Bravo</v>
      </c>
      <c r="D245" s="60">
        <v>45333</v>
      </c>
      <c r="E245" s="60">
        <f t="shared" si="9"/>
        <v>45699</v>
      </c>
      <c r="F245" s="50" t="s">
        <v>1595</v>
      </c>
      <c r="G245" s="56" t="s">
        <v>1600</v>
      </c>
      <c r="H245" s="47">
        <v>31</v>
      </c>
      <c r="I245" s="60">
        <v>34908</v>
      </c>
      <c r="J245" s="56" t="s">
        <v>1609</v>
      </c>
      <c r="K245" s="56">
        <v>2024</v>
      </c>
      <c r="L245" s="52">
        <f t="shared" si="10"/>
        <v>24201.75</v>
      </c>
      <c r="M245" s="56">
        <f>LISTAS!$B$22*_xlfn.XLOOKUP(G245,LISTAS!$B$27:$B$36,LISTAS!$A$27:$A$36)*_xlfn.XLOOKUP(H245,LISTAS!$B$38:$B$47,LISTAS!$A$38:$A$47,,-1)*_xlfn.XLOOKUP(J245,LISTAS!$E$26:$H$26,LISTAS!$E$48:$H$48)*_xlfn.XLOOKUP(F245,LISTAS!$A$15:$A$18,LISTAS!$H$15:$H$18)</f>
        <v>1.38E-2</v>
      </c>
      <c r="N245" s="54" cm="1">
        <f t="array" ref="N245">_xlfn.XLOOKUP(K245,LISTAS!$D$27:$D$47,_xlfn.XLOOKUP(J245,LISTAS!$E$26:$H$26,LISTAS!$E$27:$H$47))</f>
        <v>21045000</v>
      </c>
      <c r="O245" s="56" t="s">
        <v>1623</v>
      </c>
      <c r="P245" s="76" t="str">
        <f t="shared" ca="1" si="11"/>
        <v>Vencida</v>
      </c>
    </row>
    <row r="246" spans="1:16" x14ac:dyDescent="0.3">
      <c r="A246" s="58" t="s">
        <v>536</v>
      </c>
      <c r="B246" s="56" t="s">
        <v>267</v>
      </c>
      <c r="C246" s="50" t="str">
        <f>_xlfn.XLOOKUP(B246,CLIENTES!$A$2:$A$301,CLIENTES!$B$2:$B$301)</f>
        <v>Carolina Mansilla</v>
      </c>
      <c r="D246" s="60">
        <v>45556</v>
      </c>
      <c r="E246" s="60">
        <f t="shared" si="9"/>
        <v>45921</v>
      </c>
      <c r="F246" s="50" t="s">
        <v>1598</v>
      </c>
      <c r="G246" s="56" t="s">
        <v>1601</v>
      </c>
      <c r="H246" s="47">
        <v>45</v>
      </c>
      <c r="I246" s="60">
        <v>29707</v>
      </c>
      <c r="J246" s="56" t="s">
        <v>1611</v>
      </c>
      <c r="K246" s="56">
        <v>2021</v>
      </c>
      <c r="L246" s="52">
        <f t="shared" si="10"/>
        <v>77706.374958333341</v>
      </c>
      <c r="M246" s="56">
        <f>LISTAS!$B$22*_xlfn.XLOOKUP(G246,LISTAS!$B$27:$B$36,LISTAS!$A$27:$A$36)*_xlfn.XLOOKUP(H246,LISTAS!$B$38:$B$47,LISTAS!$A$38:$A$47,,-1)*_xlfn.XLOOKUP(J246,LISTAS!$E$26:$H$26,LISTAS!$E$48:$H$48)*_xlfn.XLOOKUP(F246,LISTAS!$A$15:$A$18,LISTAS!$H$15:$H$18)</f>
        <v>3.266575E-2</v>
      </c>
      <c r="N246" s="54" cm="1">
        <f t="array" ref="N246">_xlfn.XLOOKUP(K246,LISTAS!$D$27:$D$47,_xlfn.XLOOKUP(J246,LISTAS!$E$26:$H$26,LISTAS!$E$27:$H$47))</f>
        <v>28546000</v>
      </c>
      <c r="O246" s="56" t="s">
        <v>1623</v>
      </c>
      <c r="P246" s="76" t="str">
        <f t="shared" ca="1" si="11"/>
        <v>Vencida</v>
      </c>
    </row>
    <row r="247" spans="1:16" x14ac:dyDescent="0.3">
      <c r="A247" s="58" t="s">
        <v>537</v>
      </c>
      <c r="B247" s="56" t="s">
        <v>169</v>
      </c>
      <c r="C247" s="50" t="str">
        <f>_xlfn.XLOOKUP(B247,CLIENTES!$A$2:$A$301,CLIENTES!$B$2:$B$301)</f>
        <v>Pablo Ruiz</v>
      </c>
      <c r="D247" s="60">
        <v>44803</v>
      </c>
      <c r="E247" s="60">
        <f t="shared" si="9"/>
        <v>45168</v>
      </c>
      <c r="F247" s="50" t="s">
        <v>1597</v>
      </c>
      <c r="G247" s="56" t="s">
        <v>1608</v>
      </c>
      <c r="H247" s="47">
        <v>63</v>
      </c>
      <c r="I247" s="60">
        <v>22957</v>
      </c>
      <c r="J247" s="56" t="s">
        <v>1612</v>
      </c>
      <c r="K247" s="56">
        <v>2021</v>
      </c>
      <c r="L247" s="52">
        <f t="shared" si="10"/>
        <v>38977.886062500002</v>
      </c>
      <c r="M247" s="56">
        <f>LISTAS!$B$22*_xlfn.XLOOKUP(G247,LISTAS!$B$27:$B$36,LISTAS!$A$27:$A$36)*_xlfn.XLOOKUP(H247,LISTAS!$B$38:$B$47,LISTAS!$A$38:$A$47,,-1)*_xlfn.XLOOKUP(J247,LISTAS!$E$26:$H$26,LISTAS!$E$48:$H$48)*_xlfn.XLOOKUP(F247,LISTAS!$A$15:$A$18,LISTAS!$H$15:$H$18)</f>
        <v>2.3042250000000004E-2</v>
      </c>
      <c r="N247" s="54" cm="1">
        <f t="array" ref="N247">_xlfn.XLOOKUP(K247,LISTAS!$D$27:$D$47,_xlfn.XLOOKUP(J247,LISTAS!$E$26:$H$26,LISTAS!$E$27:$H$47))</f>
        <v>20299000</v>
      </c>
      <c r="O247" s="56" t="s">
        <v>1623</v>
      </c>
      <c r="P247" s="76" t="str">
        <f t="shared" ca="1" si="11"/>
        <v>Vencida</v>
      </c>
    </row>
    <row r="248" spans="1:16" x14ac:dyDescent="0.3">
      <c r="A248" s="58" t="s">
        <v>538</v>
      </c>
      <c r="B248" s="56" t="s">
        <v>70</v>
      </c>
      <c r="C248" s="50" t="str">
        <f>_xlfn.XLOOKUP(B248,CLIENTES!$A$2:$A$301,CLIENTES!$B$2:$B$301)</f>
        <v>Facundo Flores</v>
      </c>
      <c r="D248" s="60">
        <v>45227</v>
      </c>
      <c r="E248" s="60">
        <f t="shared" si="9"/>
        <v>45593</v>
      </c>
      <c r="F248" s="50" t="s">
        <v>1597</v>
      </c>
      <c r="G248" s="56" t="s">
        <v>1606</v>
      </c>
      <c r="H248" s="47">
        <v>64</v>
      </c>
      <c r="I248" s="60">
        <v>22574</v>
      </c>
      <c r="J248" s="56" t="s">
        <v>1611</v>
      </c>
      <c r="K248" s="56">
        <v>2023</v>
      </c>
      <c r="L248" s="52">
        <f t="shared" si="10"/>
        <v>76312.390000000014</v>
      </c>
      <c r="M248" s="56">
        <f>LISTAS!$B$22*_xlfn.XLOOKUP(G248,LISTAS!$B$27:$B$36,LISTAS!$A$27:$A$36)*_xlfn.XLOOKUP(H248,LISTAS!$B$38:$B$47,LISTAS!$A$38:$A$47,,-1)*_xlfn.XLOOKUP(J248,LISTAS!$E$26:$H$26,LISTAS!$E$48:$H$48)*_xlfn.XLOOKUP(F248,LISTAS!$A$15:$A$18,LISTAS!$H$15:$H$18)</f>
        <v>2.6565000000000005E-2</v>
      </c>
      <c r="N248" s="54" cm="1">
        <f t="array" ref="N248">_xlfn.XLOOKUP(K248,LISTAS!$D$27:$D$47,_xlfn.XLOOKUP(J248,LISTAS!$E$26:$H$26,LISTAS!$E$27:$H$47))</f>
        <v>34472000</v>
      </c>
      <c r="O248" s="56" t="s">
        <v>1623</v>
      </c>
      <c r="P248" s="76" t="str">
        <f t="shared" ca="1" si="11"/>
        <v>Vencida</v>
      </c>
    </row>
    <row r="249" spans="1:16" x14ac:dyDescent="0.3">
      <c r="A249" s="58" t="s">
        <v>539</v>
      </c>
      <c r="B249" s="56" t="s">
        <v>227</v>
      </c>
      <c r="C249" s="50" t="str">
        <f>_xlfn.XLOOKUP(B249,CLIENTES!$A$2:$A$301,CLIENTES!$B$2:$B$301)</f>
        <v>Ignacio Molina</v>
      </c>
      <c r="D249" s="60">
        <v>45885</v>
      </c>
      <c r="E249" s="60">
        <f t="shared" si="9"/>
        <v>46250</v>
      </c>
      <c r="F249" s="50" t="s">
        <v>1596</v>
      </c>
      <c r="G249" s="56" t="s">
        <v>1607</v>
      </c>
      <c r="H249" s="47">
        <v>42</v>
      </c>
      <c r="I249" s="60">
        <v>30561</v>
      </c>
      <c r="J249" s="56" t="s">
        <v>1611</v>
      </c>
      <c r="K249" s="56">
        <v>2024</v>
      </c>
      <c r="L249" s="52">
        <f t="shared" si="10"/>
        <v>64491.613312499998</v>
      </c>
      <c r="M249" s="56">
        <f>LISTAS!$B$22*_xlfn.XLOOKUP(G249,LISTAS!$B$27:$B$36,LISTAS!$A$27:$A$36)*_xlfn.XLOOKUP(H249,LISTAS!$B$38:$B$47,LISTAS!$A$38:$A$47,,-1)*_xlfn.XLOOKUP(J249,LISTAS!$E$26:$H$26,LISTAS!$E$48:$H$48)*_xlfn.XLOOKUP(F249,LISTAS!$A$15:$A$18,LISTAS!$H$15:$H$18)</f>
        <v>2.042975E-2</v>
      </c>
      <c r="N249" s="54" cm="1">
        <f t="array" ref="N249">_xlfn.XLOOKUP(K249,LISTAS!$D$27:$D$47,_xlfn.XLOOKUP(J249,LISTAS!$E$26:$H$26,LISTAS!$E$27:$H$47))</f>
        <v>37881000</v>
      </c>
      <c r="O249" s="56" t="s">
        <v>1623</v>
      </c>
      <c r="P249" s="76" t="str">
        <f t="shared" ca="1" si="11"/>
        <v>Vencida</v>
      </c>
    </row>
    <row r="250" spans="1:16" x14ac:dyDescent="0.3">
      <c r="A250" s="58" t="s">
        <v>540</v>
      </c>
      <c r="B250" s="56" t="s">
        <v>121</v>
      </c>
      <c r="C250" s="50" t="str">
        <f>_xlfn.XLOOKUP(B250,CLIENTES!$A$2:$A$301,CLIENTES!$B$2:$B$301)</f>
        <v>Camila Ponce</v>
      </c>
      <c r="D250" s="60">
        <v>45923</v>
      </c>
      <c r="E250" s="60">
        <f t="shared" si="9"/>
        <v>46288</v>
      </c>
      <c r="F250" s="50" t="s">
        <v>1597</v>
      </c>
      <c r="G250" s="56" t="s">
        <v>1605</v>
      </c>
      <c r="H250" s="47">
        <v>36</v>
      </c>
      <c r="I250" s="60">
        <v>32742</v>
      </c>
      <c r="J250" s="56" t="s">
        <v>1612</v>
      </c>
      <c r="K250" s="56">
        <v>2018</v>
      </c>
      <c r="L250" s="52">
        <f t="shared" si="10"/>
        <v>26502.052500000009</v>
      </c>
      <c r="M250" s="56">
        <f>LISTAS!$B$22*_xlfn.XLOOKUP(G250,LISTAS!$B$27:$B$36,LISTAS!$A$27:$A$36)*_xlfn.XLOOKUP(H250,LISTAS!$B$38:$B$47,LISTAS!$A$38:$A$47,,-1)*_xlfn.XLOOKUP(J250,LISTAS!$E$26:$H$26,LISTAS!$E$48:$H$48)*_xlfn.XLOOKUP(F250,LISTAS!$A$15:$A$18,LISTAS!$H$15:$H$18)</f>
        <v>2.0790000000000006E-2</v>
      </c>
      <c r="N250" s="54" cm="1">
        <f t="array" ref="N250">_xlfn.XLOOKUP(K250,LISTAS!$D$27:$D$47,_xlfn.XLOOKUP(J250,LISTAS!$E$26:$H$26,LISTAS!$E$27:$H$47))</f>
        <v>15297000</v>
      </c>
      <c r="O250" s="56" t="s">
        <v>1623</v>
      </c>
      <c r="P250" s="76" t="str">
        <f t="shared" ca="1" si="11"/>
        <v>Vigente</v>
      </c>
    </row>
    <row r="251" spans="1:16" x14ac:dyDescent="0.3">
      <c r="A251" s="58" t="s">
        <v>541</v>
      </c>
      <c r="B251" s="56" t="s">
        <v>165</v>
      </c>
      <c r="C251" s="50" t="str">
        <f>_xlfn.XLOOKUP(B251,CLIENTES!$A$2:$A$301,CLIENTES!$B$2:$B$301)</f>
        <v>Gabriela Quiroga</v>
      </c>
      <c r="D251" s="60">
        <v>46112</v>
      </c>
      <c r="E251" s="60">
        <f t="shared" si="9"/>
        <v>46477</v>
      </c>
      <c r="F251" s="50" t="s">
        <v>1596</v>
      </c>
      <c r="G251" s="56" t="s">
        <v>1607</v>
      </c>
      <c r="H251" s="47">
        <v>77</v>
      </c>
      <c r="I251" s="60">
        <v>17801</v>
      </c>
      <c r="J251" s="56" t="s">
        <v>1612</v>
      </c>
      <c r="K251" s="56">
        <v>2024</v>
      </c>
      <c r="L251" s="52">
        <f t="shared" si="10"/>
        <v>63912.088625000004</v>
      </c>
      <c r="M251" s="56">
        <f>LISTAS!$B$22*_xlfn.XLOOKUP(G251,LISTAS!$B$27:$B$36,LISTAS!$A$27:$A$36)*_xlfn.XLOOKUP(H251,LISTAS!$B$38:$B$47,LISTAS!$A$38:$A$47,,-1)*_xlfn.XLOOKUP(J251,LISTAS!$E$26:$H$26,LISTAS!$E$48:$H$48)*_xlfn.XLOOKUP(F251,LISTAS!$A$15:$A$18,LISTAS!$H$15:$H$18)</f>
        <v>2.8470750000000003E-2</v>
      </c>
      <c r="N251" s="54" cm="1">
        <f t="array" ref="N251">_xlfn.XLOOKUP(K251,LISTAS!$D$27:$D$47,_xlfn.XLOOKUP(J251,LISTAS!$E$26:$H$26,LISTAS!$E$27:$H$47))</f>
        <v>26938000</v>
      </c>
      <c r="O251" s="56" t="s">
        <v>1623</v>
      </c>
      <c r="P251" s="76" t="str">
        <f t="shared" ca="1" si="11"/>
        <v>Vigente</v>
      </c>
    </row>
    <row r="252" spans="1:16" x14ac:dyDescent="0.3">
      <c r="A252" s="58" t="s">
        <v>542</v>
      </c>
      <c r="B252" s="56" t="s">
        <v>83</v>
      </c>
      <c r="C252" s="50" t="str">
        <f>_xlfn.XLOOKUP(B252,CLIENTES!$A$2:$A$301,CLIENTES!$B$2:$B$301)</f>
        <v>Valentina Cabrera</v>
      </c>
      <c r="D252" s="60">
        <v>46127</v>
      </c>
      <c r="E252" s="60">
        <f t="shared" si="9"/>
        <v>46492</v>
      </c>
      <c r="F252" s="50" t="s">
        <v>1596</v>
      </c>
      <c r="G252" s="56" t="s">
        <v>1600</v>
      </c>
      <c r="H252" s="47">
        <v>75</v>
      </c>
      <c r="I252" s="60">
        <v>18746</v>
      </c>
      <c r="J252" s="56" t="s">
        <v>1609</v>
      </c>
      <c r="K252" s="56">
        <v>2022</v>
      </c>
      <c r="L252" s="52">
        <f t="shared" si="10"/>
        <v>41167.656874999993</v>
      </c>
      <c r="M252" s="56">
        <f>LISTAS!$B$22*_xlfn.XLOOKUP(G252,LISTAS!$B$27:$B$36,LISTAS!$A$27:$A$36)*_xlfn.XLOOKUP(H252,LISTAS!$B$38:$B$47,LISTAS!$A$38:$A$47,,-1)*_xlfn.XLOOKUP(J252,LISTAS!$E$26:$H$26,LISTAS!$E$48:$H$48)*_xlfn.XLOOKUP(F252,LISTAS!$A$15:$A$18,LISTAS!$H$15:$H$18)</f>
        <v>2.8347499999999998E-2</v>
      </c>
      <c r="N252" s="54" cm="1">
        <f t="array" ref="N252">_xlfn.XLOOKUP(K252,LISTAS!$D$27:$D$47,_xlfn.XLOOKUP(J252,LISTAS!$E$26:$H$26,LISTAS!$E$27:$H$47))</f>
        <v>17427000</v>
      </c>
      <c r="O252" s="56" t="s">
        <v>1625</v>
      </c>
      <c r="P252" s="76" t="str">
        <f t="shared" ca="1" si="11"/>
        <v>Vigente</v>
      </c>
    </row>
    <row r="253" spans="1:16" x14ac:dyDescent="0.3">
      <c r="A253" s="58" t="s">
        <v>543</v>
      </c>
      <c r="B253" s="56" t="s">
        <v>166</v>
      </c>
      <c r="C253" s="50" t="str">
        <f>_xlfn.XLOOKUP(B253,CLIENTES!$A$2:$A$301,CLIENTES!$B$2:$B$301)</f>
        <v>Emiliano Méndez</v>
      </c>
      <c r="D253" s="60">
        <v>44532</v>
      </c>
      <c r="E253" s="60">
        <f t="shared" si="9"/>
        <v>44897</v>
      </c>
      <c r="F253" s="50" t="s">
        <v>1598</v>
      </c>
      <c r="G253" s="56" t="s">
        <v>1599</v>
      </c>
      <c r="H253" s="47">
        <v>39</v>
      </c>
      <c r="I253" s="60">
        <v>31808</v>
      </c>
      <c r="J253" s="56" t="s">
        <v>1610</v>
      </c>
      <c r="K253" s="56">
        <v>2022</v>
      </c>
      <c r="L253" s="52">
        <f t="shared" si="10"/>
        <v>79748.240000000005</v>
      </c>
      <c r="M253" s="56">
        <f>LISTAS!$B$22*_xlfn.XLOOKUP(G253,LISTAS!$B$27:$B$36,LISTAS!$A$27:$A$36)*_xlfn.XLOOKUP(H253,LISTAS!$B$38:$B$47,LISTAS!$A$38:$A$47,,-1)*_xlfn.XLOOKUP(J253,LISTAS!$E$26:$H$26,LISTAS!$E$48:$H$48)*_xlfn.XLOOKUP(F253,LISTAS!$A$15:$A$18,LISTAS!$H$15:$H$18)</f>
        <v>3.4320000000000003E-2</v>
      </c>
      <c r="N253" s="54" cm="1">
        <f t="array" ref="N253">_xlfn.XLOOKUP(K253,LISTAS!$D$27:$D$47,_xlfn.XLOOKUP(J253,LISTAS!$E$26:$H$26,LISTAS!$E$27:$H$47))</f>
        <v>27884000</v>
      </c>
      <c r="O253" s="56" t="s">
        <v>1624</v>
      </c>
      <c r="P253" s="76" t="str">
        <f t="shared" ca="1" si="11"/>
        <v>Vencida</v>
      </c>
    </row>
    <row r="254" spans="1:16" x14ac:dyDescent="0.3">
      <c r="A254" s="58" t="s">
        <v>544</v>
      </c>
      <c r="B254" s="56" t="s">
        <v>292</v>
      </c>
      <c r="C254" s="50" t="str">
        <f>_xlfn.XLOOKUP(B254,CLIENTES!$A$2:$A$301,CLIENTES!$B$2:$B$301)</f>
        <v>Paula Mansilla</v>
      </c>
      <c r="D254" s="60">
        <v>44937</v>
      </c>
      <c r="E254" s="60">
        <f t="shared" si="9"/>
        <v>45302</v>
      </c>
      <c r="F254" s="50" t="s">
        <v>1595</v>
      </c>
      <c r="G254" s="56" t="s">
        <v>1603</v>
      </c>
      <c r="H254" s="47">
        <v>65</v>
      </c>
      <c r="I254" s="60">
        <v>22245</v>
      </c>
      <c r="J254" s="56" t="s">
        <v>1610</v>
      </c>
      <c r="K254" s="56">
        <v>2021</v>
      </c>
      <c r="L254" s="52">
        <f t="shared" si="10"/>
        <v>30493.204499999996</v>
      </c>
      <c r="M254" s="56">
        <f>LISTAS!$B$22*_xlfn.XLOOKUP(G254,LISTAS!$B$27:$B$36,LISTAS!$A$27:$A$36)*_xlfn.XLOOKUP(H254,LISTAS!$B$38:$B$47,LISTAS!$A$38:$A$47,,-1)*_xlfn.XLOOKUP(J254,LISTAS!$E$26:$H$26,LISTAS!$E$48:$H$48)*_xlfn.XLOOKUP(F254,LISTAS!$A$15:$A$18,LISTAS!$H$15:$H$18)</f>
        <v>1.4421E-2</v>
      </c>
      <c r="N254" s="54" cm="1">
        <f t="array" ref="N254">_xlfn.XLOOKUP(K254,LISTAS!$D$27:$D$47,_xlfn.XLOOKUP(J254,LISTAS!$E$26:$H$26,LISTAS!$E$27:$H$47))</f>
        <v>25374000</v>
      </c>
      <c r="O254" s="56" t="s">
        <v>1625</v>
      </c>
      <c r="P254" s="76" t="str">
        <f t="shared" ca="1" si="11"/>
        <v>Vencida</v>
      </c>
    </row>
    <row r="255" spans="1:16" x14ac:dyDescent="0.3">
      <c r="A255" s="58" t="s">
        <v>545</v>
      </c>
      <c r="B255" s="56" t="s">
        <v>147</v>
      </c>
      <c r="C255" s="50" t="str">
        <f>_xlfn.XLOOKUP(B255,CLIENTES!$A$2:$A$301,CLIENTES!$B$2:$B$301)</f>
        <v>Facundo Benítez</v>
      </c>
      <c r="D255" s="60">
        <v>45538</v>
      </c>
      <c r="E255" s="60">
        <f t="shared" si="9"/>
        <v>45903</v>
      </c>
      <c r="F255" s="50" t="s">
        <v>1595</v>
      </c>
      <c r="G255" s="56" t="s">
        <v>1603</v>
      </c>
      <c r="H255" s="47">
        <v>70</v>
      </c>
      <c r="I255" s="60">
        <v>20471</v>
      </c>
      <c r="J255" s="56" t="s">
        <v>1610</v>
      </c>
      <c r="K255" s="56">
        <v>2026</v>
      </c>
      <c r="L255" s="52">
        <f t="shared" si="10"/>
        <v>58520</v>
      </c>
      <c r="M255" s="56">
        <f>LISTAS!$B$22*_xlfn.XLOOKUP(G255,LISTAS!$B$27:$B$36,LISTAS!$A$27:$A$36)*_xlfn.XLOOKUP(H255,LISTAS!$B$38:$B$47,LISTAS!$A$38:$A$47,,-1)*_xlfn.XLOOKUP(J255,LISTAS!$E$26:$H$26,LISTAS!$E$48:$H$48)*_xlfn.XLOOKUP(F255,LISTAS!$A$15:$A$18,LISTAS!$H$15:$H$18)</f>
        <v>1.7555999999999999E-2</v>
      </c>
      <c r="N255" s="54" cm="1">
        <f t="array" ref="N255">_xlfn.XLOOKUP(K255,LISTAS!$D$27:$D$47,_xlfn.XLOOKUP(J255,LISTAS!$E$26:$H$26,LISTAS!$E$27:$H$47))</f>
        <v>40000000</v>
      </c>
      <c r="O255" s="56" t="s">
        <v>1624</v>
      </c>
      <c r="P255" s="76" t="str">
        <f t="shared" ca="1" si="11"/>
        <v>Vencida</v>
      </c>
    </row>
    <row r="256" spans="1:16" x14ac:dyDescent="0.3">
      <c r="A256" s="58" t="s">
        <v>546</v>
      </c>
      <c r="B256" s="56" t="s">
        <v>163</v>
      </c>
      <c r="C256" s="50" t="str">
        <f>_xlfn.XLOOKUP(B256,CLIENTES!$A$2:$A$301,CLIENTES!$B$2:$B$301)</f>
        <v>Mariano Ortiz</v>
      </c>
      <c r="D256" s="60">
        <v>45193</v>
      </c>
      <c r="E256" s="60">
        <f t="shared" si="9"/>
        <v>45559</v>
      </c>
      <c r="F256" s="50" t="s">
        <v>1595</v>
      </c>
      <c r="G256" s="56" t="s">
        <v>1605</v>
      </c>
      <c r="H256" s="47">
        <v>76</v>
      </c>
      <c r="I256" s="60">
        <v>18264</v>
      </c>
      <c r="J256" s="56" t="s">
        <v>1610</v>
      </c>
      <c r="K256" s="56">
        <v>2022</v>
      </c>
      <c r="L256" s="52">
        <f t="shared" si="10"/>
        <v>40027.482000000004</v>
      </c>
      <c r="M256" s="56">
        <f>LISTAS!$B$22*_xlfn.XLOOKUP(G256,LISTAS!$B$27:$B$36,LISTAS!$A$27:$A$36)*_xlfn.XLOOKUP(H256,LISTAS!$B$38:$B$47,LISTAS!$A$38:$A$47,,-1)*_xlfn.XLOOKUP(J256,LISTAS!$E$26:$H$26,LISTAS!$E$48:$H$48)*_xlfn.XLOOKUP(F256,LISTAS!$A$15:$A$18,LISTAS!$H$15:$H$18)</f>
        <v>1.7226000000000002E-2</v>
      </c>
      <c r="N256" s="54" cm="1">
        <f t="array" ref="N256">_xlfn.XLOOKUP(K256,LISTAS!$D$27:$D$47,_xlfn.XLOOKUP(J256,LISTAS!$E$26:$H$26,LISTAS!$E$27:$H$47))</f>
        <v>27884000</v>
      </c>
      <c r="O256" s="56" t="s">
        <v>1623</v>
      </c>
      <c r="P256" s="76" t="str">
        <f t="shared" ca="1" si="11"/>
        <v>Vencida</v>
      </c>
    </row>
    <row r="257" spans="1:16" x14ac:dyDescent="0.3">
      <c r="A257" s="58" t="s">
        <v>547</v>
      </c>
      <c r="B257" s="56" t="s">
        <v>206</v>
      </c>
      <c r="C257" s="50" t="str">
        <f>_xlfn.XLOOKUP(B257,CLIENTES!$A$2:$A$301,CLIENTES!$B$2:$B$301)</f>
        <v>Pedro Díaz</v>
      </c>
      <c r="D257" s="60">
        <v>45965</v>
      </c>
      <c r="E257" s="60">
        <f t="shared" si="9"/>
        <v>46330</v>
      </c>
      <c r="F257" s="50" t="s">
        <v>1596</v>
      </c>
      <c r="G257" s="56" t="s">
        <v>1606</v>
      </c>
      <c r="H257" s="47">
        <v>47</v>
      </c>
      <c r="I257" s="60">
        <v>28735</v>
      </c>
      <c r="J257" s="56" t="s">
        <v>1609</v>
      </c>
      <c r="K257" s="56">
        <v>2021</v>
      </c>
      <c r="L257" s="52">
        <f t="shared" si="10"/>
        <v>21343.570833333331</v>
      </c>
      <c r="M257" s="56">
        <f>LISTAS!$B$22*_xlfn.XLOOKUP(G257,LISTAS!$B$27:$B$36,LISTAS!$A$27:$A$36)*_xlfn.XLOOKUP(H257,LISTAS!$B$38:$B$47,LISTAS!$A$38:$A$47,,-1)*_xlfn.XLOOKUP(J257,LISTAS!$E$26:$H$26,LISTAS!$E$48:$H$48)*_xlfn.XLOOKUP(F257,LISTAS!$A$15:$A$18,LISTAS!$H$15:$H$18)</f>
        <v>1.6149999999999998E-2</v>
      </c>
      <c r="N257" s="54" cm="1">
        <f t="array" ref="N257">_xlfn.XLOOKUP(K257,LISTAS!$D$27:$D$47,_xlfn.XLOOKUP(J257,LISTAS!$E$26:$H$26,LISTAS!$E$27:$H$47))</f>
        <v>15859000</v>
      </c>
      <c r="O257" s="56" t="s">
        <v>1623</v>
      </c>
      <c r="P257" s="76" t="str">
        <f t="shared" ca="1" si="11"/>
        <v>Vigente</v>
      </c>
    </row>
    <row r="258" spans="1:16" x14ac:dyDescent="0.3">
      <c r="A258" s="58" t="s">
        <v>548</v>
      </c>
      <c r="B258" s="56" t="s">
        <v>70</v>
      </c>
      <c r="C258" s="50" t="str">
        <f>_xlfn.XLOOKUP(B258,CLIENTES!$A$2:$A$301,CLIENTES!$B$2:$B$301)</f>
        <v>Facundo Flores</v>
      </c>
      <c r="D258" s="60">
        <v>44680</v>
      </c>
      <c r="E258" s="60">
        <f t="shared" si="9"/>
        <v>45045</v>
      </c>
      <c r="F258" s="50" t="s">
        <v>1597</v>
      </c>
      <c r="G258" s="56" t="s">
        <v>1602</v>
      </c>
      <c r="H258" s="47">
        <v>32</v>
      </c>
      <c r="I258" s="60">
        <v>34251</v>
      </c>
      <c r="J258" s="56" t="s">
        <v>1610</v>
      </c>
      <c r="K258" s="56">
        <v>2018</v>
      </c>
      <c r="L258" s="52">
        <f t="shared" si="10"/>
        <v>40488.717500000006</v>
      </c>
      <c r="M258" s="56">
        <f>LISTAS!$B$22*_xlfn.XLOOKUP(G258,LISTAS!$B$27:$B$36,LISTAS!$A$27:$A$36)*_xlfn.XLOOKUP(H258,LISTAS!$B$38:$B$47,LISTAS!$A$38:$A$47,,-1)*_xlfn.XLOOKUP(J258,LISTAS!$E$26:$H$26,LISTAS!$E$48:$H$48)*_xlfn.XLOOKUP(F258,LISTAS!$A$15:$A$18,LISTAS!$H$15:$H$18)</f>
        <v>2.5410000000000005E-2</v>
      </c>
      <c r="N258" s="54" cm="1">
        <f t="array" ref="N258">_xlfn.XLOOKUP(K258,LISTAS!$D$27:$D$47,_xlfn.XLOOKUP(J258,LISTAS!$E$26:$H$26,LISTAS!$E$27:$H$47))</f>
        <v>19121000</v>
      </c>
      <c r="O258" s="56" t="s">
        <v>1625</v>
      </c>
      <c r="P258" s="76" t="str">
        <f t="shared" ca="1" si="11"/>
        <v>Vencida</v>
      </c>
    </row>
    <row r="259" spans="1:16" x14ac:dyDescent="0.3">
      <c r="A259" s="58" t="s">
        <v>549</v>
      </c>
      <c r="B259" s="56" t="s">
        <v>35</v>
      </c>
      <c r="C259" s="50" t="str">
        <f>_xlfn.XLOOKUP(B259,CLIENTES!$A$2:$A$301,CLIENTES!$B$2:$B$301)</f>
        <v>Natalia Ferreyra</v>
      </c>
      <c r="D259" s="60">
        <v>45305</v>
      </c>
      <c r="E259" s="60">
        <f t="shared" ref="E259:E322" si="12">EDATE(D259,12)</f>
        <v>45671</v>
      </c>
      <c r="F259" s="50" t="s">
        <v>1597</v>
      </c>
      <c r="G259" s="56" t="s">
        <v>1600</v>
      </c>
      <c r="H259" s="47">
        <v>41</v>
      </c>
      <c r="I259" s="60">
        <v>31115</v>
      </c>
      <c r="J259" s="56" t="s">
        <v>1610</v>
      </c>
      <c r="K259" s="56">
        <v>2015</v>
      </c>
      <c r="L259" s="52">
        <f t="shared" ref="L259:L322" si="13">(N259*M259)/12</f>
        <v>32272.595666666672</v>
      </c>
      <c r="M259" s="56">
        <f>LISTAS!$B$22*_xlfn.XLOOKUP(G259,LISTAS!$B$27:$B$36,LISTAS!$A$27:$A$36)*_xlfn.XLOOKUP(H259,LISTAS!$B$38:$B$47,LISTAS!$A$38:$A$47,,-1)*_xlfn.XLOOKUP(J259,LISTAS!$E$26:$H$26,LISTAS!$E$48:$H$48)*_xlfn.XLOOKUP(F259,LISTAS!$A$15:$A$18,LISTAS!$H$15:$H$18)</f>
        <v>2.6438500000000004E-2</v>
      </c>
      <c r="N259" s="54" cm="1">
        <f t="array" ref="N259">_xlfn.XLOOKUP(K259,LISTAS!$D$27:$D$47,_xlfn.XLOOKUP(J259,LISTAS!$E$26:$H$26,LISTAS!$E$27:$H$47))</f>
        <v>14648000</v>
      </c>
      <c r="O259" s="56" t="s">
        <v>1623</v>
      </c>
      <c r="P259" s="76" t="str">
        <f t="shared" ref="P259:P322" ca="1" si="14">IF(TODAY()&lt;D259,"Pendiente",IF(TODAY()&gt;E259,"Vencida","Vigente"))</f>
        <v>Vencida</v>
      </c>
    </row>
    <row r="260" spans="1:16" x14ac:dyDescent="0.3">
      <c r="A260" s="58" t="s">
        <v>550</v>
      </c>
      <c r="B260" s="56" t="s">
        <v>268</v>
      </c>
      <c r="C260" s="50" t="str">
        <f>_xlfn.XLOOKUP(B260,CLIENTES!$A$2:$A$301,CLIENTES!$B$2:$B$301)</f>
        <v>Natalia Quiroga</v>
      </c>
      <c r="D260" s="60">
        <v>45069</v>
      </c>
      <c r="E260" s="60">
        <f t="shared" si="12"/>
        <v>45435</v>
      </c>
      <c r="F260" s="50" t="s">
        <v>1597</v>
      </c>
      <c r="G260" s="56" t="s">
        <v>1605</v>
      </c>
      <c r="H260" s="47">
        <v>40</v>
      </c>
      <c r="I260" s="60">
        <v>31291</v>
      </c>
      <c r="J260" s="56" t="s">
        <v>1610</v>
      </c>
      <c r="K260" s="56">
        <v>2010</v>
      </c>
      <c r="L260" s="52">
        <f t="shared" si="13"/>
        <v>17195.945250000004</v>
      </c>
      <c r="M260" s="56">
        <f>LISTAS!$B$22*_xlfn.XLOOKUP(G260,LISTAS!$B$27:$B$36,LISTAS!$A$27:$A$36)*_xlfn.XLOOKUP(H260,LISTAS!$B$38:$B$47,LISTAS!$A$38:$A$47,,-1)*_xlfn.XLOOKUP(J260,LISTAS!$E$26:$H$26,LISTAS!$E$48:$H$48)*_xlfn.XLOOKUP(F260,LISTAS!$A$15:$A$18,LISTAS!$H$15:$H$18)</f>
        <v>2.0691000000000005E-2</v>
      </c>
      <c r="N260" s="54" cm="1">
        <f t="array" ref="N260">_xlfn.XLOOKUP(K260,LISTAS!$D$27:$D$47,_xlfn.XLOOKUP(J260,LISTAS!$E$26:$H$26,LISTAS!$E$27:$H$47))</f>
        <v>9973000</v>
      </c>
      <c r="O260" s="56" t="s">
        <v>1626</v>
      </c>
      <c r="P260" s="76" t="str">
        <f t="shared" ca="1" si="14"/>
        <v>Vencida</v>
      </c>
    </row>
    <row r="261" spans="1:16" x14ac:dyDescent="0.3">
      <c r="A261" s="58" t="s">
        <v>551</v>
      </c>
      <c r="B261" s="56" t="s">
        <v>233</v>
      </c>
      <c r="C261" s="50" t="str">
        <f>_xlfn.XLOOKUP(B261,CLIENTES!$A$2:$A$301,CLIENTES!$B$2:$B$301)</f>
        <v>Julieta Méndez</v>
      </c>
      <c r="D261" s="60">
        <v>46045</v>
      </c>
      <c r="E261" s="60">
        <f t="shared" si="12"/>
        <v>46410</v>
      </c>
      <c r="F261" s="50" t="s">
        <v>1595</v>
      </c>
      <c r="G261" s="56" t="s">
        <v>1603</v>
      </c>
      <c r="H261" s="47">
        <v>63</v>
      </c>
      <c r="I261" s="60">
        <v>23225</v>
      </c>
      <c r="J261" s="56" t="s">
        <v>1611</v>
      </c>
      <c r="K261" s="56">
        <v>2021</v>
      </c>
      <c r="L261" s="52">
        <f t="shared" si="13"/>
        <v>32745.830249999995</v>
      </c>
      <c r="M261" s="56">
        <f>LISTAS!$B$22*_xlfn.XLOOKUP(G261,LISTAS!$B$27:$B$36,LISTAS!$A$27:$A$36)*_xlfn.XLOOKUP(H261,LISTAS!$B$38:$B$47,LISTAS!$A$38:$A$47,,-1)*_xlfn.XLOOKUP(J261,LISTAS!$E$26:$H$26,LISTAS!$E$48:$H$48)*_xlfn.XLOOKUP(F261,LISTAS!$A$15:$A$18,LISTAS!$H$15:$H$18)</f>
        <v>1.3765499999999998E-2</v>
      </c>
      <c r="N261" s="54" cm="1">
        <f t="array" ref="N261">_xlfn.XLOOKUP(K261,LISTAS!$D$27:$D$47,_xlfn.XLOOKUP(J261,LISTAS!$E$26:$H$26,LISTAS!$E$27:$H$47))</f>
        <v>28546000</v>
      </c>
      <c r="O261" s="56" t="s">
        <v>1623</v>
      </c>
      <c r="P261" s="76" t="str">
        <f t="shared" ca="1" si="14"/>
        <v>Vigente</v>
      </c>
    </row>
    <row r="262" spans="1:16" x14ac:dyDescent="0.3">
      <c r="A262" s="58" t="s">
        <v>552</v>
      </c>
      <c r="B262" s="56" t="s">
        <v>204</v>
      </c>
      <c r="C262" s="50" t="str">
        <f>_xlfn.XLOOKUP(B262,CLIENTES!$A$2:$A$301,CLIENTES!$B$2:$B$301)</f>
        <v>Andrés Pereyra</v>
      </c>
      <c r="D262" s="60">
        <v>45103</v>
      </c>
      <c r="E262" s="60">
        <f t="shared" si="12"/>
        <v>45469</v>
      </c>
      <c r="F262" s="50" t="s">
        <v>1597</v>
      </c>
      <c r="G262" s="56" t="s">
        <v>1607</v>
      </c>
      <c r="H262" s="47">
        <v>51</v>
      </c>
      <c r="I262" s="60">
        <v>27398</v>
      </c>
      <c r="J262" s="56" t="s">
        <v>1612</v>
      </c>
      <c r="K262" s="56">
        <v>2021</v>
      </c>
      <c r="L262" s="52">
        <f t="shared" si="13"/>
        <v>42983.132500000007</v>
      </c>
      <c r="M262" s="56">
        <f>LISTAS!$B$22*_xlfn.XLOOKUP(G262,LISTAS!$B$27:$B$36,LISTAS!$A$27:$A$36)*_xlfn.XLOOKUP(H262,LISTAS!$B$38:$B$47,LISTAS!$A$38:$A$47,,-1)*_xlfn.XLOOKUP(J262,LISTAS!$E$26:$H$26,LISTAS!$E$48:$H$48)*_xlfn.XLOOKUP(F262,LISTAS!$A$15:$A$18,LISTAS!$H$15:$H$18)</f>
        <v>2.5410000000000005E-2</v>
      </c>
      <c r="N262" s="54" cm="1">
        <f t="array" ref="N262">_xlfn.XLOOKUP(K262,LISTAS!$D$27:$D$47,_xlfn.XLOOKUP(J262,LISTAS!$E$26:$H$26,LISTAS!$E$27:$H$47))</f>
        <v>20299000</v>
      </c>
      <c r="O262" s="56" t="s">
        <v>1623</v>
      </c>
      <c r="P262" s="76" t="str">
        <f t="shared" ca="1" si="14"/>
        <v>Vencida</v>
      </c>
    </row>
    <row r="263" spans="1:16" x14ac:dyDescent="0.3">
      <c r="A263" s="58" t="s">
        <v>553</v>
      </c>
      <c r="B263" s="56" t="s">
        <v>82</v>
      </c>
      <c r="C263" s="50" t="str">
        <f>_xlfn.XLOOKUP(B263,CLIENTES!$A$2:$A$301,CLIENTES!$B$2:$B$301)</f>
        <v>Lucas Martínez</v>
      </c>
      <c r="D263" s="60">
        <v>44555</v>
      </c>
      <c r="E263" s="60">
        <f t="shared" si="12"/>
        <v>44920</v>
      </c>
      <c r="F263" s="50" t="s">
        <v>1596</v>
      </c>
      <c r="G263" s="56" t="s">
        <v>1606</v>
      </c>
      <c r="H263" s="47">
        <v>72</v>
      </c>
      <c r="I263" s="60">
        <v>19748</v>
      </c>
      <c r="J263" s="56" t="s">
        <v>1609</v>
      </c>
      <c r="K263" s="56">
        <v>2024</v>
      </c>
      <c r="L263" s="52">
        <f t="shared" si="13"/>
        <v>41739.249999999993</v>
      </c>
      <c r="M263" s="56">
        <f>LISTAS!$B$22*_xlfn.XLOOKUP(G263,LISTAS!$B$27:$B$36,LISTAS!$A$27:$A$36)*_xlfn.XLOOKUP(H263,LISTAS!$B$38:$B$47,LISTAS!$A$38:$A$47,,-1)*_xlfn.XLOOKUP(J263,LISTAS!$E$26:$H$26,LISTAS!$E$48:$H$48)*_xlfn.XLOOKUP(F263,LISTAS!$A$15:$A$18,LISTAS!$H$15:$H$18)</f>
        <v>2.3799999999999998E-2</v>
      </c>
      <c r="N263" s="54" cm="1">
        <f t="array" ref="N263">_xlfn.XLOOKUP(K263,LISTAS!$D$27:$D$47,_xlfn.XLOOKUP(J263,LISTAS!$E$26:$H$26,LISTAS!$E$27:$H$47))</f>
        <v>21045000</v>
      </c>
      <c r="O263" s="56" t="s">
        <v>1623</v>
      </c>
      <c r="P263" s="76" t="str">
        <f t="shared" ca="1" si="14"/>
        <v>Vencida</v>
      </c>
    </row>
    <row r="264" spans="1:16" x14ac:dyDescent="0.3">
      <c r="A264" s="58" t="s">
        <v>554</v>
      </c>
      <c r="B264" s="56" t="s">
        <v>111</v>
      </c>
      <c r="C264" s="50" t="str">
        <f>_xlfn.XLOOKUP(B264,CLIENTES!$A$2:$A$301,CLIENTES!$B$2:$B$301)</f>
        <v>Alejandro Ortiz</v>
      </c>
      <c r="D264" s="60">
        <v>46238</v>
      </c>
      <c r="E264" s="60">
        <f t="shared" si="12"/>
        <v>46603</v>
      </c>
      <c r="F264" s="50" t="s">
        <v>1598</v>
      </c>
      <c r="G264" s="56" t="s">
        <v>1607</v>
      </c>
      <c r="H264" s="47">
        <v>33</v>
      </c>
      <c r="I264" s="60">
        <v>34046</v>
      </c>
      <c r="J264" s="56" t="s">
        <v>1609</v>
      </c>
      <c r="K264" s="56">
        <v>2019</v>
      </c>
      <c r="L264" s="52">
        <f t="shared" si="13"/>
        <v>31300.316666666669</v>
      </c>
      <c r="M264" s="56">
        <f>LISTAS!$B$22*_xlfn.XLOOKUP(G264,LISTAS!$B$27:$B$36,LISTAS!$A$27:$A$36)*_xlfn.XLOOKUP(H264,LISTAS!$B$38:$B$47,LISTAS!$A$38:$A$47,,-1)*_xlfn.XLOOKUP(J264,LISTAS!$E$26:$H$26,LISTAS!$E$48:$H$48)*_xlfn.XLOOKUP(F264,LISTAS!$A$15:$A$18,LISTAS!$H$15:$H$18)</f>
        <v>2.8600000000000004E-2</v>
      </c>
      <c r="N264" s="54" cm="1">
        <f t="array" ref="N264">_xlfn.XLOOKUP(K264,LISTAS!$D$27:$D$47,_xlfn.XLOOKUP(J264,LISTAS!$E$26:$H$26,LISTAS!$E$27:$H$47))</f>
        <v>13133000</v>
      </c>
      <c r="O264" s="56" t="s">
        <v>1623</v>
      </c>
      <c r="P264" s="76" t="str">
        <f t="shared" ca="1" si="14"/>
        <v>Vigente</v>
      </c>
    </row>
    <row r="265" spans="1:16" x14ac:dyDescent="0.3">
      <c r="A265" s="58" t="s">
        <v>555</v>
      </c>
      <c r="B265" s="56" t="s">
        <v>216</v>
      </c>
      <c r="C265" s="50" t="str">
        <f>_xlfn.XLOOKUP(B265,CLIENTES!$A$2:$A$301,CLIENTES!$B$2:$B$301)</f>
        <v>Mariana Correa</v>
      </c>
      <c r="D265" s="60">
        <v>46157</v>
      </c>
      <c r="E265" s="60">
        <f t="shared" si="12"/>
        <v>46522</v>
      </c>
      <c r="F265" s="50" t="s">
        <v>1598</v>
      </c>
      <c r="G265" s="56" t="s">
        <v>1601</v>
      </c>
      <c r="H265" s="47">
        <v>30</v>
      </c>
      <c r="I265" s="60">
        <v>35252</v>
      </c>
      <c r="J265" s="56" t="s">
        <v>1612</v>
      </c>
      <c r="K265" s="56">
        <v>2021</v>
      </c>
      <c r="L265" s="52">
        <f t="shared" si="13"/>
        <v>53107.258750000008</v>
      </c>
      <c r="M265" s="56">
        <f>LISTAS!$B$22*_xlfn.XLOOKUP(G265,LISTAS!$B$27:$B$36,LISTAS!$A$27:$A$36)*_xlfn.XLOOKUP(H265,LISTAS!$B$38:$B$47,LISTAS!$A$38:$A$47,,-1)*_xlfn.XLOOKUP(J265,LISTAS!$E$26:$H$26,LISTAS!$E$48:$H$48)*_xlfn.XLOOKUP(F265,LISTAS!$A$15:$A$18,LISTAS!$H$15:$H$18)</f>
        <v>3.1395000000000006E-2</v>
      </c>
      <c r="N265" s="54" cm="1">
        <f t="array" ref="N265">_xlfn.XLOOKUP(K265,LISTAS!$D$27:$D$47,_xlfn.XLOOKUP(J265,LISTAS!$E$26:$H$26,LISTAS!$E$27:$H$47))</f>
        <v>20299000</v>
      </c>
      <c r="O265" s="56" t="s">
        <v>1623</v>
      </c>
      <c r="P265" s="76" t="str">
        <f t="shared" ca="1" si="14"/>
        <v>Vigente</v>
      </c>
    </row>
    <row r="266" spans="1:16" x14ac:dyDescent="0.3">
      <c r="A266" s="58" t="s">
        <v>556</v>
      </c>
      <c r="B266" s="56" t="s">
        <v>3</v>
      </c>
      <c r="C266" s="50" t="str">
        <f>_xlfn.XLOOKUP(B266,CLIENTES!$A$2:$A$301,CLIENTES!$B$2:$B$301)</f>
        <v>Victoria Acosta</v>
      </c>
      <c r="D266" s="60">
        <v>46241</v>
      </c>
      <c r="E266" s="60">
        <f t="shared" si="12"/>
        <v>46606</v>
      </c>
      <c r="F266" s="50" t="s">
        <v>1596</v>
      </c>
      <c r="G266" s="56" t="s">
        <v>1605</v>
      </c>
      <c r="H266" s="47">
        <v>80</v>
      </c>
      <c r="I266" s="60">
        <v>16739</v>
      </c>
      <c r="J266" s="56" t="s">
        <v>1609</v>
      </c>
      <c r="K266" s="56">
        <v>2017</v>
      </c>
      <c r="L266" s="52">
        <f t="shared" si="13"/>
        <v>20105.15625</v>
      </c>
      <c r="M266" s="56">
        <f>LISTAS!$B$22*_xlfn.XLOOKUP(G266,LISTAS!$B$27:$B$36,LISTAS!$A$27:$A$36)*_xlfn.XLOOKUP(H266,LISTAS!$B$38:$B$47,LISTAS!$A$38:$A$47,,-1)*_xlfn.XLOOKUP(J266,LISTAS!$E$26:$H$26,LISTAS!$E$48:$H$48)*_xlfn.XLOOKUP(F266,LISTAS!$A$15:$A$18,LISTAS!$H$15:$H$18)</f>
        <v>2.2185E-2</v>
      </c>
      <c r="N266" s="54" cm="1">
        <f t="array" ref="N266">_xlfn.XLOOKUP(K266,LISTAS!$D$27:$D$47,_xlfn.XLOOKUP(J266,LISTAS!$E$26:$H$26,LISTAS!$E$27:$H$47))</f>
        <v>10875000</v>
      </c>
      <c r="O266" s="56" t="s">
        <v>1623</v>
      </c>
      <c r="P266" s="76" t="str">
        <f t="shared" ca="1" si="14"/>
        <v>Vigente</v>
      </c>
    </row>
    <row r="267" spans="1:16" x14ac:dyDescent="0.3">
      <c r="A267" s="58" t="s">
        <v>557</v>
      </c>
      <c r="B267" s="56" t="s">
        <v>92</v>
      </c>
      <c r="C267" s="50" t="str">
        <f>_xlfn.XLOOKUP(B267,CLIENTES!$A$2:$A$301,CLIENTES!$B$2:$B$301)</f>
        <v>Rodrigo Méndez</v>
      </c>
      <c r="D267" s="60">
        <v>44809</v>
      </c>
      <c r="E267" s="60">
        <f t="shared" si="12"/>
        <v>45174</v>
      </c>
      <c r="F267" s="50" t="s">
        <v>1596</v>
      </c>
      <c r="G267" s="56" t="s">
        <v>1608</v>
      </c>
      <c r="H267" s="47">
        <v>46</v>
      </c>
      <c r="I267" s="60">
        <v>29087</v>
      </c>
      <c r="J267" s="56" t="s">
        <v>1610</v>
      </c>
      <c r="K267" s="56">
        <v>2016</v>
      </c>
      <c r="L267" s="52">
        <f t="shared" si="13"/>
        <v>22391.228062499998</v>
      </c>
      <c r="M267" s="56">
        <f>LISTAS!$B$22*_xlfn.XLOOKUP(G267,LISTAS!$B$27:$B$36,LISTAS!$A$27:$A$36)*_xlfn.XLOOKUP(H267,LISTAS!$B$38:$B$47,LISTAS!$A$38:$A$47,,-1)*_xlfn.XLOOKUP(J267,LISTAS!$E$26:$H$26,LISTAS!$E$48:$H$48)*_xlfn.XLOOKUP(F267,LISTAS!$A$15:$A$18,LISTAS!$H$15:$H$18)</f>
        <v>1.6876749999999999E-2</v>
      </c>
      <c r="N267" s="54" cm="1">
        <f t="array" ref="N267">_xlfn.XLOOKUP(K267,LISTAS!$D$27:$D$47,_xlfn.XLOOKUP(J267,LISTAS!$E$26:$H$26,LISTAS!$E$27:$H$47))</f>
        <v>15921000</v>
      </c>
      <c r="O267" s="56" t="s">
        <v>1623</v>
      </c>
      <c r="P267" s="76" t="str">
        <f t="shared" ca="1" si="14"/>
        <v>Vencida</v>
      </c>
    </row>
    <row r="268" spans="1:16" x14ac:dyDescent="0.3">
      <c r="A268" s="58" t="s">
        <v>558</v>
      </c>
      <c r="B268" s="56" t="s">
        <v>96</v>
      </c>
      <c r="C268" s="50" t="str">
        <f>_xlfn.XLOOKUP(B268,CLIENTES!$A$2:$A$301,CLIENTES!$B$2:$B$301)</f>
        <v>Lautaro Rojas</v>
      </c>
      <c r="D268" s="60">
        <v>45983</v>
      </c>
      <c r="E268" s="60">
        <f t="shared" si="12"/>
        <v>46348</v>
      </c>
      <c r="F268" s="50" t="s">
        <v>1597</v>
      </c>
      <c r="G268" s="56" t="s">
        <v>1608</v>
      </c>
      <c r="H268" s="47">
        <v>42</v>
      </c>
      <c r="I268" s="60">
        <v>30750</v>
      </c>
      <c r="J268" s="56" t="s">
        <v>1609</v>
      </c>
      <c r="K268" s="56">
        <v>2024</v>
      </c>
      <c r="L268" s="52">
        <f t="shared" si="13"/>
        <v>34820.706250000003</v>
      </c>
      <c r="M268" s="56">
        <f>LISTAS!$B$22*_xlfn.XLOOKUP(G268,LISTAS!$B$27:$B$36,LISTAS!$A$27:$A$36)*_xlfn.XLOOKUP(H268,LISTAS!$B$38:$B$47,LISTAS!$A$38:$A$47,,-1)*_xlfn.XLOOKUP(J268,LISTAS!$E$26:$H$26,LISTAS!$E$48:$H$48)*_xlfn.XLOOKUP(F268,LISTAS!$A$15:$A$18,LISTAS!$H$15:$H$18)</f>
        <v>1.9855000000000001E-2</v>
      </c>
      <c r="N268" s="54" cm="1">
        <f t="array" ref="N268">_xlfn.XLOOKUP(K268,LISTAS!$D$27:$D$47,_xlfn.XLOOKUP(J268,LISTAS!$E$26:$H$26,LISTAS!$E$27:$H$47))</f>
        <v>21045000</v>
      </c>
      <c r="O268" s="56" t="s">
        <v>1623</v>
      </c>
      <c r="P268" s="76" t="str">
        <f t="shared" ca="1" si="14"/>
        <v>Vigente</v>
      </c>
    </row>
    <row r="269" spans="1:16" x14ac:dyDescent="0.3">
      <c r="A269" s="58" t="s">
        <v>559</v>
      </c>
      <c r="B269" s="56" t="s">
        <v>103</v>
      </c>
      <c r="C269" s="50" t="str">
        <f>_xlfn.XLOOKUP(B269,CLIENTES!$A$2:$A$301,CLIENTES!$B$2:$B$301)</f>
        <v>Gabriel Pereyra</v>
      </c>
      <c r="D269" s="60">
        <v>45399</v>
      </c>
      <c r="E269" s="60">
        <f t="shared" si="12"/>
        <v>45764</v>
      </c>
      <c r="F269" s="50" t="s">
        <v>1595</v>
      </c>
      <c r="G269" s="56" t="s">
        <v>1604</v>
      </c>
      <c r="H269" s="47">
        <v>44</v>
      </c>
      <c r="I269" s="60">
        <v>29939</v>
      </c>
      <c r="J269" s="56" t="s">
        <v>1611</v>
      </c>
      <c r="K269" s="56">
        <v>2017</v>
      </c>
      <c r="L269" s="52">
        <f t="shared" si="13"/>
        <v>22454.971874999999</v>
      </c>
      <c r="M269" s="56">
        <f>LISTAS!$B$22*_xlfn.XLOOKUP(G269,LISTAS!$B$27:$B$36,LISTAS!$A$27:$A$36)*_xlfn.XLOOKUP(H269,LISTAS!$B$38:$B$47,LISTAS!$A$38:$A$47,,-1)*_xlfn.XLOOKUP(J269,LISTAS!$E$26:$H$26,LISTAS!$E$48:$H$48)*_xlfn.XLOOKUP(F269,LISTAS!$A$15:$A$18,LISTAS!$H$15:$H$18)</f>
        <v>1.3765499999999998E-2</v>
      </c>
      <c r="N269" s="54" cm="1">
        <f t="array" ref="N269">_xlfn.XLOOKUP(K269,LISTAS!$D$27:$D$47,_xlfn.XLOOKUP(J269,LISTAS!$E$26:$H$26,LISTAS!$E$27:$H$47))</f>
        <v>19575000</v>
      </c>
      <c r="O269" s="56" t="s">
        <v>1624</v>
      </c>
      <c r="P269" s="76" t="str">
        <f t="shared" ca="1" si="14"/>
        <v>Vencida</v>
      </c>
    </row>
    <row r="270" spans="1:16" x14ac:dyDescent="0.3">
      <c r="A270" s="58" t="s">
        <v>560</v>
      </c>
      <c r="B270" s="56" t="s">
        <v>136</v>
      </c>
      <c r="C270" s="50" t="str">
        <f>_xlfn.XLOOKUP(B270,CLIENTES!$A$2:$A$301,CLIENTES!$B$2:$B$301)</f>
        <v>Martina Cabrera</v>
      </c>
      <c r="D270" s="60">
        <v>46170</v>
      </c>
      <c r="E270" s="60">
        <f t="shared" si="12"/>
        <v>46535</v>
      </c>
      <c r="F270" s="50" t="s">
        <v>1597</v>
      </c>
      <c r="G270" s="56" t="s">
        <v>1608</v>
      </c>
      <c r="H270" s="47">
        <v>72</v>
      </c>
      <c r="I270" s="60">
        <v>19903</v>
      </c>
      <c r="J270" s="56" t="s">
        <v>1611</v>
      </c>
      <c r="K270" s="56">
        <v>2017</v>
      </c>
      <c r="L270" s="52">
        <f t="shared" si="13"/>
        <v>54889.931249999994</v>
      </c>
      <c r="M270" s="56">
        <f>LISTAS!$B$22*_xlfn.XLOOKUP(G270,LISTAS!$B$27:$B$36,LISTAS!$A$27:$A$36)*_xlfn.XLOOKUP(H270,LISTAS!$B$38:$B$47,LISTAS!$A$38:$A$47,,-1)*_xlfn.XLOOKUP(J270,LISTAS!$E$26:$H$26,LISTAS!$E$48:$H$48)*_xlfn.XLOOKUP(F270,LISTAS!$A$15:$A$18,LISTAS!$H$15:$H$18)</f>
        <v>3.3648999999999998E-2</v>
      </c>
      <c r="N270" s="54" cm="1">
        <f t="array" ref="N270">_xlfn.XLOOKUP(K270,LISTAS!$D$27:$D$47,_xlfn.XLOOKUP(J270,LISTAS!$E$26:$H$26,LISTAS!$E$27:$H$47))</f>
        <v>19575000</v>
      </c>
      <c r="O270" s="56" t="s">
        <v>1623</v>
      </c>
      <c r="P270" s="76" t="str">
        <f t="shared" ca="1" si="14"/>
        <v>Vigente</v>
      </c>
    </row>
    <row r="271" spans="1:16" x14ac:dyDescent="0.3">
      <c r="A271" s="58" t="s">
        <v>561</v>
      </c>
      <c r="B271" s="56" t="s">
        <v>48</v>
      </c>
      <c r="C271" s="50" t="str">
        <f>_xlfn.XLOOKUP(B271,CLIENTES!$A$2:$A$301,CLIENTES!$B$2:$B$301)</f>
        <v>Alejandro Herrera</v>
      </c>
      <c r="D271" s="60">
        <v>45619</v>
      </c>
      <c r="E271" s="60">
        <f t="shared" si="12"/>
        <v>45984</v>
      </c>
      <c r="F271" s="50" t="s">
        <v>1597</v>
      </c>
      <c r="G271" s="56" t="s">
        <v>1606</v>
      </c>
      <c r="H271" s="47">
        <v>53</v>
      </c>
      <c r="I271" s="60">
        <v>26686</v>
      </c>
      <c r="J271" s="56" t="s">
        <v>1612</v>
      </c>
      <c r="K271" s="56">
        <v>2023</v>
      </c>
      <c r="L271" s="52">
        <f t="shared" si="13"/>
        <v>47187.525000000001</v>
      </c>
      <c r="M271" s="56">
        <f>LISTAS!$B$22*_xlfn.XLOOKUP(G271,LISTAS!$B$27:$B$36,LISTAS!$A$27:$A$36)*_xlfn.XLOOKUP(H271,LISTAS!$B$38:$B$47,LISTAS!$A$38:$A$47,,-1)*_xlfn.XLOOKUP(J271,LISTAS!$E$26:$H$26,LISTAS!$E$48:$H$48)*_xlfn.XLOOKUP(F271,LISTAS!$A$15:$A$18,LISTAS!$H$15:$H$18)</f>
        <v>2.3100000000000002E-2</v>
      </c>
      <c r="N271" s="54" cm="1">
        <f t="array" ref="N271">_xlfn.XLOOKUP(K271,LISTAS!$D$27:$D$47,_xlfn.XLOOKUP(J271,LISTAS!$E$26:$H$26,LISTAS!$E$27:$H$47))</f>
        <v>24513000</v>
      </c>
      <c r="O271" s="56" t="s">
        <v>1624</v>
      </c>
      <c r="P271" s="76" t="str">
        <f t="shared" ca="1" si="14"/>
        <v>Vencida</v>
      </c>
    </row>
    <row r="272" spans="1:16" x14ac:dyDescent="0.3">
      <c r="A272" s="58" t="s">
        <v>562</v>
      </c>
      <c r="B272" s="56" t="s">
        <v>197</v>
      </c>
      <c r="C272" s="50" t="str">
        <f>_xlfn.XLOOKUP(B272,CLIENTES!$A$2:$A$301,CLIENTES!$B$2:$B$301)</f>
        <v>Sofía Mansilla</v>
      </c>
      <c r="D272" s="60">
        <v>45132</v>
      </c>
      <c r="E272" s="60">
        <f t="shared" si="12"/>
        <v>45498</v>
      </c>
      <c r="F272" s="50" t="s">
        <v>1596</v>
      </c>
      <c r="G272" s="56" t="s">
        <v>1603</v>
      </c>
      <c r="H272" s="47">
        <v>50</v>
      </c>
      <c r="I272" s="60">
        <v>27744</v>
      </c>
      <c r="J272" s="56" t="s">
        <v>1610</v>
      </c>
      <c r="K272" s="56">
        <v>2025</v>
      </c>
      <c r="L272" s="52">
        <f t="shared" si="13"/>
        <v>54479.333333333336</v>
      </c>
      <c r="M272" s="56">
        <f>LISTAS!$B$22*_xlfn.XLOOKUP(G272,LISTAS!$B$27:$B$36,LISTAS!$A$27:$A$36)*_xlfn.XLOOKUP(H272,LISTAS!$B$38:$B$47,LISTAS!$A$38:$A$47,,-1)*_xlfn.XLOOKUP(J272,LISTAS!$E$26:$H$26,LISTAS!$E$48:$H$48)*_xlfn.XLOOKUP(F272,LISTAS!$A$15:$A$18,LISTAS!$H$15:$H$18)</f>
        <v>1.7765E-2</v>
      </c>
      <c r="N272" s="54" cm="1">
        <f t="array" ref="N272">_xlfn.XLOOKUP(K272,LISTAS!$D$27:$D$47,_xlfn.XLOOKUP(J272,LISTAS!$E$26:$H$26,LISTAS!$E$27:$H$47))</f>
        <v>36800000</v>
      </c>
      <c r="O272" s="56" t="s">
        <v>1623</v>
      </c>
      <c r="P272" s="76" t="str">
        <f t="shared" ca="1" si="14"/>
        <v>Vencida</v>
      </c>
    </row>
    <row r="273" spans="1:16" x14ac:dyDescent="0.3">
      <c r="A273" s="58" t="s">
        <v>563</v>
      </c>
      <c r="B273" s="56" t="s">
        <v>212</v>
      </c>
      <c r="C273" s="50" t="str">
        <f>_xlfn.XLOOKUP(B273,CLIENTES!$A$2:$A$301,CLIENTES!$B$2:$B$301)</f>
        <v>Matías Silva</v>
      </c>
      <c r="D273" s="60">
        <v>45199</v>
      </c>
      <c r="E273" s="60">
        <f t="shared" si="12"/>
        <v>45565</v>
      </c>
      <c r="F273" s="50" t="s">
        <v>1598</v>
      </c>
      <c r="G273" s="56" t="s">
        <v>1601</v>
      </c>
      <c r="H273" s="47">
        <v>20</v>
      </c>
      <c r="I273" s="60">
        <v>38599</v>
      </c>
      <c r="J273" s="56" t="s">
        <v>1609</v>
      </c>
      <c r="K273" s="56">
        <v>2022</v>
      </c>
      <c r="L273" s="52">
        <f t="shared" si="13"/>
        <v>65133.412500000013</v>
      </c>
      <c r="M273" s="56">
        <f>LISTAS!$B$22*_xlfn.XLOOKUP(G273,LISTAS!$B$27:$B$36,LISTAS!$A$27:$A$36)*_xlfn.XLOOKUP(H273,LISTAS!$B$38:$B$47,LISTAS!$A$38:$A$47,,-1)*_xlfn.XLOOKUP(J273,LISTAS!$E$26:$H$26,LISTAS!$E$48:$H$48)*_xlfn.XLOOKUP(F273,LISTAS!$A$15:$A$18,LISTAS!$H$15:$H$18)</f>
        <v>4.4850000000000008E-2</v>
      </c>
      <c r="N273" s="54" cm="1">
        <f t="array" ref="N273">_xlfn.XLOOKUP(K273,LISTAS!$D$27:$D$47,_xlfn.XLOOKUP(J273,LISTAS!$E$26:$H$26,LISTAS!$E$27:$H$47))</f>
        <v>17427000</v>
      </c>
      <c r="O273" s="56" t="s">
        <v>1623</v>
      </c>
      <c r="P273" s="76" t="str">
        <f t="shared" ca="1" si="14"/>
        <v>Vencida</v>
      </c>
    </row>
    <row r="274" spans="1:16" x14ac:dyDescent="0.3">
      <c r="A274" s="58" t="s">
        <v>564</v>
      </c>
      <c r="B274" s="56" t="s">
        <v>34</v>
      </c>
      <c r="C274" s="50" t="str">
        <f>_xlfn.XLOOKUP(B274,CLIENTES!$A$2:$A$301,CLIENTES!$B$2:$B$301)</f>
        <v>Alejandro López</v>
      </c>
      <c r="D274" s="60">
        <v>45956</v>
      </c>
      <c r="E274" s="60">
        <f t="shared" si="12"/>
        <v>46321</v>
      </c>
      <c r="F274" s="50" t="s">
        <v>1597</v>
      </c>
      <c r="G274" s="56" t="s">
        <v>1605</v>
      </c>
      <c r="H274" s="47">
        <v>73</v>
      </c>
      <c r="I274" s="60">
        <v>19521</v>
      </c>
      <c r="J274" s="56" t="s">
        <v>1612</v>
      </c>
      <c r="K274" s="56">
        <v>2021</v>
      </c>
      <c r="L274" s="52">
        <f t="shared" si="13"/>
        <v>49235.224500000004</v>
      </c>
      <c r="M274" s="56">
        <f>LISTAS!$B$22*_xlfn.XLOOKUP(G274,LISTAS!$B$27:$B$36,LISTAS!$A$27:$A$36)*_xlfn.XLOOKUP(H274,LISTAS!$B$38:$B$47,LISTAS!$A$38:$A$47,,-1)*_xlfn.XLOOKUP(J274,LISTAS!$E$26:$H$26,LISTAS!$E$48:$H$48)*_xlfn.XLOOKUP(F274,LISTAS!$A$15:$A$18,LISTAS!$H$15:$H$18)</f>
        <v>2.9106000000000003E-2</v>
      </c>
      <c r="N274" s="54" cm="1">
        <f t="array" ref="N274">_xlfn.XLOOKUP(K274,LISTAS!$D$27:$D$47,_xlfn.XLOOKUP(J274,LISTAS!$E$26:$H$26,LISTAS!$E$27:$H$47))</f>
        <v>20299000</v>
      </c>
      <c r="O274" s="56" t="s">
        <v>1624</v>
      </c>
      <c r="P274" s="76" t="str">
        <f t="shared" ca="1" si="14"/>
        <v>Vigente</v>
      </c>
    </row>
    <row r="275" spans="1:16" x14ac:dyDescent="0.3">
      <c r="A275" s="58" t="s">
        <v>565</v>
      </c>
      <c r="B275" s="56" t="s">
        <v>137</v>
      </c>
      <c r="C275" s="50" t="str">
        <f>_xlfn.XLOOKUP(B275,CLIENTES!$A$2:$A$301,CLIENTES!$B$2:$B$301)</f>
        <v>Lucas Gómez</v>
      </c>
      <c r="D275" s="60">
        <v>45311</v>
      </c>
      <c r="E275" s="60">
        <f t="shared" si="12"/>
        <v>45677</v>
      </c>
      <c r="F275" s="50" t="s">
        <v>1597</v>
      </c>
      <c r="G275" s="56" t="s">
        <v>1603</v>
      </c>
      <c r="H275" s="47">
        <v>73</v>
      </c>
      <c r="I275" s="60">
        <v>19328</v>
      </c>
      <c r="J275" s="56" t="s">
        <v>1609</v>
      </c>
      <c r="K275" s="56">
        <v>2026</v>
      </c>
      <c r="L275" s="52">
        <f t="shared" si="13"/>
        <v>60958.333333333336</v>
      </c>
      <c r="M275" s="56">
        <f>LISTAS!$B$22*_xlfn.XLOOKUP(G275,LISTAS!$B$27:$B$36,LISTAS!$A$27:$A$36)*_xlfn.XLOOKUP(H275,LISTAS!$B$38:$B$47,LISTAS!$A$38:$A$47,,-1)*_xlfn.XLOOKUP(J275,LISTAS!$E$26:$H$26,LISTAS!$E$48:$H$48)*_xlfn.XLOOKUP(F275,LISTAS!$A$15:$A$18,LISTAS!$H$15:$H$18)</f>
        <v>2.9260000000000001E-2</v>
      </c>
      <c r="N275" s="54" cm="1">
        <f t="array" ref="N275">_xlfn.XLOOKUP(K275,LISTAS!$D$27:$D$47,_xlfn.XLOOKUP(J275,LISTAS!$E$26:$H$26,LISTAS!$E$27:$H$47))</f>
        <v>25000000</v>
      </c>
      <c r="O275" s="56" t="s">
        <v>1623</v>
      </c>
      <c r="P275" s="76" t="str">
        <f t="shared" ca="1" si="14"/>
        <v>Vencida</v>
      </c>
    </row>
    <row r="276" spans="1:16" x14ac:dyDescent="0.3">
      <c r="A276" s="58" t="s">
        <v>566</v>
      </c>
      <c r="B276" s="56" t="s">
        <v>24</v>
      </c>
      <c r="C276" s="50" t="str">
        <f>_xlfn.XLOOKUP(B276,CLIENTES!$A$2:$A$301,CLIENTES!$B$2:$B$301)</f>
        <v>Pablo Álvarez</v>
      </c>
      <c r="D276" s="60">
        <v>45423</v>
      </c>
      <c r="E276" s="60">
        <f t="shared" si="12"/>
        <v>45788</v>
      </c>
      <c r="F276" s="50" t="s">
        <v>1598</v>
      </c>
      <c r="G276" s="56" t="s">
        <v>1604</v>
      </c>
      <c r="H276" s="47">
        <v>32</v>
      </c>
      <c r="I276" s="60">
        <v>34417</v>
      </c>
      <c r="J276" s="56" t="s">
        <v>1611</v>
      </c>
      <c r="K276" s="56">
        <v>2018</v>
      </c>
      <c r="L276" s="52">
        <f t="shared" si="13"/>
        <v>56278.153750000005</v>
      </c>
      <c r="M276" s="56">
        <f>LISTAS!$B$22*_xlfn.XLOOKUP(G276,LISTAS!$B$27:$B$36,LISTAS!$A$27:$A$36)*_xlfn.XLOOKUP(H276,LISTAS!$B$38:$B$47,LISTAS!$A$38:$A$47,,-1)*_xlfn.XLOOKUP(J276,LISTAS!$E$26:$H$26,LISTAS!$E$48:$H$48)*_xlfn.XLOOKUP(F276,LISTAS!$A$15:$A$18,LISTAS!$H$15:$H$18)</f>
        <v>3.1395000000000006E-2</v>
      </c>
      <c r="N276" s="54" cm="1">
        <f t="array" ref="N276">_xlfn.XLOOKUP(K276,LISTAS!$D$27:$D$47,_xlfn.XLOOKUP(J276,LISTAS!$E$26:$H$26,LISTAS!$E$27:$H$47))</f>
        <v>21511000</v>
      </c>
      <c r="O276" s="56" t="s">
        <v>1623</v>
      </c>
      <c r="P276" s="76" t="str">
        <f t="shared" ca="1" si="14"/>
        <v>Vencida</v>
      </c>
    </row>
    <row r="277" spans="1:16" x14ac:dyDescent="0.3">
      <c r="A277" s="58" t="s">
        <v>567</v>
      </c>
      <c r="B277" s="56" t="s">
        <v>198</v>
      </c>
      <c r="C277" s="50" t="str">
        <f>_xlfn.XLOOKUP(B277,CLIENTES!$A$2:$A$301,CLIENTES!$B$2:$B$301)</f>
        <v>Daniel Luna</v>
      </c>
      <c r="D277" s="60">
        <v>45287</v>
      </c>
      <c r="E277" s="60">
        <f t="shared" si="12"/>
        <v>45653</v>
      </c>
      <c r="F277" s="50" t="s">
        <v>1597</v>
      </c>
      <c r="G277" s="56" t="s">
        <v>1599</v>
      </c>
      <c r="H277" s="47">
        <v>74</v>
      </c>
      <c r="I277" s="60">
        <v>18930</v>
      </c>
      <c r="J277" s="56" t="s">
        <v>1612</v>
      </c>
      <c r="K277" s="56">
        <v>2024</v>
      </c>
      <c r="L277" s="52">
        <f t="shared" si="13"/>
        <v>87117.492000000013</v>
      </c>
      <c r="M277" s="56">
        <f>LISTAS!$B$22*_xlfn.XLOOKUP(G277,LISTAS!$B$27:$B$36,LISTAS!$A$27:$A$36)*_xlfn.XLOOKUP(H277,LISTAS!$B$38:$B$47,LISTAS!$A$38:$A$47,,-1)*_xlfn.XLOOKUP(J277,LISTAS!$E$26:$H$26,LISTAS!$E$48:$H$48)*_xlfn.XLOOKUP(F277,LISTAS!$A$15:$A$18,LISTAS!$H$15:$H$18)</f>
        <v>3.8808000000000002E-2</v>
      </c>
      <c r="N277" s="54" cm="1">
        <f t="array" ref="N277">_xlfn.XLOOKUP(K277,LISTAS!$D$27:$D$47,_xlfn.XLOOKUP(J277,LISTAS!$E$26:$H$26,LISTAS!$E$27:$H$47))</f>
        <v>26938000</v>
      </c>
      <c r="O277" s="56" t="s">
        <v>1626</v>
      </c>
      <c r="P277" s="76" t="str">
        <f t="shared" ca="1" si="14"/>
        <v>Vencida</v>
      </c>
    </row>
    <row r="278" spans="1:16" x14ac:dyDescent="0.3">
      <c r="A278" s="58" t="s">
        <v>568</v>
      </c>
      <c r="B278" s="56" t="s">
        <v>75</v>
      </c>
      <c r="C278" s="50" t="str">
        <f>_xlfn.XLOOKUP(B278,CLIENTES!$A$2:$A$301,CLIENTES!$B$2:$B$301)</f>
        <v>Pablo Aguirre</v>
      </c>
      <c r="D278" s="60">
        <v>44975</v>
      </c>
      <c r="E278" s="60">
        <f t="shared" si="12"/>
        <v>45340</v>
      </c>
      <c r="F278" s="50" t="s">
        <v>1598</v>
      </c>
      <c r="G278" s="56" t="s">
        <v>1602</v>
      </c>
      <c r="H278" s="47">
        <v>78</v>
      </c>
      <c r="I278" s="60">
        <v>17479</v>
      </c>
      <c r="J278" s="56" t="s">
        <v>1611</v>
      </c>
      <c r="K278" s="56">
        <v>2020</v>
      </c>
      <c r="L278" s="52">
        <f t="shared" si="13"/>
        <v>98545.373062499988</v>
      </c>
      <c r="M278" s="56">
        <f>LISTAS!$B$22*_xlfn.XLOOKUP(G278,LISTAS!$B$27:$B$36,LISTAS!$A$27:$A$36)*_xlfn.XLOOKUP(H278,LISTAS!$B$38:$B$47,LISTAS!$A$38:$A$47,,-1)*_xlfn.XLOOKUP(J278,LISTAS!$E$26:$H$26,LISTAS!$E$48:$H$48)*_xlfn.XLOOKUP(F278,LISTAS!$A$15:$A$18,LISTAS!$H$15:$H$18)</f>
        <v>4.5522750000000001E-2</v>
      </c>
      <c r="N278" s="54" cm="1">
        <f t="array" ref="N278">_xlfn.XLOOKUP(K278,LISTAS!$D$27:$D$47,_xlfn.XLOOKUP(J278,LISTAS!$E$26:$H$26,LISTAS!$E$27:$H$47))</f>
        <v>25977000</v>
      </c>
      <c r="O278" s="56" t="s">
        <v>1623</v>
      </c>
      <c r="P278" s="76" t="str">
        <f t="shared" ca="1" si="14"/>
        <v>Vencida</v>
      </c>
    </row>
    <row r="279" spans="1:16" x14ac:dyDescent="0.3">
      <c r="A279" s="58" t="s">
        <v>569</v>
      </c>
      <c r="B279" s="56" t="s">
        <v>125</v>
      </c>
      <c r="C279" s="50" t="str">
        <f>_xlfn.XLOOKUP(B279,CLIENTES!$A$2:$A$301,CLIENTES!$B$2:$B$301)</f>
        <v>Martín Ruiz</v>
      </c>
      <c r="D279" s="60">
        <v>44685</v>
      </c>
      <c r="E279" s="60">
        <f t="shared" si="12"/>
        <v>45050</v>
      </c>
      <c r="F279" s="50" t="s">
        <v>1598</v>
      </c>
      <c r="G279" s="56" t="s">
        <v>1604</v>
      </c>
      <c r="H279" s="47">
        <v>26</v>
      </c>
      <c r="I279" s="60">
        <v>36473</v>
      </c>
      <c r="J279" s="56" t="s">
        <v>1610</v>
      </c>
      <c r="K279" s="56">
        <v>2017</v>
      </c>
      <c r="L279" s="52">
        <f t="shared" si="13"/>
        <v>52252.200000000012</v>
      </c>
      <c r="M279" s="56">
        <f>LISTAS!$B$22*_xlfn.XLOOKUP(G279,LISTAS!$B$27:$B$36,LISTAS!$A$27:$A$36)*_xlfn.XLOOKUP(H279,LISTAS!$B$38:$B$47,LISTAS!$A$38:$A$47,,-1)*_xlfn.XLOOKUP(J279,LISTAS!$E$26:$H$26,LISTAS!$E$48:$H$48)*_xlfn.XLOOKUP(F279,LISTAS!$A$15:$A$18,LISTAS!$H$15:$H$18)</f>
        <v>3.6036000000000006E-2</v>
      </c>
      <c r="N279" s="54" cm="1">
        <f t="array" ref="N279">_xlfn.XLOOKUP(K279,LISTAS!$D$27:$D$47,_xlfn.XLOOKUP(J279,LISTAS!$E$26:$H$26,LISTAS!$E$27:$H$47))</f>
        <v>17400000</v>
      </c>
      <c r="O279" s="56" t="s">
        <v>1624</v>
      </c>
      <c r="P279" s="76" t="str">
        <f t="shared" ca="1" si="14"/>
        <v>Vencida</v>
      </c>
    </row>
    <row r="280" spans="1:16" x14ac:dyDescent="0.3">
      <c r="A280" s="58" t="s">
        <v>570</v>
      </c>
      <c r="B280" s="56" t="s">
        <v>66</v>
      </c>
      <c r="C280" s="50" t="str">
        <f>_xlfn.XLOOKUP(B280,CLIENTES!$A$2:$A$301,CLIENTES!$B$2:$B$301)</f>
        <v>Tomás Pérez</v>
      </c>
      <c r="D280" s="60">
        <v>45111</v>
      </c>
      <c r="E280" s="60">
        <f t="shared" si="12"/>
        <v>45477</v>
      </c>
      <c r="F280" s="50" t="s">
        <v>1597</v>
      </c>
      <c r="G280" s="56" t="s">
        <v>1601</v>
      </c>
      <c r="H280" s="47">
        <v>64</v>
      </c>
      <c r="I280" s="60">
        <v>22528</v>
      </c>
      <c r="J280" s="56" t="s">
        <v>1611</v>
      </c>
      <c r="K280" s="56">
        <v>2023</v>
      </c>
      <c r="L280" s="52">
        <f t="shared" si="13"/>
        <v>87759.248500000002</v>
      </c>
      <c r="M280" s="56">
        <f>LISTAS!$B$22*_xlfn.XLOOKUP(G280,LISTAS!$B$27:$B$36,LISTAS!$A$27:$A$36)*_xlfn.XLOOKUP(H280,LISTAS!$B$38:$B$47,LISTAS!$A$38:$A$47,,-1)*_xlfn.XLOOKUP(J280,LISTAS!$E$26:$H$26,LISTAS!$E$48:$H$48)*_xlfn.XLOOKUP(F280,LISTAS!$A$15:$A$18,LISTAS!$H$15:$H$18)</f>
        <v>3.0549750000000001E-2</v>
      </c>
      <c r="N280" s="54" cm="1">
        <f t="array" ref="N280">_xlfn.XLOOKUP(K280,LISTAS!$D$27:$D$47,_xlfn.XLOOKUP(J280,LISTAS!$E$26:$H$26,LISTAS!$E$27:$H$47))</f>
        <v>34472000</v>
      </c>
      <c r="O280" s="56" t="s">
        <v>1624</v>
      </c>
      <c r="P280" s="76" t="str">
        <f t="shared" ca="1" si="14"/>
        <v>Vencida</v>
      </c>
    </row>
    <row r="281" spans="1:16" x14ac:dyDescent="0.3">
      <c r="A281" s="58" t="s">
        <v>571</v>
      </c>
      <c r="B281" s="56" t="s">
        <v>71</v>
      </c>
      <c r="C281" s="50" t="str">
        <f>_xlfn.XLOOKUP(B281,CLIENTES!$A$2:$A$301,CLIENTES!$B$2:$B$301)</f>
        <v>Fernando Molina</v>
      </c>
      <c r="D281" s="60">
        <v>45816</v>
      </c>
      <c r="E281" s="60">
        <f t="shared" si="12"/>
        <v>46181</v>
      </c>
      <c r="F281" s="50" t="s">
        <v>1596</v>
      </c>
      <c r="G281" s="56" t="s">
        <v>1600</v>
      </c>
      <c r="H281" s="47">
        <v>46</v>
      </c>
      <c r="I281" s="60">
        <v>29329</v>
      </c>
      <c r="J281" s="56" t="s">
        <v>1612</v>
      </c>
      <c r="K281" s="56">
        <v>2010</v>
      </c>
      <c r="L281" s="52">
        <f t="shared" si="13"/>
        <v>12964.997937499998</v>
      </c>
      <c r="M281" s="56">
        <f>LISTAS!$B$22*_xlfn.XLOOKUP(G281,LISTAS!$B$27:$B$36,LISTAS!$A$27:$A$36)*_xlfn.XLOOKUP(H281,LISTAS!$B$38:$B$47,LISTAS!$A$38:$A$47,,-1)*_xlfn.XLOOKUP(J281,LISTAS!$E$26:$H$26,LISTAS!$E$48:$H$48)*_xlfn.XLOOKUP(F281,LISTAS!$A$15:$A$18,LISTAS!$H$15:$H$18)</f>
        <v>1.9501124999999998E-2</v>
      </c>
      <c r="N281" s="54" cm="1">
        <f t="array" ref="N281">_xlfn.XLOOKUP(K281,LISTAS!$D$27:$D$47,_xlfn.XLOOKUP(J281,LISTAS!$E$26:$H$26,LISTAS!$E$27:$H$47))</f>
        <v>7978000</v>
      </c>
      <c r="O281" s="56" t="s">
        <v>1625</v>
      </c>
      <c r="P281" s="76" t="str">
        <f t="shared" ca="1" si="14"/>
        <v>Vencida</v>
      </c>
    </row>
    <row r="282" spans="1:16" x14ac:dyDescent="0.3">
      <c r="A282" s="58" t="s">
        <v>572</v>
      </c>
      <c r="B282" s="56" t="s">
        <v>248</v>
      </c>
      <c r="C282" s="50" t="str">
        <f>_xlfn.XLOOKUP(B282,CLIENTES!$A$2:$A$301,CLIENTES!$B$2:$B$301)</f>
        <v>Sebastián Acosta</v>
      </c>
      <c r="D282" s="60">
        <v>45077</v>
      </c>
      <c r="E282" s="60">
        <f t="shared" si="12"/>
        <v>45443</v>
      </c>
      <c r="F282" s="50" t="s">
        <v>1595</v>
      </c>
      <c r="G282" s="56" t="s">
        <v>1603</v>
      </c>
      <c r="H282" s="47">
        <v>36</v>
      </c>
      <c r="I282" s="60">
        <v>33016</v>
      </c>
      <c r="J282" s="56" t="s">
        <v>1610</v>
      </c>
      <c r="K282" s="56">
        <v>2010</v>
      </c>
      <c r="L282" s="52">
        <f t="shared" si="13"/>
        <v>10421.785000000002</v>
      </c>
      <c r="M282" s="56">
        <f>LISTAS!$B$22*_xlfn.XLOOKUP(G282,LISTAS!$B$27:$B$36,LISTAS!$A$27:$A$36)*_xlfn.XLOOKUP(H282,LISTAS!$B$38:$B$47,LISTAS!$A$38:$A$47,,-1)*_xlfn.XLOOKUP(J282,LISTAS!$E$26:$H$26,LISTAS!$E$48:$H$48)*_xlfn.XLOOKUP(F282,LISTAS!$A$15:$A$18,LISTAS!$H$15:$H$18)</f>
        <v>1.2540000000000001E-2</v>
      </c>
      <c r="N282" s="54" cm="1">
        <f t="array" ref="N282">_xlfn.XLOOKUP(K282,LISTAS!$D$27:$D$47,_xlfn.XLOOKUP(J282,LISTAS!$E$26:$H$26,LISTAS!$E$27:$H$47))</f>
        <v>9973000</v>
      </c>
      <c r="O282" s="56" t="s">
        <v>1624</v>
      </c>
      <c r="P282" s="76" t="str">
        <f t="shared" ca="1" si="14"/>
        <v>Vencida</v>
      </c>
    </row>
    <row r="283" spans="1:16" x14ac:dyDescent="0.3">
      <c r="A283" s="58" t="s">
        <v>573</v>
      </c>
      <c r="B283" s="56" t="s">
        <v>220</v>
      </c>
      <c r="C283" s="50" t="str">
        <f>_xlfn.XLOOKUP(B283,CLIENTES!$A$2:$A$301,CLIENTES!$B$2:$B$301)</f>
        <v>Paula Castro</v>
      </c>
      <c r="D283" s="60">
        <v>45462</v>
      </c>
      <c r="E283" s="60">
        <f t="shared" si="12"/>
        <v>45827</v>
      </c>
      <c r="F283" s="50" t="s">
        <v>1595</v>
      </c>
      <c r="G283" s="56" t="s">
        <v>1606</v>
      </c>
      <c r="H283" s="47">
        <v>65</v>
      </c>
      <c r="I283" s="60">
        <v>22509</v>
      </c>
      <c r="J283" s="56" t="s">
        <v>1609</v>
      </c>
      <c r="K283" s="56">
        <v>2020</v>
      </c>
      <c r="L283" s="52">
        <f t="shared" si="13"/>
        <v>16596.8</v>
      </c>
      <c r="M283" s="56">
        <f>LISTAS!$B$22*_xlfn.XLOOKUP(G283,LISTAS!$B$27:$B$36,LISTAS!$A$27:$A$36)*_xlfn.XLOOKUP(H283,LISTAS!$B$38:$B$47,LISTAS!$A$38:$A$47,,-1)*_xlfn.XLOOKUP(J283,LISTAS!$E$26:$H$26,LISTAS!$E$48:$H$48)*_xlfn.XLOOKUP(F283,LISTAS!$A$15:$A$18,LISTAS!$H$15:$H$18)</f>
        <v>1.38E-2</v>
      </c>
      <c r="N283" s="54" cm="1">
        <f t="array" ref="N283">_xlfn.XLOOKUP(K283,LISTAS!$D$27:$D$47,_xlfn.XLOOKUP(J283,LISTAS!$E$26:$H$26,LISTAS!$E$27:$H$47))</f>
        <v>14432000</v>
      </c>
      <c r="O283" s="56" t="s">
        <v>1625</v>
      </c>
      <c r="P283" s="76" t="str">
        <f t="shared" ca="1" si="14"/>
        <v>Vencida</v>
      </c>
    </row>
    <row r="284" spans="1:16" x14ac:dyDescent="0.3">
      <c r="A284" s="58" t="s">
        <v>574</v>
      </c>
      <c r="B284" s="56" t="s">
        <v>103</v>
      </c>
      <c r="C284" s="50" t="str">
        <f>_xlfn.XLOOKUP(B284,CLIENTES!$A$2:$A$301,CLIENTES!$B$2:$B$301)</f>
        <v>Gabriel Pereyra</v>
      </c>
      <c r="D284" s="60">
        <v>46189</v>
      </c>
      <c r="E284" s="60">
        <f t="shared" si="12"/>
        <v>46554</v>
      </c>
      <c r="F284" s="50" t="s">
        <v>1598</v>
      </c>
      <c r="G284" s="56" t="s">
        <v>1605</v>
      </c>
      <c r="H284" s="47">
        <v>42</v>
      </c>
      <c r="I284" s="60">
        <v>30680</v>
      </c>
      <c r="J284" s="56" t="s">
        <v>1610</v>
      </c>
      <c r="K284" s="56">
        <v>2025</v>
      </c>
      <c r="L284" s="52">
        <f t="shared" si="13"/>
        <v>74989.200000000026</v>
      </c>
      <c r="M284" s="56">
        <f>LISTAS!$B$22*_xlfn.XLOOKUP(G284,LISTAS!$B$27:$B$36,LISTAS!$A$27:$A$36)*_xlfn.XLOOKUP(H284,LISTAS!$B$38:$B$47,LISTAS!$A$38:$A$47,,-1)*_xlfn.XLOOKUP(J284,LISTAS!$E$26:$H$26,LISTAS!$E$48:$H$48)*_xlfn.XLOOKUP(F284,LISTAS!$A$15:$A$18,LISTAS!$H$15:$H$18)</f>
        <v>2.4453000000000006E-2</v>
      </c>
      <c r="N284" s="54" cm="1">
        <f t="array" ref="N284">_xlfn.XLOOKUP(K284,LISTAS!$D$27:$D$47,_xlfn.XLOOKUP(J284,LISTAS!$E$26:$H$26,LISTAS!$E$27:$H$47))</f>
        <v>36800000</v>
      </c>
      <c r="O284" s="56" t="s">
        <v>1623</v>
      </c>
      <c r="P284" s="76" t="str">
        <f t="shared" ca="1" si="14"/>
        <v>Vigente</v>
      </c>
    </row>
    <row r="285" spans="1:16" x14ac:dyDescent="0.3">
      <c r="A285" s="58" t="s">
        <v>575</v>
      </c>
      <c r="B285" s="56" t="s">
        <v>212</v>
      </c>
      <c r="C285" s="50" t="str">
        <f>_xlfn.XLOOKUP(B285,CLIENTES!$A$2:$A$301,CLIENTES!$B$2:$B$301)</f>
        <v>Matías Silva</v>
      </c>
      <c r="D285" s="60">
        <v>45894</v>
      </c>
      <c r="E285" s="60">
        <f t="shared" si="12"/>
        <v>46259</v>
      </c>
      <c r="F285" s="50" t="s">
        <v>1595</v>
      </c>
      <c r="G285" s="56" t="s">
        <v>1603</v>
      </c>
      <c r="H285" s="47">
        <v>33</v>
      </c>
      <c r="I285" s="60">
        <v>34003</v>
      </c>
      <c r="J285" s="56" t="s">
        <v>1609</v>
      </c>
      <c r="K285" s="56">
        <v>2025</v>
      </c>
      <c r="L285" s="52">
        <f t="shared" si="13"/>
        <v>21849.999999999996</v>
      </c>
      <c r="M285" s="56">
        <f>LISTAS!$B$22*_xlfn.XLOOKUP(G285,LISTAS!$B$27:$B$36,LISTAS!$A$27:$A$36)*_xlfn.XLOOKUP(H285,LISTAS!$B$38:$B$47,LISTAS!$A$38:$A$47,,-1)*_xlfn.XLOOKUP(J285,LISTAS!$E$26:$H$26,LISTAS!$E$48:$H$48)*_xlfn.XLOOKUP(F285,LISTAS!$A$15:$A$18,LISTAS!$H$15:$H$18)</f>
        <v>1.1399999999999999E-2</v>
      </c>
      <c r="N285" s="54" cm="1">
        <f t="array" ref="N285">_xlfn.XLOOKUP(K285,LISTAS!$D$27:$D$47,_xlfn.XLOOKUP(J285,LISTAS!$E$26:$H$26,LISTAS!$E$27:$H$47))</f>
        <v>23000000</v>
      </c>
      <c r="O285" s="56" t="s">
        <v>1623</v>
      </c>
      <c r="P285" s="76" t="str">
        <f t="shared" ca="1" si="14"/>
        <v>Vencida</v>
      </c>
    </row>
    <row r="286" spans="1:16" x14ac:dyDescent="0.3">
      <c r="A286" s="58" t="s">
        <v>576</v>
      </c>
      <c r="B286" s="56" t="s">
        <v>182</v>
      </c>
      <c r="C286" s="50" t="str">
        <f>_xlfn.XLOOKUP(B286,CLIENTES!$A$2:$A$301,CLIENTES!$B$2:$B$301)</f>
        <v>Pablo Fernández</v>
      </c>
      <c r="D286" s="60">
        <v>45932</v>
      </c>
      <c r="E286" s="60">
        <f t="shared" si="12"/>
        <v>46297</v>
      </c>
      <c r="F286" s="50" t="s">
        <v>1596</v>
      </c>
      <c r="G286" s="56" t="s">
        <v>1606</v>
      </c>
      <c r="H286" s="47">
        <v>67</v>
      </c>
      <c r="I286" s="60">
        <v>21438</v>
      </c>
      <c r="J286" s="56" t="s">
        <v>1609</v>
      </c>
      <c r="K286" s="56">
        <v>2025</v>
      </c>
      <c r="L286" s="52">
        <f t="shared" si="13"/>
        <v>37470.833333333328</v>
      </c>
      <c r="M286" s="56">
        <f>LISTAS!$B$22*_xlfn.XLOOKUP(G286,LISTAS!$B$27:$B$36,LISTAS!$A$27:$A$36)*_xlfn.XLOOKUP(H286,LISTAS!$B$38:$B$47,LISTAS!$A$38:$A$47,,-1)*_xlfn.XLOOKUP(J286,LISTAS!$E$26:$H$26,LISTAS!$E$48:$H$48)*_xlfn.XLOOKUP(F286,LISTAS!$A$15:$A$18,LISTAS!$H$15:$H$18)</f>
        <v>1.9549999999999998E-2</v>
      </c>
      <c r="N286" s="54" cm="1">
        <f t="array" ref="N286">_xlfn.XLOOKUP(K286,LISTAS!$D$27:$D$47,_xlfn.XLOOKUP(J286,LISTAS!$E$26:$H$26,LISTAS!$E$27:$H$47))</f>
        <v>23000000</v>
      </c>
      <c r="O286" s="56" t="s">
        <v>1623</v>
      </c>
      <c r="P286" s="76" t="str">
        <f t="shared" ca="1" si="14"/>
        <v>Vigente</v>
      </c>
    </row>
    <row r="287" spans="1:16" x14ac:dyDescent="0.3">
      <c r="A287" s="58" t="s">
        <v>577</v>
      </c>
      <c r="B287" s="56" t="s">
        <v>123</v>
      </c>
      <c r="C287" s="50" t="str">
        <f>_xlfn.XLOOKUP(B287,CLIENTES!$A$2:$A$301,CLIENTES!$B$2:$B$301)</f>
        <v>Victoria Ramírez</v>
      </c>
      <c r="D287" s="60">
        <v>45678</v>
      </c>
      <c r="E287" s="60">
        <f t="shared" si="12"/>
        <v>46043</v>
      </c>
      <c r="F287" s="50" t="s">
        <v>1595</v>
      </c>
      <c r="G287" s="56" t="s">
        <v>1601</v>
      </c>
      <c r="H287" s="47">
        <v>58</v>
      </c>
      <c r="I287" s="60">
        <v>24729</v>
      </c>
      <c r="J287" s="56" t="s">
        <v>1611</v>
      </c>
      <c r="K287" s="56">
        <v>2019</v>
      </c>
      <c r="L287" s="52">
        <f t="shared" si="13"/>
        <v>31262.577499999999</v>
      </c>
      <c r="M287" s="56">
        <f>LISTAS!$B$22*_xlfn.XLOOKUP(G287,LISTAS!$B$27:$B$36,LISTAS!$A$27:$A$36)*_xlfn.XLOOKUP(H287,LISTAS!$B$38:$B$47,LISTAS!$A$38:$A$47,,-1)*_xlfn.XLOOKUP(J287,LISTAS!$E$26:$H$26,LISTAS!$E$48:$H$48)*_xlfn.XLOOKUP(F287,LISTAS!$A$15:$A$18,LISTAS!$H$15:$H$18)</f>
        <v>1.5869999999999999E-2</v>
      </c>
      <c r="N287" s="54" cm="1">
        <f t="array" ref="N287">_xlfn.XLOOKUP(K287,LISTAS!$D$27:$D$47,_xlfn.XLOOKUP(J287,LISTAS!$E$26:$H$26,LISTAS!$E$27:$H$47))</f>
        <v>23639000</v>
      </c>
      <c r="O287" s="56" t="s">
        <v>1623</v>
      </c>
      <c r="P287" s="76" t="str">
        <f t="shared" ca="1" si="14"/>
        <v>Vencida</v>
      </c>
    </row>
    <row r="288" spans="1:16" x14ac:dyDescent="0.3">
      <c r="A288" s="58" t="s">
        <v>578</v>
      </c>
      <c r="B288" s="56" t="s">
        <v>13</v>
      </c>
      <c r="C288" s="50" t="str">
        <f>_xlfn.XLOOKUP(B288,CLIENTES!$A$2:$A$301,CLIENTES!$B$2:$B$301)</f>
        <v>Camila Navarro</v>
      </c>
      <c r="D288" s="60">
        <v>45708</v>
      </c>
      <c r="E288" s="60">
        <f t="shared" si="12"/>
        <v>46073</v>
      </c>
      <c r="F288" s="50" t="s">
        <v>1598</v>
      </c>
      <c r="G288" s="56" t="s">
        <v>1599</v>
      </c>
      <c r="H288" s="47">
        <v>78</v>
      </c>
      <c r="I288" s="60">
        <v>17652</v>
      </c>
      <c r="J288" s="56" t="s">
        <v>1610</v>
      </c>
      <c r="K288" s="56">
        <v>2020</v>
      </c>
      <c r="L288" s="52">
        <f t="shared" si="13"/>
        <v>95758.376999999993</v>
      </c>
      <c r="M288" s="56">
        <f>LISTAS!$B$22*_xlfn.XLOOKUP(G288,LISTAS!$B$27:$B$36,LISTAS!$A$27:$A$36)*_xlfn.XLOOKUP(H288,LISTAS!$B$38:$B$47,LISTAS!$A$38:$A$47,,-1)*_xlfn.XLOOKUP(J288,LISTAS!$E$26:$H$26,LISTAS!$E$48:$H$48)*_xlfn.XLOOKUP(F288,LISTAS!$A$15:$A$18,LISTAS!$H$15:$H$18)</f>
        <v>4.9764000000000003E-2</v>
      </c>
      <c r="N288" s="54" cm="1">
        <f t="array" ref="N288">_xlfn.XLOOKUP(K288,LISTAS!$D$27:$D$47,_xlfn.XLOOKUP(J288,LISTAS!$E$26:$H$26,LISTAS!$E$27:$H$47))</f>
        <v>23091000</v>
      </c>
      <c r="O288" s="56" t="s">
        <v>1623</v>
      </c>
      <c r="P288" s="76" t="str">
        <f t="shared" ca="1" si="14"/>
        <v>Vencida</v>
      </c>
    </row>
    <row r="289" spans="1:16" x14ac:dyDescent="0.3">
      <c r="A289" s="58" t="s">
        <v>579</v>
      </c>
      <c r="B289" s="56" t="s">
        <v>67</v>
      </c>
      <c r="C289" s="50" t="str">
        <f>_xlfn.XLOOKUP(B289,CLIENTES!$A$2:$A$301,CLIENTES!$B$2:$B$301)</f>
        <v>Sebastián Molina</v>
      </c>
      <c r="D289" s="60">
        <v>45524</v>
      </c>
      <c r="E289" s="60">
        <f t="shared" si="12"/>
        <v>45889</v>
      </c>
      <c r="F289" s="50" t="s">
        <v>1596</v>
      </c>
      <c r="G289" s="56" t="s">
        <v>1601</v>
      </c>
      <c r="H289" s="47">
        <v>20</v>
      </c>
      <c r="I289" s="60">
        <v>38862</v>
      </c>
      <c r="J289" s="56" t="s">
        <v>1612</v>
      </c>
      <c r="K289" s="56">
        <v>2017</v>
      </c>
      <c r="L289" s="52">
        <f t="shared" si="13"/>
        <v>35717.850000000006</v>
      </c>
      <c r="M289" s="56">
        <f>LISTAS!$B$22*_xlfn.XLOOKUP(G289,LISTAS!$B$27:$B$36,LISTAS!$A$27:$A$36)*_xlfn.XLOOKUP(H289,LISTAS!$B$38:$B$47,LISTAS!$A$38:$A$47,,-1)*_xlfn.XLOOKUP(J289,LISTAS!$E$26:$H$26,LISTAS!$E$48:$H$48)*_xlfn.XLOOKUP(F289,LISTAS!$A$15:$A$18,LISTAS!$H$15:$H$18)</f>
        <v>3.0791250000000006E-2</v>
      </c>
      <c r="N289" s="54" cm="1">
        <f t="array" ref="N289">_xlfn.XLOOKUP(K289,LISTAS!$D$27:$D$47,_xlfn.XLOOKUP(J289,LISTAS!$E$26:$H$26,LISTAS!$E$27:$H$47))</f>
        <v>13920000</v>
      </c>
      <c r="O289" s="56" t="s">
        <v>1623</v>
      </c>
      <c r="P289" s="76" t="str">
        <f t="shared" ca="1" si="14"/>
        <v>Vencida</v>
      </c>
    </row>
    <row r="290" spans="1:16" x14ac:dyDescent="0.3">
      <c r="A290" s="58" t="s">
        <v>580</v>
      </c>
      <c r="B290" s="56" t="s">
        <v>224</v>
      </c>
      <c r="C290" s="50" t="str">
        <f>_xlfn.XLOOKUP(B290,CLIENTES!$A$2:$A$301,CLIENTES!$B$2:$B$301)</f>
        <v>Martín Gutiérrez</v>
      </c>
      <c r="D290" s="60">
        <v>46093</v>
      </c>
      <c r="E290" s="60">
        <f t="shared" si="12"/>
        <v>46458</v>
      </c>
      <c r="F290" s="50" t="s">
        <v>1597</v>
      </c>
      <c r="G290" s="56" t="s">
        <v>1606</v>
      </c>
      <c r="H290" s="47">
        <v>75</v>
      </c>
      <c r="I290" s="60">
        <v>18581</v>
      </c>
      <c r="J290" s="56" t="s">
        <v>1609</v>
      </c>
      <c r="K290" s="56">
        <v>2025</v>
      </c>
      <c r="L290" s="52">
        <f t="shared" si="13"/>
        <v>61141.666666666664</v>
      </c>
      <c r="M290" s="56">
        <f>LISTAS!$B$22*_xlfn.XLOOKUP(G290,LISTAS!$B$27:$B$36,LISTAS!$A$27:$A$36)*_xlfn.XLOOKUP(H290,LISTAS!$B$38:$B$47,LISTAS!$A$38:$A$47,,-1)*_xlfn.XLOOKUP(J290,LISTAS!$E$26:$H$26,LISTAS!$E$48:$H$48)*_xlfn.XLOOKUP(F290,LISTAS!$A$15:$A$18,LISTAS!$H$15:$H$18)</f>
        <v>3.1899999999999998E-2</v>
      </c>
      <c r="N290" s="54" cm="1">
        <f t="array" ref="N290">_xlfn.XLOOKUP(K290,LISTAS!$D$27:$D$47,_xlfn.XLOOKUP(J290,LISTAS!$E$26:$H$26,LISTAS!$E$27:$H$47))</f>
        <v>23000000</v>
      </c>
      <c r="O290" s="56" t="s">
        <v>1624</v>
      </c>
      <c r="P290" s="76" t="str">
        <f t="shared" ca="1" si="14"/>
        <v>Vigente</v>
      </c>
    </row>
    <row r="291" spans="1:16" x14ac:dyDescent="0.3">
      <c r="A291" s="58" t="s">
        <v>581</v>
      </c>
      <c r="B291" s="56" t="s">
        <v>292</v>
      </c>
      <c r="C291" s="50" t="str">
        <f>_xlfn.XLOOKUP(B291,CLIENTES!$A$2:$A$301,CLIENTES!$B$2:$B$301)</f>
        <v>Paula Mansilla</v>
      </c>
      <c r="D291" s="60">
        <v>46119</v>
      </c>
      <c r="E291" s="60">
        <f t="shared" si="12"/>
        <v>46484</v>
      </c>
      <c r="F291" s="50" t="s">
        <v>1597</v>
      </c>
      <c r="G291" s="56" t="s">
        <v>1601</v>
      </c>
      <c r="H291" s="47">
        <v>42</v>
      </c>
      <c r="I291" s="60">
        <v>30605</v>
      </c>
      <c r="J291" s="56" t="s">
        <v>1611</v>
      </c>
      <c r="K291" s="56">
        <v>2025</v>
      </c>
      <c r="L291" s="52">
        <f t="shared" si="13"/>
        <v>95358.862499999988</v>
      </c>
      <c r="M291" s="56">
        <f>LISTAS!$B$22*_xlfn.XLOOKUP(G291,LISTAS!$B$27:$B$36,LISTAS!$A$27:$A$36)*_xlfn.XLOOKUP(H291,LISTAS!$B$38:$B$47,LISTAS!$A$38:$A$47,,-1)*_xlfn.XLOOKUP(J291,LISTAS!$E$26:$H$26,LISTAS!$E$48:$H$48)*_xlfn.XLOOKUP(F291,LISTAS!$A$15:$A$18,LISTAS!$H$15:$H$18)</f>
        <v>2.7640249999999998E-2</v>
      </c>
      <c r="N291" s="54" cm="1">
        <f t="array" ref="N291">_xlfn.XLOOKUP(K291,LISTAS!$D$27:$D$47,_xlfn.XLOOKUP(J291,LISTAS!$E$26:$H$26,LISTAS!$E$27:$H$47))</f>
        <v>41400000</v>
      </c>
      <c r="O291" s="56" t="s">
        <v>1623</v>
      </c>
      <c r="P291" s="76" t="str">
        <f t="shared" ca="1" si="14"/>
        <v>Vigente</v>
      </c>
    </row>
    <row r="292" spans="1:16" x14ac:dyDescent="0.3">
      <c r="A292" s="58" t="s">
        <v>582</v>
      </c>
      <c r="B292" s="56" t="s">
        <v>196</v>
      </c>
      <c r="C292" s="50" t="str">
        <f>_xlfn.XLOOKUP(B292,CLIENTES!$A$2:$A$301,CLIENTES!$B$2:$B$301)</f>
        <v>Pablo Suárez</v>
      </c>
      <c r="D292" s="60">
        <v>45765</v>
      </c>
      <c r="E292" s="60">
        <f t="shared" si="12"/>
        <v>46130</v>
      </c>
      <c r="F292" s="50" t="s">
        <v>1595</v>
      </c>
      <c r="G292" s="56" t="s">
        <v>1603</v>
      </c>
      <c r="H292" s="47">
        <v>19</v>
      </c>
      <c r="I292" s="60">
        <v>38956</v>
      </c>
      <c r="J292" s="56" t="s">
        <v>1612</v>
      </c>
      <c r="K292" s="56">
        <v>2007</v>
      </c>
      <c r="L292" s="52">
        <f t="shared" si="13"/>
        <v>9809.4149999999991</v>
      </c>
      <c r="M292" s="56">
        <f>LISTAS!$B$22*_xlfn.XLOOKUP(G292,LISTAS!$B$27:$B$36,LISTAS!$A$27:$A$36)*_xlfn.XLOOKUP(H292,LISTAS!$B$38:$B$47,LISTAS!$A$38:$A$47,,-1)*_xlfn.XLOOKUP(J292,LISTAS!$E$26:$H$26,LISTAS!$E$48:$H$48)*_xlfn.XLOOKUP(F292,LISTAS!$A$15:$A$18,LISTAS!$H$15:$H$18)</f>
        <v>1.7954999999999999E-2</v>
      </c>
      <c r="N292" s="54" cm="1">
        <f t="array" ref="N292">_xlfn.XLOOKUP(K292,LISTAS!$D$27:$D$47,_xlfn.XLOOKUP(J292,LISTAS!$E$26:$H$26,LISTAS!$E$27:$H$47))</f>
        <v>6556000</v>
      </c>
      <c r="O292" s="56" t="s">
        <v>1623</v>
      </c>
      <c r="P292" s="76" t="str">
        <f t="shared" ca="1" si="14"/>
        <v>Vencida</v>
      </c>
    </row>
    <row r="293" spans="1:16" x14ac:dyDescent="0.3">
      <c r="A293" s="58" t="s">
        <v>583</v>
      </c>
      <c r="B293" s="56" t="s">
        <v>103</v>
      </c>
      <c r="C293" s="50" t="str">
        <f>_xlfn.XLOOKUP(B293,CLIENTES!$A$2:$A$301,CLIENTES!$B$2:$B$301)</f>
        <v>Gabriel Pereyra</v>
      </c>
      <c r="D293" s="60">
        <v>46133</v>
      </c>
      <c r="E293" s="60">
        <f t="shared" si="12"/>
        <v>46498</v>
      </c>
      <c r="F293" s="50" t="s">
        <v>1595</v>
      </c>
      <c r="G293" s="56" t="s">
        <v>1600</v>
      </c>
      <c r="H293" s="47">
        <v>38</v>
      </c>
      <c r="I293" s="60">
        <v>32186</v>
      </c>
      <c r="J293" s="56" t="s">
        <v>1610</v>
      </c>
      <c r="K293" s="56">
        <v>2023</v>
      </c>
      <c r="L293" s="52">
        <f t="shared" si="13"/>
        <v>38762.129999999997</v>
      </c>
      <c r="M293" s="56">
        <f>LISTAS!$B$22*_xlfn.XLOOKUP(G293,LISTAS!$B$27:$B$36,LISTAS!$A$27:$A$36)*_xlfn.XLOOKUP(H293,LISTAS!$B$38:$B$47,LISTAS!$A$38:$A$47,,-1)*_xlfn.XLOOKUP(J293,LISTAS!$E$26:$H$26,LISTAS!$E$48:$H$48)*_xlfn.XLOOKUP(F293,LISTAS!$A$15:$A$18,LISTAS!$H$15:$H$18)</f>
        <v>1.5180000000000001E-2</v>
      </c>
      <c r="N293" s="54" cm="1">
        <f t="array" ref="N293">_xlfn.XLOOKUP(K293,LISTAS!$D$27:$D$47,_xlfn.XLOOKUP(J293,LISTAS!$E$26:$H$26,LISTAS!$E$27:$H$47))</f>
        <v>30642000</v>
      </c>
      <c r="O293" s="56" t="s">
        <v>1626</v>
      </c>
      <c r="P293" s="76" t="str">
        <f t="shared" ca="1" si="14"/>
        <v>Vigente</v>
      </c>
    </row>
    <row r="294" spans="1:16" x14ac:dyDescent="0.3">
      <c r="A294" s="58" t="s">
        <v>584</v>
      </c>
      <c r="B294" s="56" t="s">
        <v>167</v>
      </c>
      <c r="C294" s="50" t="str">
        <f>_xlfn.XLOOKUP(B294,CLIENTES!$A$2:$A$301,CLIENTES!$B$2:$B$301)</f>
        <v>Diego Herrera</v>
      </c>
      <c r="D294" s="60">
        <v>45932</v>
      </c>
      <c r="E294" s="60">
        <f t="shared" si="12"/>
        <v>46297</v>
      </c>
      <c r="F294" s="50" t="s">
        <v>1597</v>
      </c>
      <c r="G294" s="56" t="s">
        <v>1602</v>
      </c>
      <c r="H294" s="47">
        <v>42</v>
      </c>
      <c r="I294" s="60">
        <v>30890</v>
      </c>
      <c r="J294" s="56" t="s">
        <v>1609</v>
      </c>
      <c r="K294" s="56">
        <v>2020</v>
      </c>
      <c r="L294" s="52">
        <f t="shared" si="13"/>
        <v>26392.52</v>
      </c>
      <c r="M294" s="56">
        <f>LISTAS!$B$22*_xlfn.XLOOKUP(G294,LISTAS!$B$27:$B$36,LISTAS!$A$27:$A$36)*_xlfn.XLOOKUP(H294,LISTAS!$B$38:$B$47,LISTAS!$A$38:$A$47,,-1)*_xlfn.XLOOKUP(J294,LISTAS!$E$26:$H$26,LISTAS!$E$48:$H$48)*_xlfn.XLOOKUP(F294,LISTAS!$A$15:$A$18,LISTAS!$H$15:$H$18)</f>
        <v>2.1944999999999999E-2</v>
      </c>
      <c r="N294" s="54" cm="1">
        <f t="array" ref="N294">_xlfn.XLOOKUP(K294,LISTAS!$D$27:$D$47,_xlfn.XLOOKUP(J294,LISTAS!$E$26:$H$26,LISTAS!$E$27:$H$47))</f>
        <v>14432000</v>
      </c>
      <c r="O294" s="56" t="s">
        <v>1623</v>
      </c>
      <c r="P294" s="76" t="str">
        <f t="shared" ca="1" si="14"/>
        <v>Vigente</v>
      </c>
    </row>
    <row r="295" spans="1:16" x14ac:dyDescent="0.3">
      <c r="A295" s="58" t="s">
        <v>585</v>
      </c>
      <c r="B295" s="56" t="s">
        <v>49</v>
      </c>
      <c r="C295" s="50" t="str">
        <f>_xlfn.XLOOKUP(B295,CLIENTES!$A$2:$A$301,CLIENTES!$B$2:$B$301)</f>
        <v>Mateo Torres</v>
      </c>
      <c r="D295" s="60">
        <v>45196</v>
      </c>
      <c r="E295" s="60">
        <f t="shared" si="12"/>
        <v>45562</v>
      </c>
      <c r="F295" s="50" t="s">
        <v>1597</v>
      </c>
      <c r="G295" s="56" t="s">
        <v>1607</v>
      </c>
      <c r="H295" s="47">
        <v>68</v>
      </c>
      <c r="I295" s="60">
        <v>21360</v>
      </c>
      <c r="J295" s="56" t="s">
        <v>1609</v>
      </c>
      <c r="K295" s="56">
        <v>2021</v>
      </c>
      <c r="L295" s="52">
        <f t="shared" si="13"/>
        <v>36779.664166666669</v>
      </c>
      <c r="M295" s="56">
        <f>LISTAS!$B$22*_xlfn.XLOOKUP(G295,LISTAS!$B$27:$B$36,LISTAS!$A$27:$A$36)*_xlfn.XLOOKUP(H295,LISTAS!$B$38:$B$47,LISTAS!$A$38:$A$47,,-1)*_xlfn.XLOOKUP(J295,LISTAS!$E$26:$H$26,LISTAS!$E$48:$H$48)*_xlfn.XLOOKUP(F295,LISTAS!$A$15:$A$18,LISTAS!$H$15:$H$18)</f>
        <v>2.7830000000000001E-2</v>
      </c>
      <c r="N295" s="54" cm="1">
        <f t="array" ref="N295">_xlfn.XLOOKUP(K295,LISTAS!$D$27:$D$47,_xlfn.XLOOKUP(J295,LISTAS!$E$26:$H$26,LISTAS!$E$27:$H$47))</f>
        <v>15859000</v>
      </c>
      <c r="O295" s="56" t="s">
        <v>1623</v>
      </c>
      <c r="P295" s="76" t="str">
        <f t="shared" ca="1" si="14"/>
        <v>Vencida</v>
      </c>
    </row>
    <row r="296" spans="1:16" x14ac:dyDescent="0.3">
      <c r="A296" s="58" t="s">
        <v>586</v>
      </c>
      <c r="B296" s="56" t="s">
        <v>96</v>
      </c>
      <c r="C296" s="50" t="str">
        <f>_xlfn.XLOOKUP(B296,CLIENTES!$A$2:$A$301,CLIENTES!$B$2:$B$301)</f>
        <v>Lautaro Rojas</v>
      </c>
      <c r="D296" s="60">
        <v>45106</v>
      </c>
      <c r="E296" s="60">
        <f t="shared" si="12"/>
        <v>45472</v>
      </c>
      <c r="F296" s="50" t="s">
        <v>1596</v>
      </c>
      <c r="G296" s="56" t="s">
        <v>1606</v>
      </c>
      <c r="H296" s="47">
        <v>22</v>
      </c>
      <c r="I296" s="60">
        <v>38203</v>
      </c>
      <c r="J296" s="56" t="s">
        <v>1609</v>
      </c>
      <c r="K296" s="56">
        <v>2025</v>
      </c>
      <c r="L296" s="52">
        <f t="shared" si="13"/>
        <v>43987.5</v>
      </c>
      <c r="M296" s="56">
        <f>LISTAS!$B$22*_xlfn.XLOOKUP(G296,LISTAS!$B$27:$B$36,LISTAS!$A$27:$A$36)*_xlfn.XLOOKUP(H296,LISTAS!$B$38:$B$47,LISTAS!$A$38:$A$47,,-1)*_xlfn.XLOOKUP(J296,LISTAS!$E$26:$H$26,LISTAS!$E$48:$H$48)*_xlfn.XLOOKUP(F296,LISTAS!$A$15:$A$18,LISTAS!$H$15:$H$18)</f>
        <v>2.2950000000000002E-2</v>
      </c>
      <c r="N296" s="54" cm="1">
        <f t="array" ref="N296">_xlfn.XLOOKUP(K296,LISTAS!$D$27:$D$47,_xlfn.XLOOKUP(J296,LISTAS!$E$26:$H$26,LISTAS!$E$27:$H$47))</f>
        <v>23000000</v>
      </c>
      <c r="O296" s="56" t="s">
        <v>1623</v>
      </c>
      <c r="P296" s="76" t="str">
        <f t="shared" ca="1" si="14"/>
        <v>Vencida</v>
      </c>
    </row>
    <row r="297" spans="1:16" x14ac:dyDescent="0.3">
      <c r="A297" s="58" t="s">
        <v>587</v>
      </c>
      <c r="B297" s="56" t="s">
        <v>61</v>
      </c>
      <c r="C297" s="50" t="str">
        <f>_xlfn.XLOOKUP(B297,CLIENTES!$A$2:$A$301,CLIENTES!$B$2:$B$301)</f>
        <v>Mariana Ponce</v>
      </c>
      <c r="D297" s="60">
        <v>44847</v>
      </c>
      <c r="E297" s="60">
        <f t="shared" si="12"/>
        <v>45212</v>
      </c>
      <c r="F297" s="50" t="s">
        <v>1597</v>
      </c>
      <c r="G297" s="56" t="s">
        <v>1600</v>
      </c>
      <c r="H297" s="47">
        <v>63</v>
      </c>
      <c r="I297" s="60">
        <v>22928</v>
      </c>
      <c r="J297" s="56" t="s">
        <v>1609</v>
      </c>
      <c r="K297" s="56">
        <v>2021</v>
      </c>
      <c r="L297" s="52">
        <f t="shared" si="13"/>
        <v>35107.861250000009</v>
      </c>
      <c r="M297" s="56">
        <f>LISTAS!$B$22*_xlfn.XLOOKUP(G297,LISTAS!$B$27:$B$36,LISTAS!$A$27:$A$36)*_xlfn.XLOOKUP(H297,LISTAS!$B$38:$B$47,LISTAS!$A$38:$A$47,,-1)*_xlfn.XLOOKUP(J297,LISTAS!$E$26:$H$26,LISTAS!$E$48:$H$48)*_xlfn.XLOOKUP(F297,LISTAS!$A$15:$A$18,LISTAS!$H$15:$H$18)</f>
        <v>2.6565000000000005E-2</v>
      </c>
      <c r="N297" s="54" cm="1">
        <f t="array" ref="N297">_xlfn.XLOOKUP(K297,LISTAS!$D$27:$D$47,_xlfn.XLOOKUP(J297,LISTAS!$E$26:$H$26,LISTAS!$E$27:$H$47))</f>
        <v>15859000</v>
      </c>
      <c r="O297" s="56" t="s">
        <v>1624</v>
      </c>
      <c r="P297" s="76" t="str">
        <f t="shared" ca="1" si="14"/>
        <v>Vencida</v>
      </c>
    </row>
    <row r="298" spans="1:16" x14ac:dyDescent="0.3">
      <c r="A298" s="58" t="s">
        <v>588</v>
      </c>
      <c r="B298" s="56" t="s">
        <v>62</v>
      </c>
      <c r="C298" s="50" t="str">
        <f>_xlfn.XLOOKUP(B298,CLIENTES!$A$2:$A$301,CLIENTES!$B$2:$B$301)</f>
        <v>Federico Flores</v>
      </c>
      <c r="D298" s="60">
        <v>44547</v>
      </c>
      <c r="E298" s="60">
        <f t="shared" si="12"/>
        <v>44912</v>
      </c>
      <c r="F298" s="50" t="s">
        <v>1598</v>
      </c>
      <c r="G298" s="56" t="s">
        <v>1603</v>
      </c>
      <c r="H298" s="47">
        <v>80</v>
      </c>
      <c r="I298" s="60">
        <v>16867</v>
      </c>
      <c r="J298" s="56" t="s">
        <v>1610</v>
      </c>
      <c r="K298" s="56">
        <v>2024</v>
      </c>
      <c r="L298" s="52">
        <f t="shared" si="13"/>
        <v>110546.57900000001</v>
      </c>
      <c r="M298" s="56">
        <f>LISTAS!$B$22*_xlfn.XLOOKUP(G298,LISTAS!$B$27:$B$36,LISTAS!$A$27:$A$36)*_xlfn.XLOOKUP(H298,LISTAS!$B$38:$B$47,LISTAS!$A$38:$A$47,,-1)*_xlfn.XLOOKUP(J298,LISTAS!$E$26:$H$26,LISTAS!$E$48:$H$48)*_xlfn.XLOOKUP(F298,LISTAS!$A$15:$A$18,LISTAS!$H$15:$H$18)</f>
        <v>3.9396500000000001E-2</v>
      </c>
      <c r="N298" s="54" cm="1">
        <f t="array" ref="N298">_xlfn.XLOOKUP(K298,LISTAS!$D$27:$D$47,_xlfn.XLOOKUP(J298,LISTAS!$E$26:$H$26,LISTAS!$E$27:$H$47))</f>
        <v>33672000</v>
      </c>
      <c r="O298" s="56" t="s">
        <v>1624</v>
      </c>
      <c r="P298" s="76" t="str">
        <f t="shared" ca="1" si="14"/>
        <v>Vencida</v>
      </c>
    </row>
    <row r="299" spans="1:16" x14ac:dyDescent="0.3">
      <c r="A299" s="58" t="s">
        <v>589</v>
      </c>
      <c r="B299" s="56" t="s">
        <v>77</v>
      </c>
      <c r="C299" s="50" t="str">
        <f>_xlfn.XLOOKUP(B299,CLIENTES!$A$2:$A$301,CLIENTES!$B$2:$B$301)</f>
        <v>Matías Suárez</v>
      </c>
      <c r="D299" s="60">
        <v>45890</v>
      </c>
      <c r="E299" s="60">
        <f t="shared" si="12"/>
        <v>46255</v>
      </c>
      <c r="F299" s="50" t="s">
        <v>1598</v>
      </c>
      <c r="G299" s="56" t="s">
        <v>1606</v>
      </c>
      <c r="H299" s="47">
        <v>39</v>
      </c>
      <c r="I299" s="60">
        <v>31693</v>
      </c>
      <c r="J299" s="56" t="s">
        <v>1612</v>
      </c>
      <c r="K299" s="56">
        <v>2010</v>
      </c>
      <c r="L299" s="52">
        <f t="shared" si="13"/>
        <v>18149.95</v>
      </c>
      <c r="M299" s="56">
        <f>LISTAS!$B$22*_xlfn.XLOOKUP(G299,LISTAS!$B$27:$B$36,LISTAS!$A$27:$A$36)*_xlfn.XLOOKUP(H299,LISTAS!$B$38:$B$47,LISTAS!$A$38:$A$47,,-1)*_xlfn.XLOOKUP(J299,LISTAS!$E$26:$H$26,LISTAS!$E$48:$H$48)*_xlfn.XLOOKUP(F299,LISTAS!$A$15:$A$18,LISTAS!$H$15:$H$18)</f>
        <v>2.7300000000000001E-2</v>
      </c>
      <c r="N299" s="54" cm="1">
        <f t="array" ref="N299">_xlfn.XLOOKUP(K299,LISTAS!$D$27:$D$47,_xlfn.XLOOKUP(J299,LISTAS!$E$26:$H$26,LISTAS!$E$27:$H$47))</f>
        <v>7978000</v>
      </c>
      <c r="O299" s="56" t="s">
        <v>1626</v>
      </c>
      <c r="P299" s="76" t="str">
        <f t="shared" ca="1" si="14"/>
        <v>Vencida</v>
      </c>
    </row>
    <row r="300" spans="1:16" x14ac:dyDescent="0.3">
      <c r="A300" s="58" t="s">
        <v>590</v>
      </c>
      <c r="B300" s="56" t="s">
        <v>169</v>
      </c>
      <c r="C300" s="50" t="str">
        <f>_xlfn.XLOOKUP(B300,CLIENTES!$A$2:$A$301,CLIENTES!$B$2:$B$301)</f>
        <v>Pablo Ruiz</v>
      </c>
      <c r="D300" s="60">
        <v>45666</v>
      </c>
      <c r="E300" s="60">
        <f t="shared" si="12"/>
        <v>46031</v>
      </c>
      <c r="F300" s="50" t="s">
        <v>1597</v>
      </c>
      <c r="G300" s="56" t="s">
        <v>1601</v>
      </c>
      <c r="H300" s="47">
        <v>73</v>
      </c>
      <c r="I300" s="60">
        <v>19540</v>
      </c>
      <c r="J300" s="56" t="s">
        <v>1612</v>
      </c>
      <c r="K300" s="56">
        <v>2007</v>
      </c>
      <c r="L300" s="52">
        <f t="shared" si="13"/>
        <v>20318.683000000001</v>
      </c>
      <c r="M300" s="56">
        <f>LISTAS!$B$22*_xlfn.XLOOKUP(G300,LISTAS!$B$27:$B$36,LISTAS!$A$27:$A$36)*_xlfn.XLOOKUP(H300,LISTAS!$B$38:$B$47,LISTAS!$A$38:$A$47,,-1)*_xlfn.XLOOKUP(J300,LISTAS!$E$26:$H$26,LISTAS!$E$48:$H$48)*_xlfn.XLOOKUP(F300,LISTAS!$A$15:$A$18,LISTAS!$H$15:$H$18)</f>
        <v>3.7191000000000002E-2</v>
      </c>
      <c r="N300" s="54" cm="1">
        <f t="array" ref="N300">_xlfn.XLOOKUP(K300,LISTAS!$D$27:$D$47,_xlfn.XLOOKUP(J300,LISTAS!$E$26:$H$26,LISTAS!$E$27:$H$47))</f>
        <v>6556000</v>
      </c>
      <c r="O300" s="56" t="s">
        <v>1625</v>
      </c>
      <c r="P300" s="76" t="str">
        <f t="shared" ca="1" si="14"/>
        <v>Vencida</v>
      </c>
    </row>
    <row r="301" spans="1:16" x14ac:dyDescent="0.3">
      <c r="A301" s="58" t="s">
        <v>591</v>
      </c>
      <c r="B301" s="56" t="s">
        <v>42</v>
      </c>
      <c r="C301" s="50" t="str">
        <f>_xlfn.XLOOKUP(B301,CLIENTES!$A$2:$A$301,CLIENTES!$B$2:$B$301)</f>
        <v>Pablo Torres</v>
      </c>
      <c r="D301" s="60">
        <v>45530</v>
      </c>
      <c r="E301" s="60">
        <f t="shared" si="12"/>
        <v>45895</v>
      </c>
      <c r="F301" s="50" t="s">
        <v>1596</v>
      </c>
      <c r="G301" s="56" t="s">
        <v>1604</v>
      </c>
      <c r="H301" s="47">
        <v>32</v>
      </c>
      <c r="I301" s="60">
        <v>34240</v>
      </c>
      <c r="J301" s="56" t="s">
        <v>1610</v>
      </c>
      <c r="K301" s="56">
        <v>2023</v>
      </c>
      <c r="L301" s="52">
        <f t="shared" si="13"/>
        <v>50137.972500000003</v>
      </c>
      <c r="M301" s="56">
        <f>LISTAS!$B$22*_xlfn.XLOOKUP(G301,LISTAS!$B$27:$B$36,LISTAS!$A$27:$A$36)*_xlfn.XLOOKUP(H301,LISTAS!$B$38:$B$47,LISTAS!$A$38:$A$47,,-1)*_xlfn.XLOOKUP(J301,LISTAS!$E$26:$H$26,LISTAS!$E$48:$H$48)*_xlfn.XLOOKUP(F301,LISTAS!$A$15:$A$18,LISTAS!$H$15:$H$18)</f>
        <v>1.9635000000000003E-2</v>
      </c>
      <c r="N301" s="54" cm="1">
        <f t="array" ref="N301">_xlfn.XLOOKUP(K301,LISTAS!$D$27:$D$47,_xlfn.XLOOKUP(J301,LISTAS!$E$26:$H$26,LISTAS!$E$27:$H$47))</f>
        <v>30642000</v>
      </c>
      <c r="O301" s="56" t="s">
        <v>1625</v>
      </c>
      <c r="P301" s="76" t="str">
        <f t="shared" ca="1" si="14"/>
        <v>Vencida</v>
      </c>
    </row>
    <row r="302" spans="1:16" x14ac:dyDescent="0.3">
      <c r="A302" s="58" t="s">
        <v>592</v>
      </c>
      <c r="B302" s="56" t="s">
        <v>133</v>
      </c>
      <c r="C302" s="50" t="str">
        <f>_xlfn.XLOOKUP(B302,CLIENTES!$A$2:$A$301,CLIENTES!$B$2:$B$301)</f>
        <v>Fernando Medina</v>
      </c>
      <c r="D302" s="60">
        <v>44960</v>
      </c>
      <c r="E302" s="60">
        <f t="shared" si="12"/>
        <v>45325</v>
      </c>
      <c r="F302" s="50" t="s">
        <v>1595</v>
      </c>
      <c r="G302" s="56" t="s">
        <v>1599</v>
      </c>
      <c r="H302" s="47">
        <v>47</v>
      </c>
      <c r="I302" s="60">
        <v>28743</v>
      </c>
      <c r="J302" s="56" t="s">
        <v>1611</v>
      </c>
      <c r="K302" s="56">
        <v>2024</v>
      </c>
      <c r="L302" s="52">
        <f t="shared" si="13"/>
        <v>49661.991000000002</v>
      </c>
      <c r="M302" s="56">
        <f>LISTAS!$B$22*_xlfn.XLOOKUP(G302,LISTAS!$B$27:$B$36,LISTAS!$A$27:$A$36)*_xlfn.XLOOKUP(H302,LISTAS!$B$38:$B$47,LISTAS!$A$38:$A$47,,-1)*_xlfn.XLOOKUP(J302,LISTAS!$E$26:$H$26,LISTAS!$E$48:$H$48)*_xlfn.XLOOKUP(F302,LISTAS!$A$15:$A$18,LISTAS!$H$15:$H$18)</f>
        <v>1.5731999999999999E-2</v>
      </c>
      <c r="N302" s="54" cm="1">
        <f t="array" ref="N302">_xlfn.XLOOKUP(K302,LISTAS!$D$27:$D$47,_xlfn.XLOOKUP(J302,LISTAS!$E$26:$H$26,LISTAS!$E$27:$H$47))</f>
        <v>37881000</v>
      </c>
      <c r="O302" s="56" t="s">
        <v>1623</v>
      </c>
      <c r="P302" s="76" t="str">
        <f t="shared" ca="1" si="14"/>
        <v>Vencida</v>
      </c>
    </row>
    <row r="303" spans="1:16" x14ac:dyDescent="0.3">
      <c r="A303" s="58" t="s">
        <v>593</v>
      </c>
      <c r="B303" s="56" t="s">
        <v>15</v>
      </c>
      <c r="C303" s="50" t="str">
        <f>_xlfn.XLOOKUP(B303,CLIENTES!$A$2:$A$301,CLIENTES!$B$2:$B$301)</f>
        <v>Catalina Roldán</v>
      </c>
      <c r="D303" s="60">
        <v>45759</v>
      </c>
      <c r="E303" s="60">
        <f t="shared" si="12"/>
        <v>46124</v>
      </c>
      <c r="F303" s="50" t="s">
        <v>1595</v>
      </c>
      <c r="G303" s="56" t="s">
        <v>1606</v>
      </c>
      <c r="H303" s="47">
        <v>45</v>
      </c>
      <c r="I303" s="60">
        <v>29735</v>
      </c>
      <c r="J303" s="56" t="s">
        <v>1610</v>
      </c>
      <c r="K303" s="56">
        <v>2022</v>
      </c>
      <c r="L303" s="52">
        <f t="shared" si="13"/>
        <v>29138.780000000002</v>
      </c>
      <c r="M303" s="56">
        <f>LISTAS!$B$22*_xlfn.XLOOKUP(G303,LISTAS!$B$27:$B$36,LISTAS!$A$27:$A$36)*_xlfn.XLOOKUP(H303,LISTAS!$B$38:$B$47,LISTAS!$A$38:$A$47,,-1)*_xlfn.XLOOKUP(J303,LISTAS!$E$26:$H$26,LISTAS!$E$48:$H$48)*_xlfn.XLOOKUP(F303,LISTAS!$A$15:$A$18,LISTAS!$H$15:$H$18)</f>
        <v>1.2540000000000001E-2</v>
      </c>
      <c r="N303" s="54" cm="1">
        <f t="array" ref="N303">_xlfn.XLOOKUP(K303,LISTAS!$D$27:$D$47,_xlfn.XLOOKUP(J303,LISTAS!$E$26:$H$26,LISTAS!$E$27:$H$47))</f>
        <v>27884000</v>
      </c>
      <c r="O303" s="56" t="s">
        <v>1626</v>
      </c>
      <c r="P303" s="76" t="str">
        <f t="shared" ca="1" si="14"/>
        <v>Vencida</v>
      </c>
    </row>
    <row r="304" spans="1:16" x14ac:dyDescent="0.3">
      <c r="A304" s="58" t="s">
        <v>594</v>
      </c>
      <c r="B304" s="56" t="s">
        <v>149</v>
      </c>
      <c r="C304" s="50" t="str">
        <f>_xlfn.XLOOKUP(B304,CLIENTES!$A$2:$A$301,CLIENTES!$B$2:$B$301)</f>
        <v>Santiago Bravo</v>
      </c>
      <c r="D304" s="60">
        <v>44933</v>
      </c>
      <c r="E304" s="60">
        <f t="shared" si="12"/>
        <v>45298</v>
      </c>
      <c r="F304" s="50" t="s">
        <v>1597</v>
      </c>
      <c r="G304" s="56" t="s">
        <v>1607</v>
      </c>
      <c r="H304" s="47">
        <v>42</v>
      </c>
      <c r="I304" s="60">
        <v>30908</v>
      </c>
      <c r="J304" s="56" t="s">
        <v>1609</v>
      </c>
      <c r="K304" s="56">
        <v>2023</v>
      </c>
      <c r="L304" s="52">
        <f t="shared" si="13"/>
        <v>36690.124166666668</v>
      </c>
      <c r="M304" s="56">
        <f>LISTAS!$B$22*_xlfn.XLOOKUP(G304,LISTAS!$B$27:$B$36,LISTAS!$A$27:$A$36)*_xlfn.XLOOKUP(H304,LISTAS!$B$38:$B$47,LISTAS!$A$38:$A$47,,-1)*_xlfn.XLOOKUP(J304,LISTAS!$E$26:$H$26,LISTAS!$E$48:$H$48)*_xlfn.XLOOKUP(F304,LISTAS!$A$15:$A$18,LISTAS!$H$15:$H$18)</f>
        <v>2.2990000000000003E-2</v>
      </c>
      <c r="N304" s="54" cm="1">
        <f t="array" ref="N304">_xlfn.XLOOKUP(K304,LISTAS!$D$27:$D$47,_xlfn.XLOOKUP(J304,LISTAS!$E$26:$H$26,LISTAS!$E$27:$H$47))</f>
        <v>19151000</v>
      </c>
      <c r="O304" s="56" t="s">
        <v>1623</v>
      </c>
      <c r="P304" s="76" t="str">
        <f t="shared" ca="1" si="14"/>
        <v>Vencida</v>
      </c>
    </row>
    <row r="305" spans="1:16" x14ac:dyDescent="0.3">
      <c r="A305" s="58" t="s">
        <v>595</v>
      </c>
      <c r="B305" s="56" t="s">
        <v>214</v>
      </c>
      <c r="C305" s="50" t="str">
        <f>_xlfn.XLOOKUP(B305,CLIENTES!$A$2:$A$301,CLIENTES!$B$2:$B$301)</f>
        <v>Sofía Cabrera</v>
      </c>
      <c r="D305" s="60">
        <v>46185</v>
      </c>
      <c r="E305" s="60">
        <f t="shared" si="12"/>
        <v>46550</v>
      </c>
      <c r="F305" s="50" t="s">
        <v>1595</v>
      </c>
      <c r="G305" s="56" t="s">
        <v>1608</v>
      </c>
      <c r="H305" s="47">
        <v>55</v>
      </c>
      <c r="I305" s="60">
        <v>25922</v>
      </c>
      <c r="J305" s="56" t="s">
        <v>1612</v>
      </c>
      <c r="K305" s="56">
        <v>2024</v>
      </c>
      <c r="L305" s="52">
        <f t="shared" si="13"/>
        <v>26870.654999999999</v>
      </c>
      <c r="M305" s="56">
        <f>LISTAS!$B$22*_xlfn.XLOOKUP(G305,LISTAS!$B$27:$B$36,LISTAS!$A$27:$A$36)*_xlfn.XLOOKUP(H305,LISTAS!$B$38:$B$47,LISTAS!$A$38:$A$47,,-1)*_xlfn.XLOOKUP(J305,LISTAS!$E$26:$H$26,LISTAS!$E$48:$H$48)*_xlfn.XLOOKUP(F305,LISTAS!$A$15:$A$18,LISTAS!$H$15:$H$18)</f>
        <v>1.197E-2</v>
      </c>
      <c r="N305" s="54" cm="1">
        <f t="array" ref="N305">_xlfn.XLOOKUP(K305,LISTAS!$D$27:$D$47,_xlfn.XLOOKUP(J305,LISTAS!$E$26:$H$26,LISTAS!$E$27:$H$47))</f>
        <v>26938000</v>
      </c>
      <c r="O305" s="56" t="s">
        <v>1623</v>
      </c>
      <c r="P305" s="76" t="str">
        <f t="shared" ca="1" si="14"/>
        <v>Vigente</v>
      </c>
    </row>
    <row r="306" spans="1:16" x14ac:dyDescent="0.3">
      <c r="A306" s="58" t="s">
        <v>596</v>
      </c>
      <c r="B306" s="56" t="s">
        <v>117</v>
      </c>
      <c r="C306" s="50" t="str">
        <f>_xlfn.XLOOKUP(B306,CLIENTES!$A$2:$A$301,CLIENTES!$B$2:$B$301)</f>
        <v>Gonzalo Gómez</v>
      </c>
      <c r="D306" s="60">
        <v>44547</v>
      </c>
      <c r="E306" s="60">
        <f t="shared" si="12"/>
        <v>44912</v>
      </c>
      <c r="F306" s="50" t="s">
        <v>1597</v>
      </c>
      <c r="G306" s="56" t="s">
        <v>1599</v>
      </c>
      <c r="H306" s="47">
        <v>40</v>
      </c>
      <c r="I306" s="60">
        <v>31500</v>
      </c>
      <c r="J306" s="56" t="s">
        <v>1612</v>
      </c>
      <c r="K306" s="56">
        <v>2010</v>
      </c>
      <c r="L306" s="52">
        <f t="shared" si="13"/>
        <v>17507.721000000005</v>
      </c>
      <c r="M306" s="56">
        <f>LISTAS!$B$22*_xlfn.XLOOKUP(G306,LISTAS!$B$27:$B$36,LISTAS!$A$27:$A$36)*_xlfn.XLOOKUP(H306,LISTAS!$B$38:$B$47,LISTAS!$A$38:$A$47,,-1)*_xlfn.XLOOKUP(J306,LISTAS!$E$26:$H$26,LISTAS!$E$48:$H$48)*_xlfn.XLOOKUP(F306,LISTAS!$A$15:$A$18,LISTAS!$H$15:$H$18)</f>
        <v>2.6334000000000007E-2</v>
      </c>
      <c r="N306" s="54" cm="1">
        <f t="array" ref="N306">_xlfn.XLOOKUP(K306,LISTAS!$D$27:$D$47,_xlfn.XLOOKUP(J306,LISTAS!$E$26:$H$26,LISTAS!$E$27:$H$47))</f>
        <v>7978000</v>
      </c>
      <c r="O306" s="56" t="s">
        <v>1625</v>
      </c>
      <c r="P306" s="76" t="str">
        <f t="shared" ca="1" si="14"/>
        <v>Vencida</v>
      </c>
    </row>
    <row r="307" spans="1:16" x14ac:dyDescent="0.3">
      <c r="A307" s="58" t="s">
        <v>597</v>
      </c>
      <c r="B307" s="56" t="s">
        <v>196</v>
      </c>
      <c r="C307" s="50" t="str">
        <f>_xlfn.XLOOKUP(B307,CLIENTES!$A$2:$A$301,CLIENTES!$B$2:$B$301)</f>
        <v>Pablo Suárez</v>
      </c>
      <c r="D307" s="60">
        <v>45776</v>
      </c>
      <c r="E307" s="60">
        <f t="shared" si="12"/>
        <v>46141</v>
      </c>
      <c r="F307" s="50" t="s">
        <v>1596</v>
      </c>
      <c r="G307" s="56" t="s">
        <v>1602</v>
      </c>
      <c r="H307" s="47">
        <v>80</v>
      </c>
      <c r="I307" s="60">
        <v>16986</v>
      </c>
      <c r="J307" s="56" t="s">
        <v>1612</v>
      </c>
      <c r="K307" s="56">
        <v>2024</v>
      </c>
      <c r="L307" s="52">
        <f t="shared" si="13"/>
        <v>61006.993687500006</v>
      </c>
      <c r="M307" s="56">
        <f>LISTAS!$B$22*_xlfn.XLOOKUP(G307,LISTAS!$B$27:$B$36,LISTAS!$A$27:$A$36)*_xlfn.XLOOKUP(H307,LISTAS!$B$38:$B$47,LISTAS!$A$38:$A$47,,-1)*_xlfn.XLOOKUP(J307,LISTAS!$E$26:$H$26,LISTAS!$E$48:$H$48)*_xlfn.XLOOKUP(F307,LISTAS!$A$15:$A$18,LISTAS!$H$15:$H$18)</f>
        <v>2.7176624999999999E-2</v>
      </c>
      <c r="N307" s="54" cm="1">
        <f t="array" ref="N307">_xlfn.XLOOKUP(K307,LISTAS!$D$27:$D$47,_xlfn.XLOOKUP(J307,LISTAS!$E$26:$H$26,LISTAS!$E$27:$H$47))</f>
        <v>26938000</v>
      </c>
      <c r="O307" s="56" t="s">
        <v>1625</v>
      </c>
      <c r="P307" s="76" t="str">
        <f t="shared" ca="1" si="14"/>
        <v>Vencida</v>
      </c>
    </row>
    <row r="308" spans="1:16" x14ac:dyDescent="0.3">
      <c r="A308" s="58" t="s">
        <v>598</v>
      </c>
      <c r="B308" s="56" t="s">
        <v>8</v>
      </c>
      <c r="C308" s="50" t="str">
        <f>_xlfn.XLOOKUP(B308,CLIENTES!$A$2:$A$301,CLIENTES!$B$2:$B$301)</f>
        <v>Mariana Sánchez</v>
      </c>
      <c r="D308" s="60">
        <v>45408</v>
      </c>
      <c r="E308" s="60">
        <f t="shared" si="12"/>
        <v>45773</v>
      </c>
      <c r="F308" s="50" t="s">
        <v>1596</v>
      </c>
      <c r="G308" s="56" t="s">
        <v>1604</v>
      </c>
      <c r="H308" s="47">
        <v>75</v>
      </c>
      <c r="I308" s="60">
        <v>18710</v>
      </c>
      <c r="J308" s="56" t="s">
        <v>1609</v>
      </c>
      <c r="K308" s="56">
        <v>2024</v>
      </c>
      <c r="L308" s="52">
        <f t="shared" si="13"/>
        <v>45391.434375000004</v>
      </c>
      <c r="M308" s="56">
        <f>LISTAS!$B$22*_xlfn.XLOOKUP(G308,LISTAS!$B$27:$B$36,LISTAS!$A$27:$A$36)*_xlfn.XLOOKUP(H308,LISTAS!$B$38:$B$47,LISTAS!$A$38:$A$47,,-1)*_xlfn.XLOOKUP(J308,LISTAS!$E$26:$H$26,LISTAS!$E$48:$H$48)*_xlfn.XLOOKUP(F308,LISTAS!$A$15:$A$18,LISTAS!$H$15:$H$18)</f>
        <v>2.5882499999999999E-2</v>
      </c>
      <c r="N308" s="54" cm="1">
        <f t="array" ref="N308">_xlfn.XLOOKUP(K308,LISTAS!$D$27:$D$47,_xlfn.XLOOKUP(J308,LISTAS!$E$26:$H$26,LISTAS!$E$27:$H$47))</f>
        <v>21045000</v>
      </c>
      <c r="O308" s="56" t="s">
        <v>1623</v>
      </c>
      <c r="P308" s="76" t="str">
        <f t="shared" ca="1" si="14"/>
        <v>Vencida</v>
      </c>
    </row>
    <row r="309" spans="1:16" x14ac:dyDescent="0.3">
      <c r="A309" s="58" t="s">
        <v>599</v>
      </c>
      <c r="B309" s="56" t="s">
        <v>165</v>
      </c>
      <c r="C309" s="50" t="str">
        <f>_xlfn.XLOOKUP(B309,CLIENTES!$A$2:$A$301,CLIENTES!$B$2:$B$301)</f>
        <v>Gabriela Quiroga</v>
      </c>
      <c r="D309" s="60">
        <v>45874</v>
      </c>
      <c r="E309" s="60">
        <f t="shared" si="12"/>
        <v>46239</v>
      </c>
      <c r="F309" s="50" t="s">
        <v>1598</v>
      </c>
      <c r="G309" s="56" t="s">
        <v>1601</v>
      </c>
      <c r="H309" s="47">
        <v>47</v>
      </c>
      <c r="I309" s="60">
        <v>28857</v>
      </c>
      <c r="J309" s="56" t="s">
        <v>1610</v>
      </c>
      <c r="K309" s="56">
        <v>2015</v>
      </c>
      <c r="L309" s="52">
        <f t="shared" si="13"/>
        <v>38140.340333333334</v>
      </c>
      <c r="M309" s="56">
        <f>LISTAS!$B$22*_xlfn.XLOOKUP(G309,LISTAS!$B$27:$B$36,LISTAS!$A$27:$A$36)*_xlfn.XLOOKUP(H309,LISTAS!$B$38:$B$47,LISTAS!$A$38:$A$47,,-1)*_xlfn.XLOOKUP(J309,LISTAS!$E$26:$H$26,LISTAS!$E$48:$H$48)*_xlfn.XLOOKUP(F309,LISTAS!$A$15:$A$18,LISTAS!$H$15:$H$18)</f>
        <v>3.1245500000000002E-2</v>
      </c>
      <c r="N309" s="54" cm="1">
        <f t="array" ref="N309">_xlfn.XLOOKUP(K309,LISTAS!$D$27:$D$47,_xlfn.XLOOKUP(J309,LISTAS!$E$26:$H$26,LISTAS!$E$27:$H$47))</f>
        <v>14648000</v>
      </c>
      <c r="O309" s="56" t="s">
        <v>1624</v>
      </c>
      <c r="P309" s="76" t="str">
        <f t="shared" ca="1" si="14"/>
        <v>Vencida</v>
      </c>
    </row>
    <row r="310" spans="1:16" x14ac:dyDescent="0.3">
      <c r="A310" s="58" t="s">
        <v>600</v>
      </c>
      <c r="B310" s="56" t="s">
        <v>172</v>
      </c>
      <c r="C310" s="50" t="str">
        <f>_xlfn.XLOOKUP(B310,CLIENTES!$A$2:$A$301,CLIENTES!$B$2:$B$301)</f>
        <v>Rodrigo Molina</v>
      </c>
      <c r="D310" s="60">
        <v>46117</v>
      </c>
      <c r="E310" s="60">
        <f t="shared" si="12"/>
        <v>46482</v>
      </c>
      <c r="F310" s="50" t="s">
        <v>1595</v>
      </c>
      <c r="G310" s="56" t="s">
        <v>1600</v>
      </c>
      <c r="H310" s="47">
        <v>66</v>
      </c>
      <c r="I310" s="60">
        <v>21796</v>
      </c>
      <c r="J310" s="56" t="s">
        <v>1612</v>
      </c>
      <c r="K310" s="56">
        <v>2017</v>
      </c>
      <c r="L310" s="52">
        <f t="shared" si="13"/>
        <v>19329.659999999996</v>
      </c>
      <c r="M310" s="56">
        <f>LISTAS!$B$22*_xlfn.XLOOKUP(G310,LISTAS!$B$27:$B$36,LISTAS!$A$27:$A$36)*_xlfn.XLOOKUP(H310,LISTAS!$B$38:$B$47,LISTAS!$A$38:$A$47,,-1)*_xlfn.XLOOKUP(J310,LISTAS!$E$26:$H$26,LISTAS!$E$48:$H$48)*_xlfn.XLOOKUP(F310,LISTAS!$A$15:$A$18,LISTAS!$H$15:$H$18)</f>
        <v>1.6663499999999998E-2</v>
      </c>
      <c r="N310" s="54" cm="1">
        <f t="array" ref="N310">_xlfn.XLOOKUP(K310,LISTAS!$D$27:$D$47,_xlfn.XLOOKUP(J310,LISTAS!$E$26:$H$26,LISTAS!$E$27:$H$47))</f>
        <v>13920000</v>
      </c>
      <c r="O310" s="56" t="s">
        <v>1624</v>
      </c>
      <c r="P310" s="76" t="str">
        <f t="shared" ca="1" si="14"/>
        <v>Vigente</v>
      </c>
    </row>
    <row r="311" spans="1:16" x14ac:dyDescent="0.3">
      <c r="A311" s="58" t="s">
        <v>601</v>
      </c>
      <c r="B311" s="56" t="s">
        <v>173</v>
      </c>
      <c r="C311" s="50" t="str">
        <f>_xlfn.XLOOKUP(B311,CLIENTES!$A$2:$A$301,CLIENTES!$B$2:$B$301)</f>
        <v>Rodrigo Gutiérrez</v>
      </c>
      <c r="D311" s="60">
        <v>45089</v>
      </c>
      <c r="E311" s="60">
        <f t="shared" si="12"/>
        <v>45455</v>
      </c>
      <c r="F311" s="50" t="s">
        <v>1595</v>
      </c>
      <c r="G311" s="56" t="s">
        <v>1602</v>
      </c>
      <c r="H311" s="47">
        <v>72</v>
      </c>
      <c r="I311" s="60">
        <v>19669</v>
      </c>
      <c r="J311" s="56" t="s">
        <v>1609</v>
      </c>
      <c r="K311" s="56">
        <v>2022</v>
      </c>
      <c r="L311" s="52">
        <f t="shared" si="13"/>
        <v>25617.69</v>
      </c>
      <c r="M311" s="56">
        <f>LISTAS!$B$22*_xlfn.XLOOKUP(G311,LISTAS!$B$27:$B$36,LISTAS!$A$27:$A$36)*_xlfn.XLOOKUP(H311,LISTAS!$B$38:$B$47,LISTAS!$A$38:$A$47,,-1)*_xlfn.XLOOKUP(J311,LISTAS!$E$26:$H$26,LISTAS!$E$48:$H$48)*_xlfn.XLOOKUP(F311,LISTAS!$A$15:$A$18,LISTAS!$H$15:$H$18)</f>
        <v>1.7639999999999999E-2</v>
      </c>
      <c r="N311" s="54" cm="1">
        <f t="array" ref="N311">_xlfn.XLOOKUP(K311,LISTAS!$D$27:$D$47,_xlfn.XLOOKUP(J311,LISTAS!$E$26:$H$26,LISTAS!$E$27:$H$47))</f>
        <v>17427000</v>
      </c>
      <c r="O311" s="56" t="s">
        <v>1623</v>
      </c>
      <c r="P311" s="76" t="str">
        <f t="shared" ca="1" si="14"/>
        <v>Vencida</v>
      </c>
    </row>
    <row r="312" spans="1:16" x14ac:dyDescent="0.3">
      <c r="A312" s="58" t="s">
        <v>602</v>
      </c>
      <c r="B312" s="56" t="s">
        <v>244</v>
      </c>
      <c r="C312" s="50" t="str">
        <f>_xlfn.XLOOKUP(B312,CLIENTES!$A$2:$A$301,CLIENTES!$B$2:$B$301)</f>
        <v>Matías Medina</v>
      </c>
      <c r="D312" s="60">
        <v>45225</v>
      </c>
      <c r="E312" s="60">
        <f t="shared" si="12"/>
        <v>45591</v>
      </c>
      <c r="F312" s="50" t="s">
        <v>1598</v>
      </c>
      <c r="G312" s="56" t="s">
        <v>1600</v>
      </c>
      <c r="H312" s="47">
        <v>69</v>
      </c>
      <c r="I312" s="60">
        <v>21031</v>
      </c>
      <c r="J312" s="56" t="s">
        <v>1610</v>
      </c>
      <c r="K312" s="56">
        <v>2021</v>
      </c>
      <c r="L312" s="52">
        <f t="shared" si="13"/>
        <v>79977.79075</v>
      </c>
      <c r="M312" s="56">
        <f>LISTAS!$B$22*_xlfn.XLOOKUP(G312,LISTAS!$B$27:$B$36,LISTAS!$A$27:$A$36)*_xlfn.XLOOKUP(H312,LISTAS!$B$38:$B$47,LISTAS!$A$38:$A$47,,-1)*_xlfn.XLOOKUP(J312,LISTAS!$E$26:$H$26,LISTAS!$E$48:$H$48)*_xlfn.XLOOKUP(F312,LISTAS!$A$15:$A$18,LISTAS!$H$15:$H$18)</f>
        <v>3.7823500000000003E-2</v>
      </c>
      <c r="N312" s="54" cm="1">
        <f t="array" ref="N312">_xlfn.XLOOKUP(K312,LISTAS!$D$27:$D$47,_xlfn.XLOOKUP(J312,LISTAS!$E$26:$H$26,LISTAS!$E$27:$H$47))</f>
        <v>25374000</v>
      </c>
      <c r="O312" s="56" t="s">
        <v>1623</v>
      </c>
      <c r="P312" s="76" t="str">
        <f t="shared" ca="1" si="14"/>
        <v>Vencida</v>
      </c>
    </row>
    <row r="313" spans="1:16" x14ac:dyDescent="0.3">
      <c r="A313" s="58" t="s">
        <v>603</v>
      </c>
      <c r="B313" s="56" t="s">
        <v>40</v>
      </c>
      <c r="C313" s="50" t="str">
        <f>_xlfn.XLOOKUP(B313,CLIENTES!$A$2:$A$301,CLIENTES!$B$2:$B$301)</f>
        <v>Andrés Martínez</v>
      </c>
      <c r="D313" s="60">
        <v>44979</v>
      </c>
      <c r="E313" s="60">
        <f t="shared" si="12"/>
        <v>45344</v>
      </c>
      <c r="F313" s="50" t="s">
        <v>1597</v>
      </c>
      <c r="G313" s="56" t="s">
        <v>1602</v>
      </c>
      <c r="H313" s="47">
        <v>62</v>
      </c>
      <c r="I313" s="60">
        <v>23477</v>
      </c>
      <c r="J313" s="56" t="s">
        <v>1610</v>
      </c>
      <c r="K313" s="56">
        <v>2021</v>
      </c>
      <c r="L313" s="52">
        <f t="shared" si="13"/>
        <v>56415.91725000002</v>
      </c>
      <c r="M313" s="56">
        <f>LISTAS!$B$22*_xlfn.XLOOKUP(G313,LISTAS!$B$27:$B$36,LISTAS!$A$27:$A$36)*_xlfn.XLOOKUP(H313,LISTAS!$B$38:$B$47,LISTAS!$A$38:$A$47,,-1)*_xlfn.XLOOKUP(J313,LISTAS!$E$26:$H$26,LISTAS!$E$48:$H$48)*_xlfn.XLOOKUP(F313,LISTAS!$A$15:$A$18,LISTAS!$H$15:$H$18)</f>
        <v>2.668050000000001E-2</v>
      </c>
      <c r="N313" s="54" cm="1">
        <f t="array" ref="N313">_xlfn.XLOOKUP(K313,LISTAS!$D$27:$D$47,_xlfn.XLOOKUP(J313,LISTAS!$E$26:$H$26,LISTAS!$E$27:$H$47))</f>
        <v>25374000</v>
      </c>
      <c r="O313" s="56" t="s">
        <v>1626</v>
      </c>
      <c r="P313" s="76" t="str">
        <f t="shared" ca="1" si="14"/>
        <v>Vencida</v>
      </c>
    </row>
    <row r="314" spans="1:16" x14ac:dyDescent="0.3">
      <c r="A314" s="58" t="s">
        <v>604</v>
      </c>
      <c r="B314" s="56" t="s">
        <v>19</v>
      </c>
      <c r="C314" s="50" t="str">
        <f>_xlfn.XLOOKUP(B314,CLIENTES!$A$2:$A$301,CLIENTES!$B$2:$B$301)</f>
        <v>Daniela Silva</v>
      </c>
      <c r="D314" s="60">
        <v>44490</v>
      </c>
      <c r="E314" s="60">
        <f t="shared" si="12"/>
        <v>44855</v>
      </c>
      <c r="F314" s="50" t="s">
        <v>1596</v>
      </c>
      <c r="G314" s="56" t="s">
        <v>1601</v>
      </c>
      <c r="H314" s="47">
        <v>65</v>
      </c>
      <c r="I314" s="60">
        <v>22292</v>
      </c>
      <c r="J314" s="56" t="s">
        <v>1609</v>
      </c>
      <c r="K314" s="56">
        <v>2024</v>
      </c>
      <c r="L314" s="52">
        <f t="shared" si="13"/>
        <v>39428.684374999997</v>
      </c>
      <c r="M314" s="56">
        <f>LISTAS!$B$22*_xlfn.XLOOKUP(G314,LISTAS!$B$27:$B$36,LISTAS!$A$27:$A$36)*_xlfn.XLOOKUP(H314,LISTAS!$B$38:$B$47,LISTAS!$A$38:$A$47,,-1)*_xlfn.XLOOKUP(J314,LISTAS!$E$26:$H$26,LISTAS!$E$48:$H$48)*_xlfn.XLOOKUP(F314,LISTAS!$A$15:$A$18,LISTAS!$H$15:$H$18)</f>
        <v>2.2482499999999999E-2</v>
      </c>
      <c r="N314" s="54" cm="1">
        <f t="array" ref="N314">_xlfn.XLOOKUP(K314,LISTAS!$D$27:$D$47,_xlfn.XLOOKUP(J314,LISTAS!$E$26:$H$26,LISTAS!$E$27:$H$47))</f>
        <v>21045000</v>
      </c>
      <c r="O314" s="56" t="s">
        <v>1624</v>
      </c>
      <c r="P314" s="76" t="str">
        <f t="shared" ca="1" si="14"/>
        <v>Vencida</v>
      </c>
    </row>
    <row r="315" spans="1:16" x14ac:dyDescent="0.3">
      <c r="A315" s="58" t="s">
        <v>605</v>
      </c>
      <c r="B315" s="56" t="s">
        <v>134</v>
      </c>
      <c r="C315" s="50" t="str">
        <f>_xlfn.XLOOKUP(B315,CLIENTES!$A$2:$A$301,CLIENTES!$B$2:$B$301)</f>
        <v>Micaela Bravo</v>
      </c>
      <c r="D315" s="60">
        <v>44596</v>
      </c>
      <c r="E315" s="60">
        <f t="shared" si="12"/>
        <v>44961</v>
      </c>
      <c r="F315" s="50" t="s">
        <v>1597</v>
      </c>
      <c r="G315" s="56" t="s">
        <v>1601</v>
      </c>
      <c r="H315" s="47">
        <v>24</v>
      </c>
      <c r="I315" s="60">
        <v>37431</v>
      </c>
      <c r="J315" s="56" t="s">
        <v>1612</v>
      </c>
      <c r="K315" s="56">
        <v>2020</v>
      </c>
      <c r="L315" s="52">
        <f t="shared" si="13"/>
        <v>55204.726500000012</v>
      </c>
      <c r="M315" s="56">
        <f>LISTAS!$B$22*_xlfn.XLOOKUP(G315,LISTAS!$B$27:$B$36,LISTAS!$A$27:$A$36)*_xlfn.XLOOKUP(H315,LISTAS!$B$38:$B$47,LISTAS!$A$38:$A$47,,-1)*_xlfn.XLOOKUP(J315,LISTAS!$E$26:$H$26,LISTAS!$E$48:$H$48)*_xlfn.XLOOKUP(F315,LISTAS!$A$15:$A$18,LISTAS!$H$15:$H$18)</f>
        <v>3.5862750000000006E-2</v>
      </c>
      <c r="N315" s="54" cm="1">
        <f t="array" ref="N315">_xlfn.XLOOKUP(K315,LISTAS!$D$27:$D$47,_xlfn.XLOOKUP(J315,LISTAS!$E$26:$H$26,LISTAS!$E$27:$H$47))</f>
        <v>18472000</v>
      </c>
      <c r="O315" s="56" t="s">
        <v>1623</v>
      </c>
      <c r="P315" s="76" t="str">
        <f t="shared" ca="1" si="14"/>
        <v>Vencida</v>
      </c>
    </row>
    <row r="316" spans="1:16" x14ac:dyDescent="0.3">
      <c r="A316" s="58" t="s">
        <v>606</v>
      </c>
      <c r="B316" s="56" t="s">
        <v>229</v>
      </c>
      <c r="C316" s="50" t="str">
        <f>_xlfn.XLOOKUP(B316,CLIENTES!$A$2:$A$301,CLIENTES!$B$2:$B$301)</f>
        <v>Martín González</v>
      </c>
      <c r="D316" s="60">
        <v>46022</v>
      </c>
      <c r="E316" s="60">
        <f t="shared" si="12"/>
        <v>46387</v>
      </c>
      <c r="F316" s="50" t="s">
        <v>1598</v>
      </c>
      <c r="G316" s="56" t="s">
        <v>1607</v>
      </c>
      <c r="H316" s="47">
        <v>58</v>
      </c>
      <c r="I316" s="60">
        <v>24746</v>
      </c>
      <c r="J316" s="56" t="s">
        <v>1611</v>
      </c>
      <c r="K316" s="56">
        <v>2016</v>
      </c>
      <c r="L316" s="52">
        <f t="shared" si="13"/>
        <v>49093.806666666671</v>
      </c>
      <c r="M316" s="56">
        <f>LISTAS!$B$22*_xlfn.XLOOKUP(G316,LISTAS!$B$27:$B$36,LISTAS!$A$27:$A$36)*_xlfn.XLOOKUP(H316,LISTAS!$B$38:$B$47,LISTAS!$A$38:$A$47,,-1)*_xlfn.XLOOKUP(J316,LISTAS!$E$26:$H$26,LISTAS!$E$48:$H$48)*_xlfn.XLOOKUP(F316,LISTAS!$A$15:$A$18,LISTAS!$H$15:$H$18)</f>
        <v>3.2890000000000003E-2</v>
      </c>
      <c r="N316" s="54" cm="1">
        <f t="array" ref="N316">_xlfn.XLOOKUP(K316,LISTAS!$D$27:$D$47,_xlfn.XLOOKUP(J316,LISTAS!$E$26:$H$26,LISTAS!$E$27:$H$47))</f>
        <v>17912000</v>
      </c>
      <c r="O316" s="56" t="s">
        <v>1624</v>
      </c>
      <c r="P316" s="76" t="str">
        <f t="shared" ca="1" si="14"/>
        <v>Vigente</v>
      </c>
    </row>
    <row r="317" spans="1:16" x14ac:dyDescent="0.3">
      <c r="A317" s="58" t="s">
        <v>607</v>
      </c>
      <c r="B317" s="56" t="s">
        <v>34</v>
      </c>
      <c r="C317" s="50" t="str">
        <f>_xlfn.XLOOKUP(B317,CLIENTES!$A$2:$A$301,CLIENTES!$B$2:$B$301)</f>
        <v>Alejandro López</v>
      </c>
      <c r="D317" s="60">
        <v>45452</v>
      </c>
      <c r="E317" s="60">
        <f t="shared" si="12"/>
        <v>45817</v>
      </c>
      <c r="F317" s="50" t="s">
        <v>1595</v>
      </c>
      <c r="G317" s="56" t="s">
        <v>1599</v>
      </c>
      <c r="H317" s="47">
        <v>76</v>
      </c>
      <c r="I317" s="60">
        <v>18232</v>
      </c>
      <c r="J317" s="56" t="s">
        <v>1610</v>
      </c>
      <c r="K317" s="56">
        <v>2023</v>
      </c>
      <c r="L317" s="52">
        <f t="shared" si="13"/>
        <v>58648.788</v>
      </c>
      <c r="M317" s="56">
        <f>LISTAS!$B$22*_xlfn.XLOOKUP(G317,LISTAS!$B$27:$B$36,LISTAS!$A$27:$A$36)*_xlfn.XLOOKUP(H317,LISTAS!$B$38:$B$47,LISTAS!$A$38:$A$47,,-1)*_xlfn.XLOOKUP(J317,LISTAS!$E$26:$H$26,LISTAS!$E$48:$H$48)*_xlfn.XLOOKUP(F317,LISTAS!$A$15:$A$18,LISTAS!$H$15:$H$18)</f>
        <v>2.2967999999999999E-2</v>
      </c>
      <c r="N317" s="54" cm="1">
        <f t="array" ref="N317">_xlfn.XLOOKUP(K317,LISTAS!$D$27:$D$47,_xlfn.XLOOKUP(J317,LISTAS!$E$26:$H$26,LISTAS!$E$27:$H$47))</f>
        <v>30642000</v>
      </c>
      <c r="O317" s="56" t="s">
        <v>1623</v>
      </c>
      <c r="P317" s="76" t="str">
        <f t="shared" ca="1" si="14"/>
        <v>Vencida</v>
      </c>
    </row>
    <row r="318" spans="1:16" x14ac:dyDescent="0.3">
      <c r="A318" s="58" t="s">
        <v>608</v>
      </c>
      <c r="B318" s="56" t="s">
        <v>13</v>
      </c>
      <c r="C318" s="50" t="str">
        <f>_xlfn.XLOOKUP(B318,CLIENTES!$A$2:$A$301,CLIENTES!$B$2:$B$301)</f>
        <v>Camila Navarro</v>
      </c>
      <c r="D318" s="60">
        <v>45090</v>
      </c>
      <c r="E318" s="60">
        <f t="shared" si="12"/>
        <v>45456</v>
      </c>
      <c r="F318" s="50" t="s">
        <v>1598</v>
      </c>
      <c r="G318" s="56" t="s">
        <v>1604</v>
      </c>
      <c r="H318" s="47">
        <v>61</v>
      </c>
      <c r="I318" s="60">
        <v>23827</v>
      </c>
      <c r="J318" s="56" t="s">
        <v>1612</v>
      </c>
      <c r="K318" s="56">
        <v>2020</v>
      </c>
      <c r="L318" s="52">
        <f t="shared" si="13"/>
        <v>46331.239500000018</v>
      </c>
      <c r="M318" s="56">
        <f>LISTAS!$B$22*_xlfn.XLOOKUP(G318,LISTAS!$B$27:$B$36,LISTAS!$A$27:$A$36)*_xlfn.XLOOKUP(H318,LISTAS!$B$38:$B$47,LISTAS!$A$38:$A$47,,-1)*_xlfn.XLOOKUP(J318,LISTAS!$E$26:$H$26,LISTAS!$E$48:$H$48)*_xlfn.XLOOKUP(F318,LISTAS!$A$15:$A$18,LISTAS!$H$15:$H$18)</f>
        <v>3.009825000000001E-2</v>
      </c>
      <c r="N318" s="54" cm="1">
        <f t="array" ref="N318">_xlfn.XLOOKUP(K318,LISTAS!$D$27:$D$47,_xlfn.XLOOKUP(J318,LISTAS!$E$26:$H$26,LISTAS!$E$27:$H$47))</f>
        <v>18472000</v>
      </c>
      <c r="O318" s="56" t="s">
        <v>1623</v>
      </c>
      <c r="P318" s="76" t="str">
        <f t="shared" ca="1" si="14"/>
        <v>Vencida</v>
      </c>
    </row>
    <row r="319" spans="1:16" x14ac:dyDescent="0.3">
      <c r="A319" s="58" t="s">
        <v>609</v>
      </c>
      <c r="B319" s="56" t="s">
        <v>182</v>
      </c>
      <c r="C319" s="50" t="str">
        <f>_xlfn.XLOOKUP(B319,CLIENTES!$A$2:$A$301,CLIENTES!$B$2:$B$301)</f>
        <v>Pablo Fernández</v>
      </c>
      <c r="D319" s="60">
        <v>44723</v>
      </c>
      <c r="E319" s="60">
        <f t="shared" si="12"/>
        <v>45088</v>
      </c>
      <c r="F319" s="50" t="s">
        <v>1597</v>
      </c>
      <c r="G319" s="56" t="s">
        <v>1606</v>
      </c>
      <c r="H319" s="47">
        <v>28</v>
      </c>
      <c r="I319" s="60">
        <v>35882</v>
      </c>
      <c r="J319" s="56" t="s">
        <v>1612</v>
      </c>
      <c r="K319" s="56">
        <v>2024</v>
      </c>
      <c r="L319" s="52">
        <f t="shared" si="13"/>
        <v>62226.78</v>
      </c>
      <c r="M319" s="56">
        <f>LISTAS!$B$22*_xlfn.XLOOKUP(G319,LISTAS!$B$27:$B$36,LISTAS!$A$27:$A$36)*_xlfn.XLOOKUP(H319,LISTAS!$B$38:$B$47,LISTAS!$A$38:$A$47,,-1)*_xlfn.XLOOKUP(J319,LISTAS!$E$26:$H$26,LISTAS!$E$48:$H$48)*_xlfn.XLOOKUP(F319,LISTAS!$A$15:$A$18,LISTAS!$H$15:$H$18)</f>
        <v>2.7720000000000002E-2</v>
      </c>
      <c r="N319" s="54" cm="1">
        <f t="array" ref="N319">_xlfn.XLOOKUP(K319,LISTAS!$D$27:$D$47,_xlfn.XLOOKUP(J319,LISTAS!$E$26:$H$26,LISTAS!$E$27:$H$47))</f>
        <v>26938000</v>
      </c>
      <c r="O319" s="56" t="s">
        <v>1624</v>
      </c>
      <c r="P319" s="76" t="str">
        <f t="shared" ca="1" si="14"/>
        <v>Vencida</v>
      </c>
    </row>
    <row r="320" spans="1:16" x14ac:dyDescent="0.3">
      <c r="A320" s="58" t="s">
        <v>610</v>
      </c>
      <c r="B320" s="56" t="s">
        <v>120</v>
      </c>
      <c r="C320" s="50" t="str">
        <f>_xlfn.XLOOKUP(B320,CLIENTES!$A$2:$A$301,CLIENTES!$B$2:$B$301)</f>
        <v>Micaela Fernández</v>
      </c>
      <c r="D320" s="60">
        <v>44655</v>
      </c>
      <c r="E320" s="60">
        <f t="shared" si="12"/>
        <v>45020</v>
      </c>
      <c r="F320" s="50" t="s">
        <v>1596</v>
      </c>
      <c r="G320" s="56" t="s">
        <v>1600</v>
      </c>
      <c r="H320" s="47">
        <v>25</v>
      </c>
      <c r="I320" s="60">
        <v>36967</v>
      </c>
      <c r="J320" s="56" t="s">
        <v>1609</v>
      </c>
      <c r="K320" s="56">
        <v>2024</v>
      </c>
      <c r="L320" s="52">
        <f t="shared" si="13"/>
        <v>41142.974999999999</v>
      </c>
      <c r="M320" s="56">
        <f>LISTAS!$B$22*_xlfn.XLOOKUP(G320,LISTAS!$B$27:$B$36,LISTAS!$A$27:$A$36)*_xlfn.XLOOKUP(H320,LISTAS!$B$38:$B$47,LISTAS!$A$38:$A$47,,-1)*_xlfn.XLOOKUP(J320,LISTAS!$E$26:$H$26,LISTAS!$E$48:$H$48)*_xlfn.XLOOKUP(F320,LISTAS!$A$15:$A$18,LISTAS!$H$15:$H$18)</f>
        <v>2.3459999999999998E-2</v>
      </c>
      <c r="N320" s="54" cm="1">
        <f t="array" ref="N320">_xlfn.XLOOKUP(K320,LISTAS!$D$27:$D$47,_xlfn.XLOOKUP(J320,LISTAS!$E$26:$H$26,LISTAS!$E$27:$H$47))</f>
        <v>21045000</v>
      </c>
      <c r="O320" s="56" t="s">
        <v>1623</v>
      </c>
      <c r="P320" s="76" t="str">
        <f t="shared" ca="1" si="14"/>
        <v>Vencida</v>
      </c>
    </row>
    <row r="321" spans="1:16" x14ac:dyDescent="0.3">
      <c r="A321" s="58" t="s">
        <v>611</v>
      </c>
      <c r="B321" s="56" t="s">
        <v>24</v>
      </c>
      <c r="C321" s="50" t="str">
        <f>_xlfn.XLOOKUP(B321,CLIENTES!$A$2:$A$301,CLIENTES!$B$2:$B$301)</f>
        <v>Pablo Álvarez</v>
      </c>
      <c r="D321" s="60">
        <v>44730</v>
      </c>
      <c r="E321" s="60">
        <f t="shared" si="12"/>
        <v>45095</v>
      </c>
      <c r="F321" s="50" t="s">
        <v>1597</v>
      </c>
      <c r="G321" s="56" t="s">
        <v>1601</v>
      </c>
      <c r="H321" s="47">
        <v>76</v>
      </c>
      <c r="I321" s="60">
        <v>18211</v>
      </c>
      <c r="J321" s="56" t="s">
        <v>1610</v>
      </c>
      <c r="K321" s="56">
        <v>2026</v>
      </c>
      <c r="L321" s="52">
        <f t="shared" si="13"/>
        <v>134511.66666666669</v>
      </c>
      <c r="M321" s="56">
        <f>LISTAS!$B$22*_xlfn.XLOOKUP(G321,LISTAS!$B$27:$B$36,LISTAS!$A$27:$A$36)*_xlfn.XLOOKUP(H321,LISTAS!$B$38:$B$47,LISTAS!$A$38:$A$47,,-1)*_xlfn.XLOOKUP(J321,LISTAS!$E$26:$H$26,LISTAS!$E$48:$H$48)*_xlfn.XLOOKUP(F321,LISTAS!$A$15:$A$18,LISTAS!$H$15:$H$18)</f>
        <v>4.0353500000000007E-2</v>
      </c>
      <c r="N321" s="54" cm="1">
        <f t="array" ref="N321">_xlfn.XLOOKUP(K321,LISTAS!$D$27:$D$47,_xlfn.XLOOKUP(J321,LISTAS!$E$26:$H$26,LISTAS!$E$27:$H$47))</f>
        <v>40000000</v>
      </c>
      <c r="O321" s="56" t="s">
        <v>1626</v>
      </c>
      <c r="P321" s="76" t="str">
        <f t="shared" ca="1" si="14"/>
        <v>Vencida</v>
      </c>
    </row>
    <row r="322" spans="1:16" x14ac:dyDescent="0.3">
      <c r="A322" s="58" t="s">
        <v>612</v>
      </c>
      <c r="B322" s="56" t="s">
        <v>191</v>
      </c>
      <c r="C322" s="50" t="str">
        <f>_xlfn.XLOOKUP(B322,CLIENTES!$A$2:$A$301,CLIENTES!$B$2:$B$301)</f>
        <v>Mateo Fernández</v>
      </c>
      <c r="D322" s="60">
        <v>45895</v>
      </c>
      <c r="E322" s="60">
        <f t="shared" si="12"/>
        <v>46260</v>
      </c>
      <c r="F322" s="50" t="s">
        <v>1598</v>
      </c>
      <c r="G322" s="56" t="s">
        <v>1600</v>
      </c>
      <c r="H322" s="47">
        <v>56</v>
      </c>
      <c r="I322" s="60">
        <v>25617</v>
      </c>
      <c r="J322" s="56" t="s">
        <v>1612</v>
      </c>
      <c r="K322" s="56">
        <v>2019</v>
      </c>
      <c r="L322" s="52">
        <f t="shared" si="13"/>
        <v>43979.162500000006</v>
      </c>
      <c r="M322" s="56">
        <f>LISTAS!$B$22*_xlfn.XLOOKUP(G322,LISTAS!$B$27:$B$36,LISTAS!$A$27:$A$36)*_xlfn.XLOOKUP(H322,LISTAS!$B$38:$B$47,LISTAS!$A$38:$A$47,,-1)*_xlfn.XLOOKUP(J322,LISTAS!$E$26:$H$26,LISTAS!$E$48:$H$48)*_xlfn.XLOOKUP(F322,LISTAS!$A$15:$A$18,LISTAS!$H$15:$H$18)</f>
        <v>3.1395000000000006E-2</v>
      </c>
      <c r="N322" s="54" cm="1">
        <f t="array" ref="N322">_xlfn.XLOOKUP(K322,LISTAS!$D$27:$D$47,_xlfn.XLOOKUP(J322,LISTAS!$E$26:$H$26,LISTAS!$E$27:$H$47))</f>
        <v>16810000</v>
      </c>
      <c r="O322" s="56" t="s">
        <v>1623</v>
      </c>
      <c r="P322" s="76" t="str">
        <f t="shared" ca="1" si="14"/>
        <v>Vencida</v>
      </c>
    </row>
    <row r="323" spans="1:16" x14ac:dyDescent="0.3">
      <c r="A323" s="58" t="s">
        <v>613</v>
      </c>
      <c r="B323" s="56" t="s">
        <v>12</v>
      </c>
      <c r="C323" s="50" t="str">
        <f>_xlfn.XLOOKUP(B323,CLIENTES!$A$2:$A$301,CLIENTES!$B$2:$B$301)</f>
        <v>Maximiliano Castro</v>
      </c>
      <c r="D323" s="60">
        <v>46176</v>
      </c>
      <c r="E323" s="60">
        <f t="shared" ref="E323:E386" si="15">EDATE(D323,12)</f>
        <v>46541</v>
      </c>
      <c r="F323" s="50" t="s">
        <v>1598</v>
      </c>
      <c r="G323" s="56" t="s">
        <v>1602</v>
      </c>
      <c r="H323" s="47">
        <v>54</v>
      </c>
      <c r="I323" s="60">
        <v>26346</v>
      </c>
      <c r="J323" s="56" t="s">
        <v>1612</v>
      </c>
      <c r="K323" s="56">
        <v>2021</v>
      </c>
      <c r="L323" s="52">
        <f t="shared" ref="L323:L386" si="16">(N323*M323)/12</f>
        <v>48489.236250000009</v>
      </c>
      <c r="M323" s="56">
        <f>LISTAS!$B$22*_xlfn.XLOOKUP(G323,LISTAS!$B$27:$B$36,LISTAS!$A$27:$A$36)*_xlfn.XLOOKUP(H323,LISTAS!$B$38:$B$47,LISTAS!$A$38:$A$47,,-1)*_xlfn.XLOOKUP(J323,LISTAS!$E$26:$H$26,LISTAS!$E$48:$H$48)*_xlfn.XLOOKUP(F323,LISTAS!$A$15:$A$18,LISTAS!$H$15:$H$18)</f>
        <v>2.8665000000000006E-2</v>
      </c>
      <c r="N323" s="54" cm="1">
        <f t="array" ref="N323">_xlfn.XLOOKUP(K323,LISTAS!$D$27:$D$47,_xlfn.XLOOKUP(J323,LISTAS!$E$26:$H$26,LISTAS!$E$27:$H$47))</f>
        <v>20299000</v>
      </c>
      <c r="O323" s="56" t="s">
        <v>1623</v>
      </c>
      <c r="P323" s="76" t="str">
        <f t="shared" ref="P323:P386" ca="1" si="17">IF(TODAY()&lt;D323,"Pendiente",IF(TODAY()&gt;E323,"Vencida","Vigente"))</f>
        <v>Vigente</v>
      </c>
    </row>
    <row r="324" spans="1:16" x14ac:dyDescent="0.3">
      <c r="A324" s="58" t="s">
        <v>614</v>
      </c>
      <c r="B324" s="56" t="s">
        <v>34</v>
      </c>
      <c r="C324" s="50" t="str">
        <f>_xlfn.XLOOKUP(B324,CLIENTES!$A$2:$A$301,CLIENTES!$B$2:$B$301)</f>
        <v>Alejandro López</v>
      </c>
      <c r="D324" s="60">
        <v>44475</v>
      </c>
      <c r="E324" s="60">
        <f t="shared" si="15"/>
        <v>44840</v>
      </c>
      <c r="F324" s="50" t="s">
        <v>1596</v>
      </c>
      <c r="G324" s="56" t="s">
        <v>1605</v>
      </c>
      <c r="H324" s="47">
        <v>71</v>
      </c>
      <c r="I324" s="60">
        <v>20024</v>
      </c>
      <c r="J324" s="56" t="s">
        <v>1609</v>
      </c>
      <c r="K324" s="56">
        <v>2024</v>
      </c>
      <c r="L324" s="52">
        <f t="shared" si="16"/>
        <v>37565.324999999997</v>
      </c>
      <c r="M324" s="56">
        <f>LISTAS!$B$22*_xlfn.XLOOKUP(G324,LISTAS!$B$27:$B$36,LISTAS!$A$27:$A$36)*_xlfn.XLOOKUP(H324,LISTAS!$B$38:$B$47,LISTAS!$A$38:$A$47,,-1)*_xlfn.XLOOKUP(J324,LISTAS!$E$26:$H$26,LISTAS!$E$48:$H$48)*_xlfn.XLOOKUP(F324,LISTAS!$A$15:$A$18,LISTAS!$H$15:$H$18)</f>
        <v>2.1419999999999998E-2</v>
      </c>
      <c r="N324" s="54" cm="1">
        <f t="array" ref="N324">_xlfn.XLOOKUP(K324,LISTAS!$D$27:$D$47,_xlfn.XLOOKUP(J324,LISTAS!$E$26:$H$26,LISTAS!$E$27:$H$47))</f>
        <v>21045000</v>
      </c>
      <c r="O324" s="56" t="s">
        <v>1625</v>
      </c>
      <c r="P324" s="76" t="str">
        <f t="shared" ca="1" si="17"/>
        <v>Vencida</v>
      </c>
    </row>
    <row r="325" spans="1:16" x14ac:dyDescent="0.3">
      <c r="A325" s="58" t="s">
        <v>615</v>
      </c>
      <c r="B325" s="56" t="s">
        <v>9</v>
      </c>
      <c r="C325" s="50" t="str">
        <f>_xlfn.XLOOKUP(B325,CLIENTES!$A$2:$A$301,CLIENTES!$B$2:$B$301)</f>
        <v>Fernando Pereyra</v>
      </c>
      <c r="D325" s="60">
        <v>45946</v>
      </c>
      <c r="E325" s="60">
        <f t="shared" si="15"/>
        <v>46311</v>
      </c>
      <c r="F325" s="50" t="s">
        <v>1597</v>
      </c>
      <c r="G325" s="56" t="s">
        <v>1600</v>
      </c>
      <c r="H325" s="47">
        <v>78</v>
      </c>
      <c r="I325" s="60">
        <v>17542</v>
      </c>
      <c r="J325" s="56" t="s">
        <v>1609</v>
      </c>
      <c r="K325" s="56">
        <v>2018</v>
      </c>
      <c r="L325" s="52">
        <f t="shared" si="16"/>
        <v>36535.202916666669</v>
      </c>
      <c r="M325" s="56">
        <f>LISTAS!$B$22*_xlfn.XLOOKUP(G325,LISTAS!$B$27:$B$36,LISTAS!$A$27:$A$36)*_xlfn.XLOOKUP(H325,LISTAS!$B$38:$B$47,LISTAS!$A$38:$A$47,,-1)*_xlfn.XLOOKUP(J325,LISTAS!$E$26:$H$26,LISTAS!$E$48:$H$48)*_xlfn.XLOOKUP(F325,LISTAS!$A$15:$A$18,LISTAS!$H$15:$H$18)</f>
        <v>3.6685000000000002E-2</v>
      </c>
      <c r="N325" s="54" cm="1">
        <f t="array" ref="N325">_xlfn.XLOOKUP(K325,LISTAS!$D$27:$D$47,_xlfn.XLOOKUP(J325,LISTAS!$E$26:$H$26,LISTAS!$E$27:$H$47))</f>
        <v>11951000</v>
      </c>
      <c r="O325" s="56" t="s">
        <v>1623</v>
      </c>
      <c r="P325" s="76" t="str">
        <f t="shared" ca="1" si="17"/>
        <v>Vigente</v>
      </c>
    </row>
    <row r="326" spans="1:16" x14ac:dyDescent="0.3">
      <c r="A326" s="58" t="s">
        <v>616</v>
      </c>
      <c r="B326" s="56" t="s">
        <v>212</v>
      </c>
      <c r="C326" s="50" t="str">
        <f>_xlfn.XLOOKUP(B326,CLIENTES!$A$2:$A$301,CLIENTES!$B$2:$B$301)</f>
        <v>Matías Silva</v>
      </c>
      <c r="D326" s="60">
        <v>45575</v>
      </c>
      <c r="E326" s="60">
        <f t="shared" si="15"/>
        <v>45940</v>
      </c>
      <c r="F326" s="50" t="s">
        <v>1596</v>
      </c>
      <c r="G326" s="56" t="s">
        <v>1608</v>
      </c>
      <c r="H326" s="47">
        <v>23</v>
      </c>
      <c r="I326" s="60">
        <v>37827</v>
      </c>
      <c r="J326" s="56" t="s">
        <v>1612</v>
      </c>
      <c r="K326" s="56">
        <v>2015</v>
      </c>
      <c r="L326" s="52">
        <f t="shared" si="16"/>
        <v>22354.648312500005</v>
      </c>
      <c r="M326" s="56">
        <f>LISTAS!$B$22*_xlfn.XLOOKUP(G326,LISTAS!$B$27:$B$36,LISTAS!$A$27:$A$36)*_xlfn.XLOOKUP(H326,LISTAS!$B$38:$B$47,LISTAS!$A$38:$A$47,,-1)*_xlfn.XLOOKUP(J326,LISTAS!$E$26:$H$26,LISTAS!$E$48:$H$48)*_xlfn.XLOOKUP(F326,LISTAS!$A$15:$A$18,LISTAS!$H$15:$H$18)</f>
        <v>2.2892625000000003E-2</v>
      </c>
      <c r="N326" s="54" cm="1">
        <f t="array" ref="N326">_xlfn.XLOOKUP(K326,LISTAS!$D$27:$D$47,_xlfn.XLOOKUP(J326,LISTAS!$E$26:$H$26,LISTAS!$E$27:$H$47))</f>
        <v>11718000</v>
      </c>
      <c r="O326" s="56" t="s">
        <v>1623</v>
      </c>
      <c r="P326" s="76" t="str">
        <f t="shared" ca="1" si="17"/>
        <v>Vencida</v>
      </c>
    </row>
    <row r="327" spans="1:16" x14ac:dyDescent="0.3">
      <c r="A327" s="58" t="s">
        <v>617</v>
      </c>
      <c r="B327" s="56" t="s">
        <v>234</v>
      </c>
      <c r="C327" s="50" t="str">
        <f>_xlfn.XLOOKUP(B327,CLIENTES!$A$2:$A$301,CLIENTES!$B$2:$B$301)</f>
        <v>Natalia Suárez</v>
      </c>
      <c r="D327" s="60">
        <v>45755</v>
      </c>
      <c r="E327" s="60">
        <f t="shared" si="15"/>
        <v>46120</v>
      </c>
      <c r="F327" s="50" t="s">
        <v>1597</v>
      </c>
      <c r="G327" s="56" t="s">
        <v>1603</v>
      </c>
      <c r="H327" s="47">
        <v>46</v>
      </c>
      <c r="I327" s="60">
        <v>29427</v>
      </c>
      <c r="J327" s="56" t="s">
        <v>1611</v>
      </c>
      <c r="K327" s="56">
        <v>2023</v>
      </c>
      <c r="L327" s="52">
        <f t="shared" si="16"/>
        <v>65592.316166666671</v>
      </c>
      <c r="M327" s="56">
        <f>LISTAS!$B$22*_xlfn.XLOOKUP(G327,LISTAS!$B$27:$B$36,LISTAS!$A$27:$A$36)*_xlfn.XLOOKUP(H327,LISTAS!$B$38:$B$47,LISTAS!$A$38:$A$47,,-1)*_xlfn.XLOOKUP(J327,LISTAS!$E$26:$H$26,LISTAS!$E$48:$H$48)*_xlfn.XLOOKUP(F327,LISTAS!$A$15:$A$18,LISTAS!$H$15:$H$18)</f>
        <v>2.2833249999999999E-2</v>
      </c>
      <c r="N327" s="54" cm="1">
        <f t="array" ref="N327">_xlfn.XLOOKUP(K327,LISTAS!$D$27:$D$47,_xlfn.XLOOKUP(J327,LISTAS!$E$26:$H$26,LISTAS!$E$27:$H$47))</f>
        <v>34472000</v>
      </c>
      <c r="O327" s="56" t="s">
        <v>1623</v>
      </c>
      <c r="P327" s="76" t="str">
        <f t="shared" ca="1" si="17"/>
        <v>Vencida</v>
      </c>
    </row>
    <row r="328" spans="1:16" x14ac:dyDescent="0.3">
      <c r="A328" s="58" t="s">
        <v>618</v>
      </c>
      <c r="B328" s="56" t="s">
        <v>157</v>
      </c>
      <c r="C328" s="50" t="str">
        <f>_xlfn.XLOOKUP(B328,CLIENTES!$A$2:$A$301,CLIENTES!$B$2:$B$301)</f>
        <v>Tomás Sánchez</v>
      </c>
      <c r="D328" s="60">
        <v>45293</v>
      </c>
      <c r="E328" s="60">
        <f t="shared" si="15"/>
        <v>45659</v>
      </c>
      <c r="F328" s="50" t="s">
        <v>1595</v>
      </c>
      <c r="G328" s="56" t="s">
        <v>1606</v>
      </c>
      <c r="H328" s="47">
        <v>24</v>
      </c>
      <c r="I328" s="60">
        <v>37187</v>
      </c>
      <c r="J328" s="56" t="s">
        <v>1611</v>
      </c>
      <c r="K328" s="56">
        <v>2023</v>
      </c>
      <c r="L328" s="52">
        <f t="shared" si="16"/>
        <v>53517.78</v>
      </c>
      <c r="M328" s="56">
        <f>LISTAS!$B$22*_xlfn.XLOOKUP(G328,LISTAS!$B$27:$B$36,LISTAS!$A$27:$A$36)*_xlfn.XLOOKUP(H328,LISTAS!$B$38:$B$47,LISTAS!$A$38:$A$47,,-1)*_xlfn.XLOOKUP(J328,LISTAS!$E$26:$H$26,LISTAS!$E$48:$H$48)*_xlfn.XLOOKUP(F328,LISTAS!$A$15:$A$18,LISTAS!$H$15:$H$18)</f>
        <v>1.8630000000000001E-2</v>
      </c>
      <c r="N328" s="54" cm="1">
        <f t="array" ref="N328">_xlfn.XLOOKUP(K328,LISTAS!$D$27:$D$47,_xlfn.XLOOKUP(J328,LISTAS!$E$26:$H$26,LISTAS!$E$27:$H$47))</f>
        <v>34472000</v>
      </c>
      <c r="O328" s="56" t="s">
        <v>1623</v>
      </c>
      <c r="P328" s="76" t="str">
        <f t="shared" ca="1" si="17"/>
        <v>Vencida</v>
      </c>
    </row>
    <row r="329" spans="1:16" x14ac:dyDescent="0.3">
      <c r="A329" s="58" t="s">
        <v>619</v>
      </c>
      <c r="B329" s="56" t="s">
        <v>115</v>
      </c>
      <c r="C329" s="50" t="str">
        <f>_xlfn.XLOOKUP(B329,CLIENTES!$A$2:$A$301,CLIENTES!$B$2:$B$301)</f>
        <v>Martín Pérez</v>
      </c>
      <c r="D329" s="60">
        <v>44600</v>
      </c>
      <c r="E329" s="60">
        <f t="shared" si="15"/>
        <v>44965</v>
      </c>
      <c r="F329" s="50" t="s">
        <v>1595</v>
      </c>
      <c r="G329" s="56" t="s">
        <v>1606</v>
      </c>
      <c r="H329" s="47">
        <v>49</v>
      </c>
      <c r="I329" s="60">
        <v>28034</v>
      </c>
      <c r="J329" s="56" t="s">
        <v>1611</v>
      </c>
      <c r="K329" s="56">
        <v>2021</v>
      </c>
      <c r="L329" s="52">
        <f t="shared" si="16"/>
        <v>31186.504999999994</v>
      </c>
      <c r="M329" s="56">
        <f>LISTAS!$B$22*_xlfn.XLOOKUP(G329,LISTAS!$B$27:$B$36,LISTAS!$A$27:$A$36)*_xlfn.XLOOKUP(H329,LISTAS!$B$38:$B$47,LISTAS!$A$38:$A$47,,-1)*_xlfn.XLOOKUP(J329,LISTAS!$E$26:$H$26,LISTAS!$E$48:$H$48)*_xlfn.XLOOKUP(F329,LISTAS!$A$15:$A$18,LISTAS!$H$15:$H$18)</f>
        <v>1.3109999999999998E-2</v>
      </c>
      <c r="N329" s="54" cm="1">
        <f t="array" ref="N329">_xlfn.XLOOKUP(K329,LISTAS!$D$27:$D$47,_xlfn.XLOOKUP(J329,LISTAS!$E$26:$H$26,LISTAS!$E$27:$H$47))</f>
        <v>28546000</v>
      </c>
      <c r="O329" s="56" t="s">
        <v>1624</v>
      </c>
      <c r="P329" s="76" t="str">
        <f t="shared" ca="1" si="17"/>
        <v>Vencida</v>
      </c>
    </row>
    <row r="330" spans="1:16" x14ac:dyDescent="0.3">
      <c r="A330" s="58" t="s">
        <v>620</v>
      </c>
      <c r="B330" s="56" t="s">
        <v>200</v>
      </c>
      <c r="C330" s="50" t="str">
        <f>_xlfn.XLOOKUP(B330,CLIENTES!$A$2:$A$301,CLIENTES!$B$2:$B$301)</f>
        <v>Gabriela Sosa</v>
      </c>
      <c r="D330" s="60">
        <v>45870</v>
      </c>
      <c r="E330" s="60">
        <f t="shared" si="15"/>
        <v>46235</v>
      </c>
      <c r="F330" s="50" t="s">
        <v>1597</v>
      </c>
      <c r="G330" s="56" t="s">
        <v>1599</v>
      </c>
      <c r="H330" s="47">
        <v>66</v>
      </c>
      <c r="I330" s="60">
        <v>21912</v>
      </c>
      <c r="J330" s="56" t="s">
        <v>1610</v>
      </c>
      <c r="K330" s="56">
        <v>2022</v>
      </c>
      <c r="L330" s="52">
        <f t="shared" si="16"/>
        <v>77601.172000000006</v>
      </c>
      <c r="M330" s="56">
        <f>LISTAS!$B$22*_xlfn.XLOOKUP(G330,LISTAS!$B$27:$B$36,LISTAS!$A$27:$A$36)*_xlfn.XLOOKUP(H330,LISTAS!$B$38:$B$47,LISTAS!$A$38:$A$47,,-1)*_xlfn.XLOOKUP(J330,LISTAS!$E$26:$H$26,LISTAS!$E$48:$H$48)*_xlfn.XLOOKUP(F330,LISTAS!$A$15:$A$18,LISTAS!$H$15:$H$18)</f>
        <v>3.3396000000000002E-2</v>
      </c>
      <c r="N330" s="54" cm="1">
        <f t="array" ref="N330">_xlfn.XLOOKUP(K330,LISTAS!$D$27:$D$47,_xlfn.XLOOKUP(J330,LISTAS!$E$26:$H$26,LISTAS!$E$27:$H$47))</f>
        <v>27884000</v>
      </c>
      <c r="O330" s="56" t="s">
        <v>1624</v>
      </c>
      <c r="P330" s="76" t="str">
        <f t="shared" ca="1" si="17"/>
        <v>Vencida</v>
      </c>
    </row>
    <row r="331" spans="1:16" x14ac:dyDescent="0.3">
      <c r="A331" s="58" t="s">
        <v>621</v>
      </c>
      <c r="B331" s="56" t="s">
        <v>96</v>
      </c>
      <c r="C331" s="50" t="str">
        <f>_xlfn.XLOOKUP(B331,CLIENTES!$A$2:$A$301,CLIENTES!$B$2:$B$301)</f>
        <v>Lautaro Rojas</v>
      </c>
      <c r="D331" s="60">
        <v>45218</v>
      </c>
      <c r="E331" s="60">
        <f t="shared" si="15"/>
        <v>45584</v>
      </c>
      <c r="F331" s="50" t="s">
        <v>1598</v>
      </c>
      <c r="G331" s="56" t="s">
        <v>1607</v>
      </c>
      <c r="H331" s="47">
        <v>45</v>
      </c>
      <c r="I331" s="60">
        <v>29709</v>
      </c>
      <c r="J331" s="56" t="s">
        <v>1609</v>
      </c>
      <c r="K331" s="56">
        <v>2018</v>
      </c>
      <c r="L331" s="52">
        <f t="shared" si="16"/>
        <v>27059.055833333336</v>
      </c>
      <c r="M331" s="56">
        <f>LISTAS!$B$22*_xlfn.XLOOKUP(G331,LISTAS!$B$27:$B$36,LISTAS!$A$27:$A$36)*_xlfn.XLOOKUP(H331,LISTAS!$B$38:$B$47,LISTAS!$A$38:$A$47,,-1)*_xlfn.XLOOKUP(J331,LISTAS!$E$26:$H$26,LISTAS!$E$48:$H$48)*_xlfn.XLOOKUP(F331,LISTAS!$A$15:$A$18,LISTAS!$H$15:$H$18)</f>
        <v>2.7170000000000003E-2</v>
      </c>
      <c r="N331" s="54" cm="1">
        <f t="array" ref="N331">_xlfn.XLOOKUP(K331,LISTAS!$D$27:$D$47,_xlfn.XLOOKUP(J331,LISTAS!$E$26:$H$26,LISTAS!$E$27:$H$47))</f>
        <v>11951000</v>
      </c>
      <c r="O331" s="56" t="s">
        <v>1624</v>
      </c>
      <c r="P331" s="76" t="str">
        <f t="shared" ca="1" si="17"/>
        <v>Vencida</v>
      </c>
    </row>
    <row r="332" spans="1:16" x14ac:dyDescent="0.3">
      <c r="A332" s="58" t="s">
        <v>622</v>
      </c>
      <c r="B332" s="56" t="s">
        <v>63</v>
      </c>
      <c r="C332" s="50" t="str">
        <f>_xlfn.XLOOKUP(B332,CLIENTES!$A$2:$A$301,CLIENTES!$B$2:$B$301)</f>
        <v>Martina Correa</v>
      </c>
      <c r="D332" s="60">
        <v>45417</v>
      </c>
      <c r="E332" s="60">
        <f t="shared" si="15"/>
        <v>45782</v>
      </c>
      <c r="F332" s="50" t="s">
        <v>1596</v>
      </c>
      <c r="G332" s="56" t="s">
        <v>1600</v>
      </c>
      <c r="H332" s="47">
        <v>24</v>
      </c>
      <c r="I332" s="60">
        <v>37149</v>
      </c>
      <c r="J332" s="56" t="s">
        <v>1609</v>
      </c>
      <c r="K332" s="56">
        <v>2024</v>
      </c>
      <c r="L332" s="52">
        <f t="shared" si="16"/>
        <v>46285.846874999996</v>
      </c>
      <c r="M332" s="56">
        <f>LISTAS!$B$22*_xlfn.XLOOKUP(G332,LISTAS!$B$27:$B$36,LISTAS!$A$27:$A$36)*_xlfn.XLOOKUP(H332,LISTAS!$B$38:$B$47,LISTAS!$A$38:$A$47,,-1)*_xlfn.XLOOKUP(J332,LISTAS!$E$26:$H$26,LISTAS!$E$48:$H$48)*_xlfn.XLOOKUP(F332,LISTAS!$A$15:$A$18,LISTAS!$H$15:$H$18)</f>
        <v>2.6392499999999999E-2</v>
      </c>
      <c r="N332" s="54" cm="1">
        <f t="array" ref="N332">_xlfn.XLOOKUP(K332,LISTAS!$D$27:$D$47,_xlfn.XLOOKUP(J332,LISTAS!$E$26:$H$26,LISTAS!$E$27:$H$47))</f>
        <v>21045000</v>
      </c>
      <c r="O332" s="56" t="s">
        <v>1625</v>
      </c>
      <c r="P332" s="76" t="str">
        <f t="shared" ca="1" si="17"/>
        <v>Vencida</v>
      </c>
    </row>
    <row r="333" spans="1:16" x14ac:dyDescent="0.3">
      <c r="A333" s="58" t="s">
        <v>623</v>
      </c>
      <c r="B333" s="56" t="s">
        <v>107</v>
      </c>
      <c r="C333" s="50" t="str">
        <f>_xlfn.XLOOKUP(B333,CLIENTES!$A$2:$A$301,CLIENTES!$B$2:$B$301)</f>
        <v>Emiliano Rojas</v>
      </c>
      <c r="D333" s="60">
        <v>44511</v>
      </c>
      <c r="E333" s="60">
        <f t="shared" si="15"/>
        <v>44876</v>
      </c>
      <c r="F333" s="50" t="s">
        <v>1598</v>
      </c>
      <c r="G333" s="56" t="s">
        <v>1605</v>
      </c>
      <c r="H333" s="47">
        <v>34</v>
      </c>
      <c r="I333" s="60">
        <v>33748</v>
      </c>
      <c r="J333" s="56" t="s">
        <v>1612</v>
      </c>
      <c r="K333" s="56">
        <v>2025</v>
      </c>
      <c r="L333" s="52">
        <f t="shared" si="16"/>
        <v>60278.400000000016</v>
      </c>
      <c r="M333" s="56">
        <f>LISTAS!$B$22*_xlfn.XLOOKUP(G333,LISTAS!$B$27:$B$36,LISTAS!$A$27:$A$36)*_xlfn.XLOOKUP(H333,LISTAS!$B$38:$B$47,LISTAS!$A$38:$A$47,,-1)*_xlfn.XLOOKUP(J333,LISTAS!$E$26:$H$26,LISTAS!$E$48:$H$48)*_xlfn.XLOOKUP(F333,LISTAS!$A$15:$A$18,LISTAS!$H$15:$H$18)</f>
        <v>2.4570000000000005E-2</v>
      </c>
      <c r="N333" s="54" cm="1">
        <f t="array" ref="N333">_xlfn.XLOOKUP(K333,LISTAS!$D$27:$D$47,_xlfn.XLOOKUP(J333,LISTAS!$E$26:$H$26,LISTAS!$E$27:$H$47))</f>
        <v>29440000</v>
      </c>
      <c r="O333" s="56" t="s">
        <v>1623</v>
      </c>
      <c r="P333" s="76" t="str">
        <f t="shared" ca="1" si="17"/>
        <v>Vencida</v>
      </c>
    </row>
    <row r="334" spans="1:16" x14ac:dyDescent="0.3">
      <c r="A334" s="58" t="s">
        <v>624</v>
      </c>
      <c r="B334" s="56" t="s">
        <v>65</v>
      </c>
      <c r="C334" s="50" t="str">
        <f>_xlfn.XLOOKUP(B334,CLIENTES!$A$2:$A$301,CLIENTES!$B$2:$B$301)</f>
        <v>Ignacio Castro</v>
      </c>
      <c r="D334" s="60">
        <v>46217</v>
      </c>
      <c r="E334" s="60">
        <f t="shared" si="15"/>
        <v>46582</v>
      </c>
      <c r="F334" s="50" t="s">
        <v>1596</v>
      </c>
      <c r="G334" s="56" t="s">
        <v>1600</v>
      </c>
      <c r="H334" s="47">
        <v>75</v>
      </c>
      <c r="I334" s="60">
        <v>18539</v>
      </c>
      <c r="J334" s="56" t="s">
        <v>1609</v>
      </c>
      <c r="K334" s="56">
        <v>2022</v>
      </c>
      <c r="L334" s="52">
        <f t="shared" si="16"/>
        <v>41167.656874999993</v>
      </c>
      <c r="M334" s="56">
        <f>LISTAS!$B$22*_xlfn.XLOOKUP(G334,LISTAS!$B$27:$B$36,LISTAS!$A$27:$A$36)*_xlfn.XLOOKUP(H334,LISTAS!$B$38:$B$47,LISTAS!$A$38:$A$47,,-1)*_xlfn.XLOOKUP(J334,LISTAS!$E$26:$H$26,LISTAS!$E$48:$H$48)*_xlfn.XLOOKUP(F334,LISTAS!$A$15:$A$18,LISTAS!$H$15:$H$18)</f>
        <v>2.8347499999999998E-2</v>
      </c>
      <c r="N334" s="54" cm="1">
        <f t="array" ref="N334">_xlfn.XLOOKUP(K334,LISTAS!$D$27:$D$47,_xlfn.XLOOKUP(J334,LISTAS!$E$26:$H$26,LISTAS!$E$27:$H$47))</f>
        <v>17427000</v>
      </c>
      <c r="O334" s="56" t="s">
        <v>1626</v>
      </c>
      <c r="P334" s="76" t="str">
        <f t="shared" ca="1" si="17"/>
        <v>Vigente</v>
      </c>
    </row>
    <row r="335" spans="1:16" x14ac:dyDescent="0.3">
      <c r="A335" s="58" t="s">
        <v>625</v>
      </c>
      <c r="B335" s="56" t="s">
        <v>183</v>
      </c>
      <c r="C335" s="50" t="str">
        <f>_xlfn.XLOOKUP(B335,CLIENTES!$A$2:$A$301,CLIENTES!$B$2:$B$301)</f>
        <v>Julieta Vázquez</v>
      </c>
      <c r="D335" s="60">
        <v>46212</v>
      </c>
      <c r="E335" s="60">
        <f t="shared" si="15"/>
        <v>46577</v>
      </c>
      <c r="F335" s="50" t="s">
        <v>1598</v>
      </c>
      <c r="G335" s="56" t="s">
        <v>1603</v>
      </c>
      <c r="H335" s="47">
        <v>54</v>
      </c>
      <c r="I335" s="60">
        <v>26496</v>
      </c>
      <c r="J335" s="56" t="s">
        <v>1609</v>
      </c>
      <c r="K335" s="56">
        <v>2024</v>
      </c>
      <c r="L335" s="52">
        <f t="shared" si="16"/>
        <v>43317.625</v>
      </c>
      <c r="M335" s="56">
        <f>LISTAS!$B$22*_xlfn.XLOOKUP(G335,LISTAS!$B$27:$B$36,LISTAS!$A$27:$A$36)*_xlfn.XLOOKUP(H335,LISTAS!$B$38:$B$47,LISTAS!$A$38:$A$47,,-1)*_xlfn.XLOOKUP(J335,LISTAS!$E$26:$H$26,LISTAS!$E$48:$H$48)*_xlfn.XLOOKUP(F335,LISTAS!$A$15:$A$18,LISTAS!$H$15:$H$18)</f>
        <v>2.47E-2</v>
      </c>
      <c r="N335" s="54" cm="1">
        <f t="array" ref="N335">_xlfn.XLOOKUP(K335,LISTAS!$D$27:$D$47,_xlfn.XLOOKUP(J335,LISTAS!$E$26:$H$26,LISTAS!$E$27:$H$47))</f>
        <v>21045000</v>
      </c>
      <c r="O335" s="56" t="s">
        <v>1625</v>
      </c>
      <c r="P335" s="76" t="str">
        <f t="shared" ca="1" si="17"/>
        <v>Vigente</v>
      </c>
    </row>
    <row r="336" spans="1:16" x14ac:dyDescent="0.3">
      <c r="A336" s="58" t="s">
        <v>626</v>
      </c>
      <c r="B336" s="56" t="s">
        <v>129</v>
      </c>
      <c r="C336" s="50" t="str">
        <f>_xlfn.XLOOKUP(B336,CLIENTES!$A$2:$A$301,CLIENTES!$B$2:$B$301)</f>
        <v>Agustín Acosta</v>
      </c>
      <c r="D336" s="60">
        <v>44712</v>
      </c>
      <c r="E336" s="60">
        <f t="shared" si="15"/>
        <v>45077</v>
      </c>
      <c r="F336" s="50" t="s">
        <v>1595</v>
      </c>
      <c r="G336" s="56" t="s">
        <v>1603</v>
      </c>
      <c r="H336" s="47">
        <v>29</v>
      </c>
      <c r="I336" s="60">
        <v>35356</v>
      </c>
      <c r="J336" s="56" t="s">
        <v>1610</v>
      </c>
      <c r="K336" s="56">
        <v>2020</v>
      </c>
      <c r="L336" s="52">
        <f t="shared" si="16"/>
        <v>28956.113999999998</v>
      </c>
      <c r="M336" s="56">
        <f>LISTAS!$B$22*_xlfn.XLOOKUP(G336,LISTAS!$B$27:$B$36,LISTAS!$A$27:$A$36)*_xlfn.XLOOKUP(H336,LISTAS!$B$38:$B$47,LISTAS!$A$38:$A$47,,-1)*_xlfn.XLOOKUP(J336,LISTAS!$E$26:$H$26,LISTAS!$E$48:$H$48)*_xlfn.XLOOKUP(F336,LISTAS!$A$15:$A$18,LISTAS!$H$15:$H$18)</f>
        <v>1.5047999999999999E-2</v>
      </c>
      <c r="N336" s="54" cm="1">
        <f t="array" ref="N336">_xlfn.XLOOKUP(K336,LISTAS!$D$27:$D$47,_xlfn.XLOOKUP(J336,LISTAS!$E$26:$H$26,LISTAS!$E$27:$H$47))</f>
        <v>23091000</v>
      </c>
      <c r="O336" s="56" t="s">
        <v>1623</v>
      </c>
      <c r="P336" s="76" t="str">
        <f t="shared" ca="1" si="17"/>
        <v>Vencida</v>
      </c>
    </row>
    <row r="337" spans="1:16" x14ac:dyDescent="0.3">
      <c r="A337" s="58" t="s">
        <v>627</v>
      </c>
      <c r="B337" s="56" t="s">
        <v>217</v>
      </c>
      <c r="C337" s="50" t="str">
        <f>_xlfn.XLOOKUP(B337,CLIENTES!$A$2:$A$301,CLIENTES!$B$2:$B$301)</f>
        <v>Santiago López</v>
      </c>
      <c r="D337" s="60">
        <v>44469</v>
      </c>
      <c r="E337" s="60">
        <f t="shared" si="15"/>
        <v>44834</v>
      </c>
      <c r="F337" s="50" t="s">
        <v>1596</v>
      </c>
      <c r="G337" s="56" t="s">
        <v>1605</v>
      </c>
      <c r="H337" s="47">
        <v>71</v>
      </c>
      <c r="I337" s="60">
        <v>20003</v>
      </c>
      <c r="J337" s="56" t="s">
        <v>1611</v>
      </c>
      <c r="K337" s="56">
        <v>2025</v>
      </c>
      <c r="L337" s="52">
        <f t="shared" si="16"/>
        <v>84983.849999999991</v>
      </c>
      <c r="M337" s="56">
        <f>LISTAS!$B$22*_xlfn.XLOOKUP(G337,LISTAS!$B$27:$B$36,LISTAS!$A$27:$A$36)*_xlfn.XLOOKUP(H337,LISTAS!$B$38:$B$47,LISTAS!$A$38:$A$47,,-1)*_xlfn.XLOOKUP(J337,LISTAS!$E$26:$H$26,LISTAS!$E$48:$H$48)*_xlfn.XLOOKUP(F337,LISTAS!$A$15:$A$18,LISTAS!$H$15:$H$18)</f>
        <v>2.4632999999999999E-2</v>
      </c>
      <c r="N337" s="54" cm="1">
        <f t="array" ref="N337">_xlfn.XLOOKUP(K337,LISTAS!$D$27:$D$47,_xlfn.XLOOKUP(J337,LISTAS!$E$26:$H$26,LISTAS!$E$27:$H$47))</f>
        <v>41400000</v>
      </c>
      <c r="O337" s="56" t="s">
        <v>1623</v>
      </c>
      <c r="P337" s="76" t="str">
        <f t="shared" ca="1" si="17"/>
        <v>Vencida</v>
      </c>
    </row>
    <row r="338" spans="1:16" x14ac:dyDescent="0.3">
      <c r="A338" s="58" t="s">
        <v>628</v>
      </c>
      <c r="B338" s="56" t="s">
        <v>195</v>
      </c>
      <c r="C338" s="50" t="str">
        <f>_xlfn.XLOOKUP(B338,CLIENTES!$A$2:$A$301,CLIENTES!$B$2:$B$301)</f>
        <v>Martina Luna</v>
      </c>
      <c r="D338" s="60">
        <v>44871</v>
      </c>
      <c r="E338" s="60">
        <f t="shared" si="15"/>
        <v>45236</v>
      </c>
      <c r="F338" s="50" t="s">
        <v>1598</v>
      </c>
      <c r="G338" s="56" t="s">
        <v>1603</v>
      </c>
      <c r="H338" s="47">
        <v>72</v>
      </c>
      <c r="I338" s="60">
        <v>19942</v>
      </c>
      <c r="J338" s="56" t="s">
        <v>1610</v>
      </c>
      <c r="K338" s="56">
        <v>2023</v>
      </c>
      <c r="L338" s="52">
        <f t="shared" si="16"/>
        <v>97130.03300000001</v>
      </c>
      <c r="M338" s="56">
        <f>LISTAS!$B$22*_xlfn.XLOOKUP(G338,LISTAS!$B$27:$B$36,LISTAS!$A$27:$A$36)*_xlfn.XLOOKUP(H338,LISTAS!$B$38:$B$47,LISTAS!$A$38:$A$47,,-1)*_xlfn.XLOOKUP(J338,LISTAS!$E$26:$H$26,LISTAS!$E$48:$H$48)*_xlfn.XLOOKUP(F338,LISTAS!$A$15:$A$18,LISTAS!$H$15:$H$18)</f>
        <v>3.8038000000000002E-2</v>
      </c>
      <c r="N338" s="54" cm="1">
        <f t="array" ref="N338">_xlfn.XLOOKUP(K338,LISTAS!$D$27:$D$47,_xlfn.XLOOKUP(J338,LISTAS!$E$26:$H$26,LISTAS!$E$27:$H$47))</f>
        <v>30642000</v>
      </c>
      <c r="O338" s="56" t="s">
        <v>1626</v>
      </c>
      <c r="P338" s="76" t="str">
        <f t="shared" ca="1" si="17"/>
        <v>Vencida</v>
      </c>
    </row>
    <row r="339" spans="1:16" x14ac:dyDescent="0.3">
      <c r="A339" s="58" t="s">
        <v>629</v>
      </c>
      <c r="B339" s="56" t="s">
        <v>154</v>
      </c>
      <c r="C339" s="50" t="str">
        <f>_xlfn.XLOOKUP(B339,CLIENTES!$A$2:$A$301,CLIENTES!$B$2:$B$301)</f>
        <v>Mariana Sosa</v>
      </c>
      <c r="D339" s="60">
        <v>44602</v>
      </c>
      <c r="E339" s="60">
        <f t="shared" si="15"/>
        <v>44967</v>
      </c>
      <c r="F339" s="50" t="s">
        <v>1595</v>
      </c>
      <c r="G339" s="56" t="s">
        <v>1605</v>
      </c>
      <c r="H339" s="47">
        <v>64</v>
      </c>
      <c r="I339" s="60">
        <v>22815</v>
      </c>
      <c r="J339" s="56" t="s">
        <v>1610</v>
      </c>
      <c r="K339" s="56">
        <v>2024</v>
      </c>
      <c r="L339" s="52">
        <f t="shared" si="16"/>
        <v>35002.044000000016</v>
      </c>
      <c r="M339" s="56">
        <f>LISTAS!$B$22*_xlfn.XLOOKUP(G339,LISTAS!$B$27:$B$36,LISTAS!$A$27:$A$36)*_xlfn.XLOOKUP(H339,LISTAS!$B$38:$B$47,LISTAS!$A$38:$A$47,,-1)*_xlfn.XLOOKUP(J339,LISTAS!$E$26:$H$26,LISTAS!$E$48:$H$48)*_xlfn.XLOOKUP(F339,LISTAS!$A$15:$A$18,LISTAS!$H$15:$H$18)</f>
        <v>1.2474000000000004E-2</v>
      </c>
      <c r="N339" s="54" cm="1">
        <f t="array" ref="N339">_xlfn.XLOOKUP(K339,LISTAS!$D$27:$D$47,_xlfn.XLOOKUP(J339,LISTAS!$E$26:$H$26,LISTAS!$E$27:$H$47))</f>
        <v>33672000</v>
      </c>
      <c r="O339" s="56" t="s">
        <v>1623</v>
      </c>
      <c r="P339" s="76" t="str">
        <f t="shared" ca="1" si="17"/>
        <v>Vencida</v>
      </c>
    </row>
    <row r="340" spans="1:16" x14ac:dyDescent="0.3">
      <c r="A340" s="58" t="s">
        <v>630</v>
      </c>
      <c r="B340" s="56" t="s">
        <v>23</v>
      </c>
      <c r="C340" s="50" t="str">
        <f>_xlfn.XLOOKUP(B340,CLIENTES!$A$2:$A$301,CLIENTES!$B$2:$B$301)</f>
        <v>Tomás Álvarez</v>
      </c>
      <c r="D340" s="60">
        <v>46036</v>
      </c>
      <c r="E340" s="60">
        <f t="shared" si="15"/>
        <v>46401</v>
      </c>
      <c r="F340" s="50" t="s">
        <v>1597</v>
      </c>
      <c r="G340" s="56" t="s">
        <v>1601</v>
      </c>
      <c r="H340" s="47">
        <v>66</v>
      </c>
      <c r="I340" s="60">
        <v>21863</v>
      </c>
      <c r="J340" s="56" t="s">
        <v>1612</v>
      </c>
      <c r="K340" s="56">
        <v>2024</v>
      </c>
      <c r="L340" s="52">
        <f t="shared" si="16"/>
        <v>68579.097125</v>
      </c>
      <c r="M340" s="56">
        <f>LISTAS!$B$22*_xlfn.XLOOKUP(G340,LISTAS!$B$27:$B$36,LISTAS!$A$27:$A$36)*_xlfn.XLOOKUP(H340,LISTAS!$B$38:$B$47,LISTAS!$A$38:$A$47,,-1)*_xlfn.XLOOKUP(J340,LISTAS!$E$26:$H$26,LISTAS!$E$48:$H$48)*_xlfn.XLOOKUP(F340,LISTAS!$A$15:$A$18,LISTAS!$H$15:$H$18)</f>
        <v>3.0549750000000001E-2</v>
      </c>
      <c r="N340" s="54" cm="1">
        <f t="array" ref="N340">_xlfn.XLOOKUP(K340,LISTAS!$D$27:$D$47,_xlfn.XLOOKUP(J340,LISTAS!$E$26:$H$26,LISTAS!$E$27:$H$47))</f>
        <v>26938000</v>
      </c>
      <c r="O340" s="56" t="s">
        <v>1623</v>
      </c>
      <c r="P340" s="76" t="str">
        <f t="shared" ca="1" si="17"/>
        <v>Vigente</v>
      </c>
    </row>
    <row r="341" spans="1:16" x14ac:dyDescent="0.3">
      <c r="A341" s="58" t="s">
        <v>631</v>
      </c>
      <c r="B341" s="56" t="s">
        <v>42</v>
      </c>
      <c r="C341" s="50" t="str">
        <f>_xlfn.XLOOKUP(B341,CLIENTES!$A$2:$A$301,CLIENTES!$B$2:$B$301)</f>
        <v>Pablo Torres</v>
      </c>
      <c r="D341" s="60">
        <v>45081</v>
      </c>
      <c r="E341" s="60">
        <f t="shared" si="15"/>
        <v>45447</v>
      </c>
      <c r="F341" s="50" t="s">
        <v>1596</v>
      </c>
      <c r="G341" s="56" t="s">
        <v>1604</v>
      </c>
      <c r="H341" s="47">
        <v>37</v>
      </c>
      <c r="I341" s="60">
        <v>32383</v>
      </c>
      <c r="J341" s="56" t="s">
        <v>1611</v>
      </c>
      <c r="K341" s="56">
        <v>2017</v>
      </c>
      <c r="L341" s="52">
        <f t="shared" si="16"/>
        <v>33485.484375</v>
      </c>
      <c r="M341" s="56">
        <f>LISTAS!$B$22*_xlfn.XLOOKUP(G341,LISTAS!$B$27:$B$36,LISTAS!$A$27:$A$36)*_xlfn.XLOOKUP(H341,LISTAS!$B$38:$B$47,LISTAS!$A$38:$A$47,,-1)*_xlfn.XLOOKUP(J341,LISTAS!$E$26:$H$26,LISTAS!$E$48:$H$48)*_xlfn.XLOOKUP(F341,LISTAS!$A$15:$A$18,LISTAS!$H$15:$H$18)</f>
        <v>2.0527500000000001E-2</v>
      </c>
      <c r="N341" s="54" cm="1">
        <f t="array" ref="N341">_xlfn.XLOOKUP(K341,LISTAS!$D$27:$D$47,_xlfn.XLOOKUP(J341,LISTAS!$E$26:$H$26,LISTAS!$E$27:$H$47))</f>
        <v>19575000</v>
      </c>
      <c r="O341" s="56" t="s">
        <v>1623</v>
      </c>
      <c r="P341" s="76" t="str">
        <f t="shared" ca="1" si="17"/>
        <v>Vencida</v>
      </c>
    </row>
    <row r="342" spans="1:16" x14ac:dyDescent="0.3">
      <c r="A342" s="58" t="s">
        <v>632</v>
      </c>
      <c r="B342" s="56" t="s">
        <v>236</v>
      </c>
      <c r="C342" s="50" t="str">
        <f>_xlfn.XLOOKUP(B342,CLIENTES!$A$2:$A$301,CLIENTES!$B$2:$B$301)</f>
        <v>Joaquín Herrera</v>
      </c>
      <c r="D342" s="60">
        <v>44865</v>
      </c>
      <c r="E342" s="60">
        <f t="shared" si="15"/>
        <v>45230</v>
      </c>
      <c r="F342" s="50" t="s">
        <v>1596</v>
      </c>
      <c r="G342" s="56" t="s">
        <v>1605</v>
      </c>
      <c r="H342" s="47">
        <v>65</v>
      </c>
      <c r="I342" s="60">
        <v>22177</v>
      </c>
      <c r="J342" s="56" t="s">
        <v>1609</v>
      </c>
      <c r="K342" s="56">
        <v>2022</v>
      </c>
      <c r="L342" s="52">
        <f t="shared" si="16"/>
        <v>25552.338749999999</v>
      </c>
      <c r="M342" s="56">
        <f>LISTAS!$B$22*_xlfn.XLOOKUP(G342,LISTAS!$B$27:$B$36,LISTAS!$A$27:$A$36)*_xlfn.XLOOKUP(H342,LISTAS!$B$38:$B$47,LISTAS!$A$38:$A$47,,-1)*_xlfn.XLOOKUP(J342,LISTAS!$E$26:$H$26,LISTAS!$E$48:$H$48)*_xlfn.XLOOKUP(F342,LISTAS!$A$15:$A$18,LISTAS!$H$15:$H$18)</f>
        <v>1.7595E-2</v>
      </c>
      <c r="N342" s="54" cm="1">
        <f t="array" ref="N342">_xlfn.XLOOKUP(K342,LISTAS!$D$27:$D$47,_xlfn.XLOOKUP(J342,LISTAS!$E$26:$H$26,LISTAS!$E$27:$H$47))</f>
        <v>17427000</v>
      </c>
      <c r="O342" s="56" t="s">
        <v>1623</v>
      </c>
      <c r="P342" s="76" t="str">
        <f t="shared" ca="1" si="17"/>
        <v>Vencida</v>
      </c>
    </row>
    <row r="343" spans="1:16" x14ac:dyDescent="0.3">
      <c r="A343" s="58" t="s">
        <v>633</v>
      </c>
      <c r="B343" s="56" t="s">
        <v>58</v>
      </c>
      <c r="C343" s="50" t="str">
        <f>_xlfn.XLOOKUP(B343,CLIENTES!$A$2:$A$301,CLIENTES!$B$2:$B$301)</f>
        <v>Gabriela Ferreyra</v>
      </c>
      <c r="D343" s="60">
        <v>45997</v>
      </c>
      <c r="E343" s="60">
        <f t="shared" si="15"/>
        <v>46362</v>
      </c>
      <c r="F343" s="50" t="s">
        <v>1598</v>
      </c>
      <c r="G343" s="56" t="s">
        <v>1603</v>
      </c>
      <c r="H343" s="47">
        <v>80</v>
      </c>
      <c r="I343" s="60">
        <v>16969</v>
      </c>
      <c r="J343" s="56" t="s">
        <v>1612</v>
      </c>
      <c r="K343" s="56">
        <v>2025</v>
      </c>
      <c r="L343" s="52">
        <f t="shared" si="16"/>
        <v>92259.44</v>
      </c>
      <c r="M343" s="56">
        <f>LISTAS!$B$22*_xlfn.XLOOKUP(G343,LISTAS!$B$27:$B$36,LISTAS!$A$27:$A$36)*_xlfn.XLOOKUP(H343,LISTAS!$B$38:$B$47,LISTAS!$A$38:$A$47,,-1)*_xlfn.XLOOKUP(J343,LISTAS!$E$26:$H$26,LISTAS!$E$48:$H$48)*_xlfn.XLOOKUP(F343,LISTAS!$A$15:$A$18,LISTAS!$H$15:$H$18)</f>
        <v>3.760575E-2</v>
      </c>
      <c r="N343" s="54" cm="1">
        <f t="array" ref="N343">_xlfn.XLOOKUP(K343,LISTAS!$D$27:$D$47,_xlfn.XLOOKUP(J343,LISTAS!$E$26:$H$26,LISTAS!$E$27:$H$47))</f>
        <v>29440000</v>
      </c>
      <c r="O343" s="56" t="s">
        <v>1623</v>
      </c>
      <c r="P343" s="76" t="str">
        <f t="shared" ca="1" si="17"/>
        <v>Vigente</v>
      </c>
    </row>
    <row r="344" spans="1:16" x14ac:dyDescent="0.3">
      <c r="A344" s="58" t="s">
        <v>634</v>
      </c>
      <c r="B344" s="56" t="s">
        <v>117</v>
      </c>
      <c r="C344" s="50" t="str">
        <f>_xlfn.XLOOKUP(B344,CLIENTES!$A$2:$A$301,CLIENTES!$B$2:$B$301)</f>
        <v>Gonzalo Gómez</v>
      </c>
      <c r="D344" s="60">
        <v>46119</v>
      </c>
      <c r="E344" s="60">
        <f t="shared" si="15"/>
        <v>46484</v>
      </c>
      <c r="F344" s="50" t="s">
        <v>1596</v>
      </c>
      <c r="G344" s="56" t="s">
        <v>1604</v>
      </c>
      <c r="H344" s="47">
        <v>22</v>
      </c>
      <c r="I344" s="60">
        <v>37916</v>
      </c>
      <c r="J344" s="56" t="s">
        <v>1610</v>
      </c>
      <c r="K344" s="56">
        <v>2021</v>
      </c>
      <c r="L344" s="52">
        <f t="shared" si="16"/>
        <v>56049.580125000015</v>
      </c>
      <c r="M344" s="56">
        <f>LISTAS!$B$22*_xlfn.XLOOKUP(G344,LISTAS!$B$27:$B$36,LISTAS!$A$27:$A$36)*_xlfn.XLOOKUP(H344,LISTAS!$B$38:$B$47,LISTAS!$A$38:$A$47,,-1)*_xlfn.XLOOKUP(J344,LISTAS!$E$26:$H$26,LISTAS!$E$48:$H$48)*_xlfn.XLOOKUP(F344,LISTAS!$A$15:$A$18,LISTAS!$H$15:$H$18)</f>
        <v>2.6507250000000007E-2</v>
      </c>
      <c r="N344" s="54" cm="1">
        <f t="array" ref="N344">_xlfn.XLOOKUP(K344,LISTAS!$D$27:$D$47,_xlfn.XLOOKUP(J344,LISTAS!$E$26:$H$26,LISTAS!$E$27:$H$47))</f>
        <v>25374000</v>
      </c>
      <c r="O344" s="56" t="s">
        <v>1624</v>
      </c>
      <c r="P344" s="76" t="str">
        <f t="shared" ca="1" si="17"/>
        <v>Vigente</v>
      </c>
    </row>
    <row r="345" spans="1:16" x14ac:dyDescent="0.3">
      <c r="A345" s="58" t="s">
        <v>635</v>
      </c>
      <c r="B345" s="56" t="s">
        <v>52</v>
      </c>
      <c r="C345" s="50" t="str">
        <f>_xlfn.XLOOKUP(B345,CLIENTES!$A$2:$A$301,CLIENTES!$B$2:$B$301)</f>
        <v>Maximiliano González</v>
      </c>
      <c r="D345" s="60">
        <v>45875</v>
      </c>
      <c r="E345" s="60">
        <f t="shared" si="15"/>
        <v>46240</v>
      </c>
      <c r="F345" s="50" t="s">
        <v>1595</v>
      </c>
      <c r="G345" s="56" t="s">
        <v>1599</v>
      </c>
      <c r="H345" s="47">
        <v>78</v>
      </c>
      <c r="I345" s="60">
        <v>17764</v>
      </c>
      <c r="J345" s="56" t="s">
        <v>1610</v>
      </c>
      <c r="K345" s="56">
        <v>2020</v>
      </c>
      <c r="L345" s="52">
        <f t="shared" si="16"/>
        <v>44196.173999999999</v>
      </c>
      <c r="M345" s="56">
        <f>LISTAS!$B$22*_xlfn.XLOOKUP(G345,LISTAS!$B$27:$B$36,LISTAS!$A$27:$A$36)*_xlfn.XLOOKUP(H345,LISTAS!$B$38:$B$47,LISTAS!$A$38:$A$47,,-1)*_xlfn.XLOOKUP(J345,LISTAS!$E$26:$H$26,LISTAS!$E$48:$H$48)*_xlfn.XLOOKUP(F345,LISTAS!$A$15:$A$18,LISTAS!$H$15:$H$18)</f>
        <v>2.2967999999999999E-2</v>
      </c>
      <c r="N345" s="54" cm="1">
        <f t="array" ref="N345">_xlfn.XLOOKUP(K345,LISTAS!$D$27:$D$47,_xlfn.XLOOKUP(J345,LISTAS!$E$26:$H$26,LISTAS!$E$27:$H$47))</f>
        <v>23091000</v>
      </c>
      <c r="O345" s="56" t="s">
        <v>1623</v>
      </c>
      <c r="P345" s="76" t="str">
        <f t="shared" ca="1" si="17"/>
        <v>Vencida</v>
      </c>
    </row>
    <row r="346" spans="1:16" x14ac:dyDescent="0.3">
      <c r="A346" s="58" t="s">
        <v>636</v>
      </c>
      <c r="B346" s="56" t="s">
        <v>178</v>
      </c>
      <c r="C346" s="50" t="str">
        <f>_xlfn.XLOOKUP(B346,CLIENTES!$A$2:$A$301,CLIENTES!$B$2:$B$301)</f>
        <v>Lautaro Ortiz</v>
      </c>
      <c r="D346" s="60">
        <v>45882</v>
      </c>
      <c r="E346" s="60">
        <f t="shared" si="15"/>
        <v>46247</v>
      </c>
      <c r="F346" s="50" t="s">
        <v>1597</v>
      </c>
      <c r="G346" s="56" t="s">
        <v>1603</v>
      </c>
      <c r="H346" s="47">
        <v>60</v>
      </c>
      <c r="I346" s="60">
        <v>24083</v>
      </c>
      <c r="J346" s="56" t="s">
        <v>1612</v>
      </c>
      <c r="K346" s="56">
        <v>2011</v>
      </c>
      <c r="L346" s="52">
        <f t="shared" si="16"/>
        <v>16473.288562500002</v>
      </c>
      <c r="M346" s="56">
        <f>LISTAS!$B$22*_xlfn.XLOOKUP(G346,LISTAS!$B$27:$B$36,LISTAS!$A$27:$A$36)*_xlfn.XLOOKUP(H346,LISTAS!$B$38:$B$47,LISTAS!$A$38:$A$47,,-1)*_xlfn.XLOOKUP(J346,LISTAS!$E$26:$H$26,LISTAS!$E$48:$H$48)*_xlfn.XLOOKUP(F346,LISTAS!$A$15:$A$18,LISTAS!$H$15:$H$18)</f>
        <v>2.3042250000000004E-2</v>
      </c>
      <c r="N346" s="54" cm="1">
        <f t="array" ref="N346">_xlfn.XLOOKUP(K346,LISTAS!$D$27:$D$47,_xlfn.XLOOKUP(J346,LISTAS!$E$26:$H$26,LISTAS!$E$27:$H$47))</f>
        <v>8579000</v>
      </c>
      <c r="O346" s="56" t="s">
        <v>1626</v>
      </c>
      <c r="P346" s="76" t="str">
        <f t="shared" ca="1" si="17"/>
        <v>Vencida</v>
      </c>
    </row>
    <row r="347" spans="1:16" x14ac:dyDescent="0.3">
      <c r="A347" s="58" t="s">
        <v>637</v>
      </c>
      <c r="B347" s="56" t="s">
        <v>162</v>
      </c>
      <c r="C347" s="50" t="str">
        <f>_xlfn.XLOOKUP(B347,CLIENTES!$A$2:$A$301,CLIENTES!$B$2:$B$301)</f>
        <v>Agustín Correa</v>
      </c>
      <c r="D347" s="60">
        <v>45907</v>
      </c>
      <c r="E347" s="60">
        <f t="shared" si="15"/>
        <v>46272</v>
      </c>
      <c r="F347" s="50" t="s">
        <v>1596</v>
      </c>
      <c r="G347" s="56" t="s">
        <v>1600</v>
      </c>
      <c r="H347" s="47">
        <v>19</v>
      </c>
      <c r="I347" s="60">
        <v>39305</v>
      </c>
      <c r="J347" s="56" t="s">
        <v>1609</v>
      </c>
      <c r="K347" s="56">
        <v>2021</v>
      </c>
      <c r="L347" s="52">
        <f t="shared" si="16"/>
        <v>38755.431250000001</v>
      </c>
      <c r="M347" s="56">
        <f>LISTAS!$B$22*_xlfn.XLOOKUP(G347,LISTAS!$B$27:$B$36,LISTAS!$A$27:$A$36)*_xlfn.XLOOKUP(H347,LISTAS!$B$38:$B$47,LISTAS!$A$38:$A$47,,-1)*_xlfn.XLOOKUP(J347,LISTAS!$E$26:$H$26,LISTAS!$E$48:$H$48)*_xlfn.XLOOKUP(F347,LISTAS!$A$15:$A$18,LISTAS!$H$15:$H$18)</f>
        <v>2.9325E-2</v>
      </c>
      <c r="N347" s="54" cm="1">
        <f t="array" ref="N347">_xlfn.XLOOKUP(K347,LISTAS!$D$27:$D$47,_xlfn.XLOOKUP(J347,LISTAS!$E$26:$H$26,LISTAS!$E$27:$H$47))</f>
        <v>15859000</v>
      </c>
      <c r="O347" s="56" t="s">
        <v>1625</v>
      </c>
      <c r="P347" s="76" t="str">
        <f t="shared" ca="1" si="17"/>
        <v>Vencida</v>
      </c>
    </row>
    <row r="348" spans="1:16" x14ac:dyDescent="0.3">
      <c r="A348" s="58" t="s">
        <v>638</v>
      </c>
      <c r="B348" s="56" t="s">
        <v>47</v>
      </c>
      <c r="C348" s="50" t="str">
        <f>_xlfn.XLOOKUP(B348,CLIENTES!$A$2:$A$301,CLIENTES!$B$2:$B$301)</f>
        <v>Mariano Castro</v>
      </c>
      <c r="D348" s="60">
        <v>45185</v>
      </c>
      <c r="E348" s="60">
        <f t="shared" si="15"/>
        <v>45551</v>
      </c>
      <c r="F348" s="50" t="s">
        <v>1596</v>
      </c>
      <c r="G348" s="56" t="s">
        <v>1608</v>
      </c>
      <c r="H348" s="47">
        <v>32</v>
      </c>
      <c r="I348" s="60">
        <v>34473</v>
      </c>
      <c r="J348" s="56" t="s">
        <v>1611</v>
      </c>
      <c r="K348" s="56">
        <v>2026</v>
      </c>
      <c r="L348" s="52">
        <f t="shared" si="16"/>
        <v>69646.875</v>
      </c>
      <c r="M348" s="56">
        <f>LISTAS!$B$22*_xlfn.XLOOKUP(G348,LISTAS!$B$27:$B$36,LISTAS!$A$27:$A$36)*_xlfn.XLOOKUP(H348,LISTAS!$B$38:$B$47,LISTAS!$A$38:$A$47,,-1)*_xlfn.XLOOKUP(J348,LISTAS!$E$26:$H$26,LISTAS!$E$48:$H$48)*_xlfn.XLOOKUP(F348,LISTAS!$A$15:$A$18,LISTAS!$H$15:$H$18)</f>
        <v>1.8572499999999999E-2</v>
      </c>
      <c r="N348" s="54" cm="1">
        <f t="array" ref="N348">_xlfn.XLOOKUP(K348,LISTAS!$D$27:$D$47,_xlfn.XLOOKUP(J348,LISTAS!$E$26:$H$26,LISTAS!$E$27:$H$47))</f>
        <v>45000000</v>
      </c>
      <c r="O348" s="56" t="s">
        <v>1623</v>
      </c>
      <c r="P348" s="76" t="str">
        <f t="shared" ca="1" si="17"/>
        <v>Vencida</v>
      </c>
    </row>
    <row r="349" spans="1:16" x14ac:dyDescent="0.3">
      <c r="A349" s="58" t="s">
        <v>639</v>
      </c>
      <c r="B349" s="56" t="s">
        <v>119</v>
      </c>
      <c r="C349" s="50" t="str">
        <f>_xlfn.XLOOKUP(B349,CLIENTES!$A$2:$A$301,CLIENTES!$B$2:$B$301)</f>
        <v>Juan Gómez</v>
      </c>
      <c r="D349" s="60">
        <v>44601</v>
      </c>
      <c r="E349" s="60">
        <f t="shared" si="15"/>
        <v>44966</v>
      </c>
      <c r="F349" s="50" t="s">
        <v>1597</v>
      </c>
      <c r="G349" s="56" t="s">
        <v>1606</v>
      </c>
      <c r="H349" s="47">
        <v>59</v>
      </c>
      <c r="I349" s="60">
        <v>24632</v>
      </c>
      <c r="J349" s="56" t="s">
        <v>1610</v>
      </c>
      <c r="K349" s="56">
        <v>2007</v>
      </c>
      <c r="L349" s="52">
        <f t="shared" si="16"/>
        <v>16526.583333333336</v>
      </c>
      <c r="M349" s="56">
        <f>LISTAS!$B$22*_xlfn.XLOOKUP(G349,LISTAS!$B$27:$B$36,LISTAS!$A$27:$A$36)*_xlfn.XLOOKUP(H349,LISTAS!$B$38:$B$47,LISTAS!$A$38:$A$47,,-1)*_xlfn.XLOOKUP(J349,LISTAS!$E$26:$H$26,LISTAS!$E$48:$H$48)*_xlfn.XLOOKUP(F349,LISTAS!$A$15:$A$18,LISTAS!$H$15:$H$18)</f>
        <v>2.4200000000000003E-2</v>
      </c>
      <c r="N349" s="54" cm="1">
        <f t="array" ref="N349">_xlfn.XLOOKUP(K349,LISTAS!$D$27:$D$47,_xlfn.XLOOKUP(J349,LISTAS!$E$26:$H$26,LISTAS!$E$27:$H$47))</f>
        <v>8195000</v>
      </c>
      <c r="O349" s="56" t="s">
        <v>1624</v>
      </c>
      <c r="P349" s="76" t="str">
        <f t="shared" ca="1" si="17"/>
        <v>Vencida</v>
      </c>
    </row>
    <row r="350" spans="1:16" x14ac:dyDescent="0.3">
      <c r="A350" s="58" t="s">
        <v>640</v>
      </c>
      <c r="B350" s="56" t="s">
        <v>266</v>
      </c>
      <c r="C350" s="50" t="str">
        <f>_xlfn.XLOOKUP(B350,CLIENTES!$A$2:$A$301,CLIENTES!$B$2:$B$301)</f>
        <v>Lucas Álvarez</v>
      </c>
      <c r="D350" s="60">
        <v>45330</v>
      </c>
      <c r="E350" s="60">
        <f t="shared" si="15"/>
        <v>45696</v>
      </c>
      <c r="F350" s="50" t="s">
        <v>1596</v>
      </c>
      <c r="G350" s="56" t="s">
        <v>1601</v>
      </c>
      <c r="H350" s="47">
        <v>34</v>
      </c>
      <c r="I350" s="60">
        <v>33471</v>
      </c>
      <c r="J350" s="56" t="s">
        <v>1611</v>
      </c>
      <c r="K350" s="56">
        <v>2023</v>
      </c>
      <c r="L350" s="52">
        <f t="shared" si="16"/>
        <v>64584.728333333333</v>
      </c>
      <c r="M350" s="56">
        <f>LISTAS!$B$22*_xlfn.XLOOKUP(G350,LISTAS!$B$27:$B$36,LISTAS!$A$27:$A$36)*_xlfn.XLOOKUP(H350,LISTAS!$B$38:$B$47,LISTAS!$A$38:$A$47,,-1)*_xlfn.XLOOKUP(J350,LISTAS!$E$26:$H$26,LISTAS!$E$48:$H$48)*_xlfn.XLOOKUP(F350,LISTAS!$A$15:$A$18,LISTAS!$H$15:$H$18)</f>
        <v>2.2482499999999999E-2</v>
      </c>
      <c r="N350" s="54" cm="1">
        <f t="array" ref="N350">_xlfn.XLOOKUP(K350,LISTAS!$D$27:$D$47,_xlfn.XLOOKUP(J350,LISTAS!$E$26:$H$26,LISTAS!$E$27:$H$47))</f>
        <v>34472000</v>
      </c>
      <c r="O350" s="56" t="s">
        <v>1623</v>
      </c>
      <c r="P350" s="76" t="str">
        <f t="shared" ca="1" si="17"/>
        <v>Vencida</v>
      </c>
    </row>
    <row r="351" spans="1:16" x14ac:dyDescent="0.3">
      <c r="A351" s="58" t="s">
        <v>641</v>
      </c>
      <c r="B351" s="56" t="s">
        <v>42</v>
      </c>
      <c r="C351" s="50" t="str">
        <f>_xlfn.XLOOKUP(B351,CLIENTES!$A$2:$A$301,CLIENTES!$B$2:$B$301)</f>
        <v>Pablo Torres</v>
      </c>
      <c r="D351" s="60">
        <v>45152</v>
      </c>
      <c r="E351" s="60">
        <f t="shared" si="15"/>
        <v>45518</v>
      </c>
      <c r="F351" s="50" t="s">
        <v>1595</v>
      </c>
      <c r="G351" s="56" t="s">
        <v>1607</v>
      </c>
      <c r="H351" s="47">
        <v>70</v>
      </c>
      <c r="I351" s="60">
        <v>20345</v>
      </c>
      <c r="J351" s="56" t="s">
        <v>1611</v>
      </c>
      <c r="K351" s="56">
        <v>2016</v>
      </c>
      <c r="L351" s="52">
        <f t="shared" si="16"/>
        <v>31722.152000000002</v>
      </c>
      <c r="M351" s="56">
        <f>LISTAS!$B$22*_xlfn.XLOOKUP(G351,LISTAS!$B$27:$B$36,LISTAS!$A$27:$A$36)*_xlfn.XLOOKUP(H351,LISTAS!$B$38:$B$47,LISTAS!$A$38:$A$47,,-1)*_xlfn.XLOOKUP(J351,LISTAS!$E$26:$H$26,LISTAS!$E$48:$H$48)*_xlfn.XLOOKUP(F351,LISTAS!$A$15:$A$18,LISTAS!$H$15:$H$18)</f>
        <v>2.1252E-2</v>
      </c>
      <c r="N351" s="54" cm="1">
        <f t="array" ref="N351">_xlfn.XLOOKUP(K351,LISTAS!$D$27:$D$47,_xlfn.XLOOKUP(J351,LISTAS!$E$26:$H$26,LISTAS!$E$27:$H$47))</f>
        <v>17912000</v>
      </c>
      <c r="O351" s="56" t="s">
        <v>1626</v>
      </c>
      <c r="P351" s="76" t="str">
        <f t="shared" ca="1" si="17"/>
        <v>Vencida</v>
      </c>
    </row>
    <row r="352" spans="1:16" x14ac:dyDescent="0.3">
      <c r="A352" s="58" t="s">
        <v>642</v>
      </c>
      <c r="B352" s="56" t="s">
        <v>65</v>
      </c>
      <c r="C352" s="50" t="str">
        <f>_xlfn.XLOOKUP(B352,CLIENTES!$A$2:$A$301,CLIENTES!$B$2:$B$301)</f>
        <v>Ignacio Castro</v>
      </c>
      <c r="D352" s="60">
        <v>45913</v>
      </c>
      <c r="E352" s="60">
        <f t="shared" si="15"/>
        <v>46278</v>
      </c>
      <c r="F352" s="50" t="s">
        <v>1597</v>
      </c>
      <c r="G352" s="56" t="s">
        <v>1603</v>
      </c>
      <c r="H352" s="47">
        <v>62</v>
      </c>
      <c r="I352" s="60">
        <v>23484</v>
      </c>
      <c r="J352" s="56" t="s">
        <v>1609</v>
      </c>
      <c r="K352" s="56">
        <v>2021</v>
      </c>
      <c r="L352" s="52">
        <f t="shared" si="16"/>
        <v>29002.146250000002</v>
      </c>
      <c r="M352" s="56">
        <f>LISTAS!$B$22*_xlfn.XLOOKUP(G352,LISTAS!$B$27:$B$36,LISTAS!$A$27:$A$36)*_xlfn.XLOOKUP(H352,LISTAS!$B$38:$B$47,LISTAS!$A$38:$A$47,,-1)*_xlfn.XLOOKUP(J352,LISTAS!$E$26:$H$26,LISTAS!$E$48:$H$48)*_xlfn.XLOOKUP(F352,LISTAS!$A$15:$A$18,LISTAS!$H$15:$H$18)</f>
        <v>2.1944999999999999E-2</v>
      </c>
      <c r="N352" s="54" cm="1">
        <f t="array" ref="N352">_xlfn.XLOOKUP(K352,LISTAS!$D$27:$D$47,_xlfn.XLOOKUP(J352,LISTAS!$E$26:$H$26,LISTAS!$E$27:$H$47))</f>
        <v>15859000</v>
      </c>
      <c r="O352" s="56" t="s">
        <v>1625</v>
      </c>
      <c r="P352" s="76" t="str">
        <f t="shared" ca="1" si="17"/>
        <v>Vencida</v>
      </c>
    </row>
    <row r="353" spans="1:16" x14ac:dyDescent="0.3">
      <c r="A353" s="58" t="s">
        <v>643</v>
      </c>
      <c r="B353" s="56" t="s">
        <v>218</v>
      </c>
      <c r="C353" s="50" t="str">
        <f>_xlfn.XLOOKUP(B353,CLIENTES!$A$2:$A$301,CLIENTES!$B$2:$B$301)</f>
        <v>Carolina Vera</v>
      </c>
      <c r="D353" s="60">
        <v>46183</v>
      </c>
      <c r="E353" s="60">
        <f t="shared" si="15"/>
        <v>46548</v>
      </c>
      <c r="F353" s="50" t="s">
        <v>1597</v>
      </c>
      <c r="G353" s="56" t="s">
        <v>1604</v>
      </c>
      <c r="H353" s="47">
        <v>31</v>
      </c>
      <c r="I353" s="60">
        <v>34744</v>
      </c>
      <c r="J353" s="56" t="s">
        <v>1612</v>
      </c>
      <c r="K353" s="56">
        <v>2024</v>
      </c>
      <c r="L353" s="52">
        <f t="shared" si="16"/>
        <v>54448.432500000017</v>
      </c>
      <c r="M353" s="56">
        <f>LISTAS!$B$22*_xlfn.XLOOKUP(G353,LISTAS!$B$27:$B$36,LISTAS!$A$27:$A$36)*_xlfn.XLOOKUP(H353,LISTAS!$B$38:$B$47,LISTAS!$A$38:$A$47,,-1)*_xlfn.XLOOKUP(J353,LISTAS!$E$26:$H$26,LISTAS!$E$48:$H$48)*_xlfn.XLOOKUP(F353,LISTAS!$A$15:$A$18,LISTAS!$H$15:$H$18)</f>
        <v>2.4255000000000006E-2</v>
      </c>
      <c r="N353" s="54" cm="1">
        <f t="array" ref="N353">_xlfn.XLOOKUP(K353,LISTAS!$D$27:$D$47,_xlfn.XLOOKUP(J353,LISTAS!$E$26:$H$26,LISTAS!$E$27:$H$47))</f>
        <v>26938000</v>
      </c>
      <c r="O353" s="56" t="s">
        <v>1624</v>
      </c>
      <c r="P353" s="76" t="str">
        <f t="shared" ca="1" si="17"/>
        <v>Vigente</v>
      </c>
    </row>
    <row r="354" spans="1:16" x14ac:dyDescent="0.3">
      <c r="A354" s="58" t="s">
        <v>644</v>
      </c>
      <c r="B354" s="56" t="s">
        <v>260</v>
      </c>
      <c r="C354" s="50" t="str">
        <f>_xlfn.XLOOKUP(B354,CLIENTES!$A$2:$A$301,CLIENTES!$B$2:$B$301)</f>
        <v>Daniela Quiroga</v>
      </c>
      <c r="D354" s="60">
        <v>44772</v>
      </c>
      <c r="E354" s="60">
        <f t="shared" si="15"/>
        <v>45137</v>
      </c>
      <c r="F354" s="50" t="s">
        <v>1598</v>
      </c>
      <c r="G354" s="56" t="s">
        <v>1604</v>
      </c>
      <c r="H354" s="47">
        <v>56</v>
      </c>
      <c r="I354" s="60">
        <v>25611</v>
      </c>
      <c r="J354" s="56" t="s">
        <v>1611</v>
      </c>
      <c r="K354" s="56">
        <v>2025</v>
      </c>
      <c r="L354" s="52">
        <f t="shared" si="16"/>
        <v>108312.75000000001</v>
      </c>
      <c r="M354" s="56">
        <f>LISTAS!$B$22*_xlfn.XLOOKUP(G354,LISTAS!$B$27:$B$36,LISTAS!$A$27:$A$36)*_xlfn.XLOOKUP(H354,LISTAS!$B$38:$B$47,LISTAS!$A$38:$A$47,,-1)*_xlfn.XLOOKUP(J354,LISTAS!$E$26:$H$26,LISTAS!$E$48:$H$48)*_xlfn.XLOOKUP(F354,LISTAS!$A$15:$A$18,LISTAS!$H$15:$H$18)</f>
        <v>3.1395000000000006E-2</v>
      </c>
      <c r="N354" s="54" cm="1">
        <f t="array" ref="N354">_xlfn.XLOOKUP(K354,LISTAS!$D$27:$D$47,_xlfn.XLOOKUP(J354,LISTAS!$E$26:$H$26,LISTAS!$E$27:$H$47))</f>
        <v>41400000</v>
      </c>
      <c r="O354" s="56" t="s">
        <v>1623</v>
      </c>
      <c r="P354" s="76" t="str">
        <f t="shared" ca="1" si="17"/>
        <v>Vencida</v>
      </c>
    </row>
    <row r="355" spans="1:16" x14ac:dyDescent="0.3">
      <c r="A355" s="58" t="s">
        <v>645</v>
      </c>
      <c r="B355" s="56" t="s">
        <v>133</v>
      </c>
      <c r="C355" s="50" t="str">
        <f>_xlfn.XLOOKUP(B355,CLIENTES!$A$2:$A$301,CLIENTES!$B$2:$B$301)</f>
        <v>Fernando Medina</v>
      </c>
      <c r="D355" s="60">
        <v>45542</v>
      </c>
      <c r="E355" s="60">
        <f t="shared" si="15"/>
        <v>45907</v>
      </c>
      <c r="F355" s="50" t="s">
        <v>1597</v>
      </c>
      <c r="G355" s="56" t="s">
        <v>1603</v>
      </c>
      <c r="H355" s="47">
        <v>23</v>
      </c>
      <c r="I355" s="60">
        <v>37640</v>
      </c>
      <c r="J355" s="56" t="s">
        <v>1609</v>
      </c>
      <c r="K355" s="56">
        <v>2022</v>
      </c>
      <c r="L355" s="52">
        <f t="shared" si="16"/>
        <v>40975.233750000007</v>
      </c>
      <c r="M355" s="56">
        <f>LISTAS!$B$22*_xlfn.XLOOKUP(G355,LISTAS!$B$27:$B$36,LISTAS!$A$27:$A$36)*_xlfn.XLOOKUP(H355,LISTAS!$B$38:$B$47,LISTAS!$A$38:$A$47,,-1)*_xlfn.XLOOKUP(J355,LISTAS!$E$26:$H$26,LISTAS!$E$48:$H$48)*_xlfn.XLOOKUP(F355,LISTAS!$A$15:$A$18,LISTAS!$H$15:$H$18)</f>
        <v>2.8215000000000004E-2</v>
      </c>
      <c r="N355" s="54" cm="1">
        <f t="array" ref="N355">_xlfn.XLOOKUP(K355,LISTAS!$D$27:$D$47,_xlfn.XLOOKUP(J355,LISTAS!$E$26:$H$26,LISTAS!$E$27:$H$47))</f>
        <v>17427000</v>
      </c>
      <c r="O355" s="56" t="s">
        <v>1624</v>
      </c>
      <c r="P355" s="76" t="str">
        <f t="shared" ca="1" si="17"/>
        <v>Vencida</v>
      </c>
    </row>
    <row r="356" spans="1:16" x14ac:dyDescent="0.3">
      <c r="A356" s="58" t="s">
        <v>646</v>
      </c>
      <c r="B356" s="56" t="s">
        <v>65</v>
      </c>
      <c r="C356" s="50" t="str">
        <f>_xlfn.XLOOKUP(B356,CLIENTES!$A$2:$A$301,CLIENTES!$B$2:$B$301)</f>
        <v>Ignacio Castro</v>
      </c>
      <c r="D356" s="60">
        <v>45258</v>
      </c>
      <c r="E356" s="60">
        <f t="shared" si="15"/>
        <v>45624</v>
      </c>
      <c r="F356" s="50" t="s">
        <v>1597</v>
      </c>
      <c r="G356" s="56" t="s">
        <v>1605</v>
      </c>
      <c r="H356" s="47">
        <v>71</v>
      </c>
      <c r="I356" s="60">
        <v>19973</v>
      </c>
      <c r="J356" s="56" t="s">
        <v>1611</v>
      </c>
      <c r="K356" s="56">
        <v>2025</v>
      </c>
      <c r="L356" s="52">
        <f t="shared" si="16"/>
        <v>109979.10000000002</v>
      </c>
      <c r="M356" s="56">
        <f>LISTAS!$B$22*_xlfn.XLOOKUP(G356,LISTAS!$B$27:$B$36,LISTAS!$A$27:$A$36)*_xlfn.XLOOKUP(H356,LISTAS!$B$38:$B$47,LISTAS!$A$38:$A$47,,-1)*_xlfn.XLOOKUP(J356,LISTAS!$E$26:$H$26,LISTAS!$E$48:$H$48)*_xlfn.XLOOKUP(F356,LISTAS!$A$15:$A$18,LISTAS!$H$15:$H$18)</f>
        <v>3.1878000000000004E-2</v>
      </c>
      <c r="N356" s="54" cm="1">
        <f t="array" ref="N356">_xlfn.XLOOKUP(K356,LISTAS!$D$27:$D$47,_xlfn.XLOOKUP(J356,LISTAS!$E$26:$H$26,LISTAS!$E$27:$H$47))</f>
        <v>41400000</v>
      </c>
      <c r="O356" s="56" t="s">
        <v>1624</v>
      </c>
      <c r="P356" s="76" t="str">
        <f t="shared" ca="1" si="17"/>
        <v>Vencida</v>
      </c>
    </row>
    <row r="357" spans="1:16" x14ac:dyDescent="0.3">
      <c r="A357" s="58" t="s">
        <v>647</v>
      </c>
      <c r="B357" s="56" t="s">
        <v>200</v>
      </c>
      <c r="C357" s="50" t="str">
        <f>_xlfn.XLOOKUP(B357,CLIENTES!$A$2:$A$301,CLIENTES!$B$2:$B$301)</f>
        <v>Gabriela Sosa</v>
      </c>
      <c r="D357" s="60">
        <v>45918</v>
      </c>
      <c r="E357" s="60">
        <f t="shared" si="15"/>
        <v>46283</v>
      </c>
      <c r="F357" s="50" t="s">
        <v>1597</v>
      </c>
      <c r="G357" s="56" t="s">
        <v>1601</v>
      </c>
      <c r="H357" s="47">
        <v>67</v>
      </c>
      <c r="I357" s="60">
        <v>21465</v>
      </c>
      <c r="J357" s="56" t="s">
        <v>1611</v>
      </c>
      <c r="K357" s="56">
        <v>2023</v>
      </c>
      <c r="L357" s="52">
        <f t="shared" si="16"/>
        <v>96117.272166666648</v>
      </c>
      <c r="M357" s="56">
        <f>LISTAS!$B$22*_xlfn.XLOOKUP(G357,LISTAS!$B$27:$B$36,LISTAS!$A$27:$A$36)*_xlfn.XLOOKUP(H357,LISTAS!$B$38:$B$47,LISTAS!$A$38:$A$47,,-1)*_xlfn.XLOOKUP(J357,LISTAS!$E$26:$H$26,LISTAS!$E$48:$H$48)*_xlfn.XLOOKUP(F357,LISTAS!$A$15:$A$18,LISTAS!$H$15:$H$18)</f>
        <v>3.3459249999999996E-2</v>
      </c>
      <c r="N357" s="54" cm="1">
        <f t="array" ref="N357">_xlfn.XLOOKUP(K357,LISTAS!$D$27:$D$47,_xlfn.XLOOKUP(J357,LISTAS!$E$26:$H$26,LISTAS!$E$27:$H$47))</f>
        <v>34472000</v>
      </c>
      <c r="O357" s="56" t="s">
        <v>1624</v>
      </c>
      <c r="P357" s="76" t="str">
        <f t="shared" ca="1" si="17"/>
        <v>Vencida</v>
      </c>
    </row>
    <row r="358" spans="1:16" x14ac:dyDescent="0.3">
      <c r="A358" s="58" t="s">
        <v>648</v>
      </c>
      <c r="B358" s="56" t="s">
        <v>273</v>
      </c>
      <c r="C358" s="50" t="str">
        <f>_xlfn.XLOOKUP(B358,CLIENTES!$A$2:$A$301,CLIENTES!$B$2:$B$301)</f>
        <v>Nicolás Ramírez</v>
      </c>
      <c r="D358" s="60">
        <v>46241</v>
      </c>
      <c r="E358" s="60">
        <f t="shared" si="15"/>
        <v>46606</v>
      </c>
      <c r="F358" s="50" t="s">
        <v>1597</v>
      </c>
      <c r="G358" s="56" t="s">
        <v>1606</v>
      </c>
      <c r="H358" s="47">
        <v>30</v>
      </c>
      <c r="I358" s="60">
        <v>35099</v>
      </c>
      <c r="J358" s="56" t="s">
        <v>1612</v>
      </c>
      <c r="K358" s="56">
        <v>2024</v>
      </c>
      <c r="L358" s="52">
        <f t="shared" si="16"/>
        <v>51855.65</v>
      </c>
      <c r="M358" s="56">
        <f>LISTAS!$B$22*_xlfn.XLOOKUP(G358,LISTAS!$B$27:$B$36,LISTAS!$A$27:$A$36)*_xlfn.XLOOKUP(H358,LISTAS!$B$38:$B$47,LISTAS!$A$38:$A$47,,-1)*_xlfn.XLOOKUP(J358,LISTAS!$E$26:$H$26,LISTAS!$E$48:$H$48)*_xlfn.XLOOKUP(F358,LISTAS!$A$15:$A$18,LISTAS!$H$15:$H$18)</f>
        <v>2.3100000000000002E-2</v>
      </c>
      <c r="N358" s="54" cm="1">
        <f t="array" ref="N358">_xlfn.XLOOKUP(K358,LISTAS!$D$27:$D$47,_xlfn.XLOOKUP(J358,LISTAS!$E$26:$H$26,LISTAS!$E$27:$H$47))</f>
        <v>26938000</v>
      </c>
      <c r="O358" s="56" t="s">
        <v>1625</v>
      </c>
      <c r="P358" s="76" t="str">
        <f t="shared" ca="1" si="17"/>
        <v>Vigente</v>
      </c>
    </row>
    <row r="359" spans="1:16" x14ac:dyDescent="0.3">
      <c r="A359" s="58" t="s">
        <v>649</v>
      </c>
      <c r="B359" s="56" t="s">
        <v>237</v>
      </c>
      <c r="C359" s="50" t="str">
        <f>_xlfn.XLOOKUP(B359,CLIENTES!$A$2:$A$301,CLIENTES!$B$2:$B$301)</f>
        <v>Florencia Peralta</v>
      </c>
      <c r="D359" s="60">
        <v>45997</v>
      </c>
      <c r="E359" s="60">
        <f t="shared" si="15"/>
        <v>46362</v>
      </c>
      <c r="F359" s="50" t="s">
        <v>1598</v>
      </c>
      <c r="G359" s="56" t="s">
        <v>1604</v>
      </c>
      <c r="H359" s="47">
        <v>18</v>
      </c>
      <c r="I359" s="60">
        <v>39393</v>
      </c>
      <c r="J359" s="56" t="s">
        <v>1610</v>
      </c>
      <c r="K359" s="56">
        <v>2023</v>
      </c>
      <c r="L359" s="52">
        <f t="shared" si="16"/>
        <v>115022.40750000002</v>
      </c>
      <c r="M359" s="56">
        <f>LISTAS!$B$22*_xlfn.XLOOKUP(G359,LISTAS!$B$27:$B$36,LISTAS!$A$27:$A$36)*_xlfn.XLOOKUP(H359,LISTAS!$B$38:$B$47,LISTAS!$A$38:$A$47,,-1)*_xlfn.XLOOKUP(J359,LISTAS!$E$26:$H$26,LISTAS!$E$48:$H$48)*_xlfn.XLOOKUP(F359,LISTAS!$A$15:$A$18,LISTAS!$H$15:$H$18)</f>
        <v>4.5045000000000002E-2</v>
      </c>
      <c r="N359" s="54" cm="1">
        <f t="array" ref="N359">_xlfn.XLOOKUP(K359,LISTAS!$D$27:$D$47,_xlfn.XLOOKUP(J359,LISTAS!$E$26:$H$26,LISTAS!$E$27:$H$47))</f>
        <v>30642000</v>
      </c>
      <c r="O359" s="56" t="s">
        <v>1623</v>
      </c>
      <c r="P359" s="76" t="str">
        <f t="shared" ca="1" si="17"/>
        <v>Vigente</v>
      </c>
    </row>
    <row r="360" spans="1:16" x14ac:dyDescent="0.3">
      <c r="A360" s="58" t="s">
        <v>650</v>
      </c>
      <c r="B360" s="56" t="s">
        <v>169</v>
      </c>
      <c r="C360" s="50" t="str">
        <f>_xlfn.XLOOKUP(B360,CLIENTES!$A$2:$A$301,CLIENTES!$B$2:$B$301)</f>
        <v>Pablo Ruiz</v>
      </c>
      <c r="D360" s="60">
        <v>44628</v>
      </c>
      <c r="E360" s="60">
        <f t="shared" si="15"/>
        <v>44993</v>
      </c>
      <c r="F360" s="50" t="s">
        <v>1597</v>
      </c>
      <c r="G360" s="56" t="s">
        <v>1608</v>
      </c>
      <c r="H360" s="47">
        <v>71</v>
      </c>
      <c r="I360" s="60">
        <v>20308</v>
      </c>
      <c r="J360" s="56" t="s">
        <v>1612</v>
      </c>
      <c r="K360" s="56">
        <v>2021</v>
      </c>
      <c r="L360" s="52">
        <f t="shared" si="16"/>
        <v>51970.514750000002</v>
      </c>
      <c r="M360" s="56">
        <f>LISTAS!$B$22*_xlfn.XLOOKUP(G360,LISTAS!$B$27:$B$36,LISTAS!$A$27:$A$36)*_xlfn.XLOOKUP(H360,LISTAS!$B$38:$B$47,LISTAS!$A$38:$A$47,,-1)*_xlfn.XLOOKUP(J360,LISTAS!$E$26:$H$26,LISTAS!$E$48:$H$48)*_xlfn.XLOOKUP(F360,LISTAS!$A$15:$A$18,LISTAS!$H$15:$H$18)</f>
        <v>3.0723000000000004E-2</v>
      </c>
      <c r="N360" s="54" cm="1">
        <f t="array" ref="N360">_xlfn.XLOOKUP(K360,LISTAS!$D$27:$D$47,_xlfn.XLOOKUP(J360,LISTAS!$E$26:$H$26,LISTAS!$E$27:$H$47))</f>
        <v>20299000</v>
      </c>
      <c r="O360" s="56" t="s">
        <v>1623</v>
      </c>
      <c r="P360" s="76" t="str">
        <f t="shared" ca="1" si="17"/>
        <v>Vencida</v>
      </c>
    </row>
    <row r="361" spans="1:16" x14ac:dyDescent="0.3">
      <c r="A361" s="58" t="s">
        <v>651</v>
      </c>
      <c r="B361" s="56" t="s">
        <v>51</v>
      </c>
      <c r="C361" s="50" t="str">
        <f>_xlfn.XLOOKUP(B361,CLIENTES!$A$2:$A$301,CLIENTES!$B$2:$B$301)</f>
        <v>Ignacio Silva</v>
      </c>
      <c r="D361" s="60">
        <v>44893</v>
      </c>
      <c r="E361" s="60">
        <f t="shared" si="15"/>
        <v>45258</v>
      </c>
      <c r="F361" s="50" t="s">
        <v>1597</v>
      </c>
      <c r="G361" s="56" t="s">
        <v>1603</v>
      </c>
      <c r="H361" s="47">
        <v>43</v>
      </c>
      <c r="I361" s="60">
        <v>30220</v>
      </c>
      <c r="J361" s="56" t="s">
        <v>1611</v>
      </c>
      <c r="K361" s="56">
        <v>2019</v>
      </c>
      <c r="L361" s="52">
        <f t="shared" si="16"/>
        <v>44979.599729166664</v>
      </c>
      <c r="M361" s="56">
        <f>LISTAS!$B$22*_xlfn.XLOOKUP(G361,LISTAS!$B$27:$B$36,LISTAS!$A$27:$A$36)*_xlfn.XLOOKUP(H361,LISTAS!$B$38:$B$47,LISTAS!$A$38:$A$47,,-1)*_xlfn.XLOOKUP(J361,LISTAS!$E$26:$H$26,LISTAS!$E$48:$H$48)*_xlfn.XLOOKUP(F361,LISTAS!$A$15:$A$18,LISTAS!$H$15:$H$18)</f>
        <v>2.2833249999999999E-2</v>
      </c>
      <c r="N361" s="54" cm="1">
        <f t="array" ref="N361">_xlfn.XLOOKUP(K361,LISTAS!$D$27:$D$47,_xlfn.XLOOKUP(J361,LISTAS!$E$26:$H$26,LISTAS!$E$27:$H$47))</f>
        <v>23639000</v>
      </c>
      <c r="O361" s="56" t="s">
        <v>1623</v>
      </c>
      <c r="P361" s="76" t="str">
        <f t="shared" ca="1" si="17"/>
        <v>Vencida</v>
      </c>
    </row>
    <row r="362" spans="1:16" x14ac:dyDescent="0.3">
      <c r="A362" s="58" t="s">
        <v>652</v>
      </c>
      <c r="B362" s="56" t="s">
        <v>206</v>
      </c>
      <c r="C362" s="50" t="str">
        <f>_xlfn.XLOOKUP(B362,CLIENTES!$A$2:$A$301,CLIENTES!$B$2:$B$301)</f>
        <v>Pedro Díaz</v>
      </c>
      <c r="D362" s="60">
        <v>45922</v>
      </c>
      <c r="E362" s="60">
        <f t="shared" si="15"/>
        <v>46287</v>
      </c>
      <c r="F362" s="50" t="s">
        <v>1596</v>
      </c>
      <c r="G362" s="56" t="s">
        <v>1603</v>
      </c>
      <c r="H362" s="47">
        <v>39</v>
      </c>
      <c r="I362" s="60">
        <v>31758</v>
      </c>
      <c r="J362" s="56" t="s">
        <v>1609</v>
      </c>
      <c r="K362" s="56">
        <v>2025</v>
      </c>
      <c r="L362" s="52">
        <f t="shared" si="16"/>
        <v>30954.166666666661</v>
      </c>
      <c r="M362" s="56">
        <f>LISTAS!$B$22*_xlfn.XLOOKUP(G362,LISTAS!$B$27:$B$36,LISTAS!$A$27:$A$36)*_xlfn.XLOOKUP(H362,LISTAS!$B$38:$B$47,LISTAS!$A$38:$A$47,,-1)*_xlfn.XLOOKUP(J362,LISTAS!$E$26:$H$26,LISTAS!$E$48:$H$48)*_xlfn.XLOOKUP(F362,LISTAS!$A$15:$A$18,LISTAS!$H$15:$H$18)</f>
        <v>1.6149999999999998E-2</v>
      </c>
      <c r="N362" s="54" cm="1">
        <f t="array" ref="N362">_xlfn.XLOOKUP(K362,LISTAS!$D$27:$D$47,_xlfn.XLOOKUP(J362,LISTAS!$E$26:$H$26,LISTAS!$E$27:$H$47))</f>
        <v>23000000</v>
      </c>
      <c r="O362" s="56" t="s">
        <v>1625</v>
      </c>
      <c r="P362" s="76" t="str">
        <f t="shared" ca="1" si="17"/>
        <v>Vigente</v>
      </c>
    </row>
    <row r="363" spans="1:16" x14ac:dyDescent="0.3">
      <c r="A363" s="58" t="s">
        <v>653</v>
      </c>
      <c r="B363" s="56" t="s">
        <v>235</v>
      </c>
      <c r="C363" s="50" t="str">
        <f>_xlfn.XLOOKUP(B363,CLIENTES!$A$2:$A$301,CLIENTES!$B$2:$B$301)</f>
        <v>Rodrigo Cabrera</v>
      </c>
      <c r="D363" s="60">
        <v>44431</v>
      </c>
      <c r="E363" s="60">
        <f t="shared" si="15"/>
        <v>44796</v>
      </c>
      <c r="F363" s="50" t="s">
        <v>1595</v>
      </c>
      <c r="G363" s="56" t="s">
        <v>1600</v>
      </c>
      <c r="H363" s="47">
        <v>49</v>
      </c>
      <c r="I363" s="60">
        <v>28135</v>
      </c>
      <c r="J363" s="56" t="s">
        <v>1609</v>
      </c>
      <c r="K363" s="56">
        <v>2020</v>
      </c>
      <c r="L363" s="52">
        <f t="shared" si="16"/>
        <v>15766.96</v>
      </c>
      <c r="M363" s="56">
        <f>LISTAS!$B$22*_xlfn.XLOOKUP(G363,LISTAS!$B$27:$B$36,LISTAS!$A$27:$A$36)*_xlfn.XLOOKUP(H363,LISTAS!$B$38:$B$47,LISTAS!$A$38:$A$47,,-1)*_xlfn.XLOOKUP(J363,LISTAS!$E$26:$H$26,LISTAS!$E$48:$H$48)*_xlfn.XLOOKUP(F363,LISTAS!$A$15:$A$18,LISTAS!$H$15:$H$18)</f>
        <v>1.3109999999999998E-2</v>
      </c>
      <c r="N363" s="54" cm="1">
        <f t="array" ref="N363">_xlfn.XLOOKUP(K363,LISTAS!$D$27:$D$47,_xlfn.XLOOKUP(J363,LISTAS!$E$26:$H$26,LISTAS!$E$27:$H$47))</f>
        <v>14432000</v>
      </c>
      <c r="O363" s="56" t="s">
        <v>1623</v>
      </c>
      <c r="P363" s="76" t="str">
        <f t="shared" ca="1" si="17"/>
        <v>Vencida</v>
      </c>
    </row>
    <row r="364" spans="1:16" x14ac:dyDescent="0.3">
      <c r="A364" s="58" t="s">
        <v>654</v>
      </c>
      <c r="B364" s="56" t="s">
        <v>100</v>
      </c>
      <c r="C364" s="50" t="str">
        <f>_xlfn.XLOOKUP(B364,CLIENTES!$A$2:$A$301,CLIENTES!$B$2:$B$301)</f>
        <v>Maximiliano Acosta</v>
      </c>
      <c r="D364" s="60">
        <v>44555</v>
      </c>
      <c r="E364" s="60">
        <f t="shared" si="15"/>
        <v>44920</v>
      </c>
      <c r="F364" s="50" t="s">
        <v>1595</v>
      </c>
      <c r="G364" s="56" t="s">
        <v>1602</v>
      </c>
      <c r="H364" s="47">
        <v>23</v>
      </c>
      <c r="I364" s="60">
        <v>37765</v>
      </c>
      <c r="J364" s="56" t="s">
        <v>1611</v>
      </c>
      <c r="K364" s="56">
        <v>2025</v>
      </c>
      <c r="L364" s="52">
        <f t="shared" si="16"/>
        <v>67487.175000000003</v>
      </c>
      <c r="M364" s="56">
        <f>LISTAS!$B$22*_xlfn.XLOOKUP(G364,LISTAS!$B$27:$B$36,LISTAS!$A$27:$A$36)*_xlfn.XLOOKUP(H364,LISTAS!$B$38:$B$47,LISTAS!$A$38:$A$47,,-1)*_xlfn.XLOOKUP(J364,LISTAS!$E$26:$H$26,LISTAS!$E$48:$H$48)*_xlfn.XLOOKUP(F364,LISTAS!$A$15:$A$18,LISTAS!$H$15:$H$18)</f>
        <v>1.9561499999999999E-2</v>
      </c>
      <c r="N364" s="54" cm="1">
        <f t="array" ref="N364">_xlfn.XLOOKUP(K364,LISTAS!$D$27:$D$47,_xlfn.XLOOKUP(J364,LISTAS!$E$26:$H$26,LISTAS!$E$27:$H$47))</f>
        <v>41400000</v>
      </c>
      <c r="O364" s="56" t="s">
        <v>1626</v>
      </c>
      <c r="P364" s="76" t="str">
        <f t="shared" ca="1" si="17"/>
        <v>Vencida</v>
      </c>
    </row>
    <row r="365" spans="1:16" x14ac:dyDescent="0.3">
      <c r="A365" s="58" t="s">
        <v>655</v>
      </c>
      <c r="B365" s="56" t="s">
        <v>209</v>
      </c>
      <c r="C365" s="50" t="str">
        <f>_xlfn.XLOOKUP(B365,CLIENTES!$A$2:$A$301,CLIENTES!$B$2:$B$301)</f>
        <v>Camila Domínguez</v>
      </c>
      <c r="D365" s="60">
        <v>44940</v>
      </c>
      <c r="E365" s="60">
        <f t="shared" si="15"/>
        <v>45305</v>
      </c>
      <c r="F365" s="50" t="s">
        <v>1595</v>
      </c>
      <c r="G365" s="56" t="s">
        <v>1603</v>
      </c>
      <c r="H365" s="47">
        <v>45</v>
      </c>
      <c r="I365" s="60">
        <v>29489</v>
      </c>
      <c r="J365" s="56" t="s">
        <v>1609</v>
      </c>
      <c r="K365" s="56">
        <v>2021</v>
      </c>
      <c r="L365" s="52">
        <f t="shared" si="16"/>
        <v>14312.747499999999</v>
      </c>
      <c r="M365" s="56">
        <f>LISTAS!$B$22*_xlfn.XLOOKUP(G365,LISTAS!$B$27:$B$36,LISTAS!$A$27:$A$36)*_xlfn.XLOOKUP(H365,LISTAS!$B$38:$B$47,LISTAS!$A$38:$A$47,,-1)*_xlfn.XLOOKUP(J365,LISTAS!$E$26:$H$26,LISTAS!$E$48:$H$48)*_xlfn.XLOOKUP(F365,LISTAS!$A$15:$A$18,LISTAS!$H$15:$H$18)</f>
        <v>1.0829999999999999E-2</v>
      </c>
      <c r="N365" s="54" cm="1">
        <f t="array" ref="N365">_xlfn.XLOOKUP(K365,LISTAS!$D$27:$D$47,_xlfn.XLOOKUP(J365,LISTAS!$E$26:$H$26,LISTAS!$E$27:$H$47))</f>
        <v>15859000</v>
      </c>
      <c r="O365" s="56" t="s">
        <v>1623</v>
      </c>
      <c r="P365" s="76" t="str">
        <f t="shared" ca="1" si="17"/>
        <v>Vencida</v>
      </c>
    </row>
    <row r="366" spans="1:16" x14ac:dyDescent="0.3">
      <c r="A366" s="58" t="s">
        <v>656</v>
      </c>
      <c r="B366" s="56" t="s">
        <v>219</v>
      </c>
      <c r="C366" s="50" t="str">
        <f>_xlfn.XLOOKUP(B366,CLIENTES!$A$2:$A$301,CLIENTES!$B$2:$B$301)</f>
        <v>Joaquín Pereyra</v>
      </c>
      <c r="D366" s="60">
        <v>45938</v>
      </c>
      <c r="E366" s="60">
        <f t="shared" si="15"/>
        <v>46303</v>
      </c>
      <c r="F366" s="50" t="s">
        <v>1597</v>
      </c>
      <c r="G366" s="56" t="s">
        <v>1604</v>
      </c>
      <c r="H366" s="47">
        <v>44</v>
      </c>
      <c r="I366" s="60">
        <v>30086</v>
      </c>
      <c r="J366" s="56" t="s">
        <v>1612</v>
      </c>
      <c r="K366" s="56">
        <v>2023</v>
      </c>
      <c r="L366" s="52">
        <f t="shared" si="16"/>
        <v>47069.556187500006</v>
      </c>
      <c r="M366" s="56">
        <f>LISTAS!$B$22*_xlfn.XLOOKUP(G366,LISTAS!$B$27:$B$36,LISTAS!$A$27:$A$36)*_xlfn.XLOOKUP(H366,LISTAS!$B$38:$B$47,LISTAS!$A$38:$A$47,,-1)*_xlfn.XLOOKUP(J366,LISTAS!$E$26:$H$26,LISTAS!$E$48:$H$48)*_xlfn.XLOOKUP(F366,LISTAS!$A$15:$A$18,LISTAS!$H$15:$H$18)</f>
        <v>2.3042250000000004E-2</v>
      </c>
      <c r="N366" s="54" cm="1">
        <f t="array" ref="N366">_xlfn.XLOOKUP(K366,LISTAS!$D$27:$D$47,_xlfn.XLOOKUP(J366,LISTAS!$E$26:$H$26,LISTAS!$E$27:$H$47))</f>
        <v>24513000</v>
      </c>
      <c r="O366" s="56" t="s">
        <v>1626</v>
      </c>
      <c r="P366" s="76" t="str">
        <f t="shared" ca="1" si="17"/>
        <v>Vigente</v>
      </c>
    </row>
    <row r="367" spans="1:16" x14ac:dyDescent="0.3">
      <c r="A367" s="58" t="s">
        <v>657</v>
      </c>
      <c r="B367" s="56" t="s">
        <v>165</v>
      </c>
      <c r="C367" s="50" t="str">
        <f>_xlfn.XLOOKUP(B367,CLIENTES!$A$2:$A$301,CLIENTES!$B$2:$B$301)</f>
        <v>Gabriela Quiroga</v>
      </c>
      <c r="D367" s="60">
        <v>45644</v>
      </c>
      <c r="E367" s="60">
        <f t="shared" si="15"/>
        <v>46009</v>
      </c>
      <c r="F367" s="50" t="s">
        <v>1595</v>
      </c>
      <c r="G367" s="56" t="s">
        <v>1607</v>
      </c>
      <c r="H367" s="47">
        <v>66</v>
      </c>
      <c r="I367" s="60">
        <v>22011</v>
      </c>
      <c r="J367" s="56" t="s">
        <v>1612</v>
      </c>
      <c r="K367" s="56">
        <v>2025</v>
      </c>
      <c r="L367" s="52">
        <f t="shared" si="16"/>
        <v>39103.68</v>
      </c>
      <c r="M367" s="56">
        <f>LISTAS!$B$22*_xlfn.XLOOKUP(G367,LISTAS!$B$27:$B$36,LISTAS!$A$27:$A$36)*_xlfn.XLOOKUP(H367,LISTAS!$B$38:$B$47,LISTAS!$A$38:$A$47,,-1)*_xlfn.XLOOKUP(J367,LISTAS!$E$26:$H$26,LISTAS!$E$48:$H$48)*_xlfn.XLOOKUP(F367,LISTAS!$A$15:$A$18,LISTAS!$H$15:$H$18)</f>
        <v>1.5939000000000002E-2</v>
      </c>
      <c r="N367" s="54" cm="1">
        <f t="array" ref="N367">_xlfn.XLOOKUP(K367,LISTAS!$D$27:$D$47,_xlfn.XLOOKUP(J367,LISTAS!$E$26:$H$26,LISTAS!$E$27:$H$47))</f>
        <v>29440000</v>
      </c>
      <c r="O367" s="56" t="s">
        <v>1624</v>
      </c>
      <c r="P367" s="76" t="str">
        <f t="shared" ca="1" si="17"/>
        <v>Vencida</v>
      </c>
    </row>
    <row r="368" spans="1:16" x14ac:dyDescent="0.3">
      <c r="A368" s="58" t="s">
        <v>658</v>
      </c>
      <c r="B368" s="56" t="s">
        <v>61</v>
      </c>
      <c r="C368" s="50" t="str">
        <f>_xlfn.XLOOKUP(B368,CLIENTES!$A$2:$A$301,CLIENTES!$B$2:$B$301)</f>
        <v>Mariana Ponce</v>
      </c>
      <c r="D368" s="60">
        <v>45642</v>
      </c>
      <c r="E368" s="60">
        <f t="shared" si="15"/>
        <v>46007</v>
      </c>
      <c r="F368" s="50" t="s">
        <v>1596</v>
      </c>
      <c r="G368" s="56" t="s">
        <v>1606</v>
      </c>
      <c r="H368" s="47">
        <v>74</v>
      </c>
      <c r="I368" s="60">
        <v>19011</v>
      </c>
      <c r="J368" s="56" t="s">
        <v>1611</v>
      </c>
      <c r="K368" s="56">
        <v>2021</v>
      </c>
      <c r="L368" s="52">
        <f t="shared" si="16"/>
        <v>65108.668333333313</v>
      </c>
      <c r="M368" s="56">
        <f>LISTAS!$B$22*_xlfn.XLOOKUP(G368,LISTAS!$B$27:$B$36,LISTAS!$A$27:$A$36)*_xlfn.XLOOKUP(H368,LISTAS!$B$38:$B$47,LISTAS!$A$38:$A$47,,-1)*_xlfn.XLOOKUP(J368,LISTAS!$E$26:$H$26,LISTAS!$E$48:$H$48)*_xlfn.XLOOKUP(F368,LISTAS!$A$15:$A$18,LISTAS!$H$15:$H$18)</f>
        <v>2.7369999999999992E-2</v>
      </c>
      <c r="N368" s="54" cm="1">
        <f t="array" ref="N368">_xlfn.XLOOKUP(K368,LISTAS!$D$27:$D$47,_xlfn.XLOOKUP(J368,LISTAS!$E$26:$H$26,LISTAS!$E$27:$H$47))</f>
        <v>28546000</v>
      </c>
      <c r="O368" s="56" t="s">
        <v>1624</v>
      </c>
      <c r="P368" s="76" t="str">
        <f t="shared" ca="1" si="17"/>
        <v>Vencida</v>
      </c>
    </row>
    <row r="369" spans="1:16" x14ac:dyDescent="0.3">
      <c r="A369" s="58" t="s">
        <v>659</v>
      </c>
      <c r="B369" s="56" t="s">
        <v>185</v>
      </c>
      <c r="C369" s="50" t="str">
        <f>_xlfn.XLOOKUP(B369,CLIENTES!$A$2:$A$301,CLIENTES!$B$2:$B$301)</f>
        <v>Mateo Gómez</v>
      </c>
      <c r="D369" s="60">
        <v>45309</v>
      </c>
      <c r="E369" s="60">
        <f t="shared" si="15"/>
        <v>45675</v>
      </c>
      <c r="F369" s="50" t="s">
        <v>1597</v>
      </c>
      <c r="G369" s="56" t="s">
        <v>1599</v>
      </c>
      <c r="H369" s="47">
        <v>23</v>
      </c>
      <c r="I369" s="60">
        <v>37489</v>
      </c>
      <c r="J369" s="56" t="s">
        <v>1611</v>
      </c>
      <c r="K369" s="56">
        <v>2013</v>
      </c>
      <c r="L369" s="52">
        <f t="shared" si="16"/>
        <v>47895.556500000006</v>
      </c>
      <c r="M369" s="56">
        <f>LISTAS!$B$22*_xlfn.XLOOKUP(G369,LISTAS!$B$27:$B$36,LISTAS!$A$27:$A$36)*_xlfn.XLOOKUP(H369,LISTAS!$B$38:$B$47,LISTAS!$A$38:$A$47,,-1)*_xlfn.XLOOKUP(J369,LISTAS!$E$26:$H$26,LISTAS!$E$48:$H$48)*_xlfn.XLOOKUP(F369,LISTAS!$A$15:$A$18,LISTAS!$H$15:$H$18)</f>
        <v>4.0986000000000002E-2</v>
      </c>
      <c r="N369" s="54" cm="1">
        <f t="array" ref="N369">_xlfn.XLOOKUP(K369,LISTAS!$D$27:$D$47,_xlfn.XLOOKUP(J369,LISTAS!$E$26:$H$26,LISTAS!$E$27:$H$47))</f>
        <v>14023000</v>
      </c>
      <c r="O369" s="56" t="s">
        <v>1626</v>
      </c>
      <c r="P369" s="76" t="str">
        <f t="shared" ca="1" si="17"/>
        <v>Vencida</v>
      </c>
    </row>
    <row r="370" spans="1:16" x14ac:dyDescent="0.3">
      <c r="A370" s="58" t="s">
        <v>660</v>
      </c>
      <c r="B370" s="56" t="s">
        <v>260</v>
      </c>
      <c r="C370" s="50" t="str">
        <f>_xlfn.XLOOKUP(B370,CLIENTES!$A$2:$A$301,CLIENTES!$B$2:$B$301)</f>
        <v>Daniela Quiroga</v>
      </c>
      <c r="D370" s="60">
        <v>45716</v>
      </c>
      <c r="E370" s="60">
        <f t="shared" si="15"/>
        <v>46081</v>
      </c>
      <c r="F370" s="50" t="s">
        <v>1595</v>
      </c>
      <c r="G370" s="56" t="s">
        <v>1607</v>
      </c>
      <c r="H370" s="47">
        <v>58</v>
      </c>
      <c r="I370" s="60">
        <v>24883</v>
      </c>
      <c r="J370" s="56" t="s">
        <v>1611</v>
      </c>
      <c r="K370" s="56">
        <v>2025</v>
      </c>
      <c r="L370" s="52">
        <f t="shared" si="16"/>
        <v>52371</v>
      </c>
      <c r="M370" s="56">
        <f>LISTAS!$B$22*_xlfn.XLOOKUP(G370,LISTAS!$B$27:$B$36,LISTAS!$A$27:$A$36)*_xlfn.XLOOKUP(H370,LISTAS!$B$38:$B$47,LISTAS!$A$38:$A$47,,-1)*_xlfn.XLOOKUP(J370,LISTAS!$E$26:$H$26,LISTAS!$E$48:$H$48)*_xlfn.XLOOKUP(F370,LISTAS!$A$15:$A$18,LISTAS!$H$15:$H$18)</f>
        <v>1.5179999999999999E-2</v>
      </c>
      <c r="N370" s="54" cm="1">
        <f t="array" ref="N370">_xlfn.XLOOKUP(K370,LISTAS!$D$27:$D$47,_xlfn.XLOOKUP(J370,LISTAS!$E$26:$H$26,LISTAS!$E$27:$H$47))</f>
        <v>41400000</v>
      </c>
      <c r="O370" s="56" t="s">
        <v>1623</v>
      </c>
      <c r="P370" s="76" t="str">
        <f t="shared" ca="1" si="17"/>
        <v>Vencida</v>
      </c>
    </row>
    <row r="371" spans="1:16" x14ac:dyDescent="0.3">
      <c r="A371" s="58" t="s">
        <v>661</v>
      </c>
      <c r="B371" s="56" t="s">
        <v>223</v>
      </c>
      <c r="C371" s="50" t="str">
        <f>_xlfn.XLOOKUP(B371,CLIENTES!$A$2:$A$301,CLIENTES!$B$2:$B$301)</f>
        <v>Daniel Herrera</v>
      </c>
      <c r="D371" s="60">
        <v>44541</v>
      </c>
      <c r="E371" s="60">
        <f t="shared" si="15"/>
        <v>44906</v>
      </c>
      <c r="F371" s="50" t="s">
        <v>1598</v>
      </c>
      <c r="G371" s="56" t="s">
        <v>1606</v>
      </c>
      <c r="H371" s="47">
        <v>61</v>
      </c>
      <c r="I371" s="60">
        <v>23937</v>
      </c>
      <c r="J371" s="56" t="s">
        <v>1612</v>
      </c>
      <c r="K371" s="56">
        <v>2023</v>
      </c>
      <c r="L371" s="52">
        <f t="shared" si="16"/>
        <v>58555.428750000014</v>
      </c>
      <c r="M371" s="56">
        <f>LISTAS!$B$22*_xlfn.XLOOKUP(G371,LISTAS!$B$27:$B$36,LISTAS!$A$27:$A$36)*_xlfn.XLOOKUP(H371,LISTAS!$B$38:$B$47,LISTAS!$A$38:$A$47,,-1)*_xlfn.XLOOKUP(J371,LISTAS!$E$26:$H$26,LISTAS!$E$48:$H$48)*_xlfn.XLOOKUP(F371,LISTAS!$A$15:$A$18,LISTAS!$H$15:$H$18)</f>
        <v>2.8665000000000006E-2</v>
      </c>
      <c r="N371" s="54" cm="1">
        <f t="array" ref="N371">_xlfn.XLOOKUP(K371,LISTAS!$D$27:$D$47,_xlfn.XLOOKUP(J371,LISTAS!$E$26:$H$26,LISTAS!$E$27:$H$47))</f>
        <v>24513000</v>
      </c>
      <c r="O371" s="56" t="s">
        <v>1623</v>
      </c>
      <c r="P371" s="76" t="str">
        <f t="shared" ca="1" si="17"/>
        <v>Vencida</v>
      </c>
    </row>
    <row r="372" spans="1:16" x14ac:dyDescent="0.3">
      <c r="A372" s="58" t="s">
        <v>662</v>
      </c>
      <c r="B372" s="56" t="s">
        <v>195</v>
      </c>
      <c r="C372" s="50" t="str">
        <f>_xlfn.XLOOKUP(B372,CLIENTES!$A$2:$A$301,CLIENTES!$B$2:$B$301)</f>
        <v>Martina Luna</v>
      </c>
      <c r="D372" s="60">
        <v>45681</v>
      </c>
      <c r="E372" s="60">
        <f t="shared" si="15"/>
        <v>46046</v>
      </c>
      <c r="F372" s="50" t="s">
        <v>1595</v>
      </c>
      <c r="G372" s="56" t="s">
        <v>1605</v>
      </c>
      <c r="H372" s="47">
        <v>29</v>
      </c>
      <c r="I372" s="60">
        <v>35361</v>
      </c>
      <c r="J372" s="56" t="s">
        <v>1611</v>
      </c>
      <c r="K372" s="56">
        <v>2024</v>
      </c>
      <c r="L372" s="52">
        <f t="shared" si="16"/>
        <v>47048.201999999997</v>
      </c>
      <c r="M372" s="56">
        <f>LISTAS!$B$22*_xlfn.XLOOKUP(G372,LISTAS!$B$27:$B$36,LISTAS!$A$27:$A$36)*_xlfn.XLOOKUP(H372,LISTAS!$B$38:$B$47,LISTAS!$A$38:$A$47,,-1)*_xlfn.XLOOKUP(J372,LISTAS!$E$26:$H$26,LISTAS!$E$48:$H$48)*_xlfn.XLOOKUP(F372,LISTAS!$A$15:$A$18,LISTAS!$H$15:$H$18)</f>
        <v>1.4904000000000001E-2</v>
      </c>
      <c r="N372" s="54" cm="1">
        <f t="array" ref="N372">_xlfn.XLOOKUP(K372,LISTAS!$D$27:$D$47,_xlfn.XLOOKUP(J372,LISTAS!$E$26:$H$26,LISTAS!$E$27:$H$47))</f>
        <v>37881000</v>
      </c>
      <c r="O372" s="56" t="s">
        <v>1623</v>
      </c>
      <c r="P372" s="76" t="str">
        <f t="shared" ca="1" si="17"/>
        <v>Vencida</v>
      </c>
    </row>
    <row r="373" spans="1:16" x14ac:dyDescent="0.3">
      <c r="A373" s="58" t="s">
        <v>663</v>
      </c>
      <c r="B373" s="56" t="s">
        <v>18</v>
      </c>
      <c r="C373" s="50" t="str">
        <f>_xlfn.XLOOKUP(B373,CLIENTES!$A$2:$A$301,CLIENTES!$B$2:$B$301)</f>
        <v>Alejandro Medina</v>
      </c>
      <c r="D373" s="60">
        <v>45141</v>
      </c>
      <c r="E373" s="60">
        <f t="shared" si="15"/>
        <v>45507</v>
      </c>
      <c r="F373" s="50" t="s">
        <v>1596</v>
      </c>
      <c r="G373" s="56" t="s">
        <v>1601</v>
      </c>
      <c r="H373" s="47">
        <v>56</v>
      </c>
      <c r="I373" s="60">
        <v>25584</v>
      </c>
      <c r="J373" s="56" t="s">
        <v>1609</v>
      </c>
      <c r="K373" s="56">
        <v>2026</v>
      </c>
      <c r="L373" s="52">
        <f t="shared" si="16"/>
        <v>40729.166666666664</v>
      </c>
      <c r="M373" s="56">
        <f>LISTAS!$B$22*_xlfn.XLOOKUP(G373,LISTAS!$B$27:$B$36,LISTAS!$A$27:$A$36)*_xlfn.XLOOKUP(H373,LISTAS!$B$38:$B$47,LISTAS!$A$38:$A$47,,-1)*_xlfn.XLOOKUP(J373,LISTAS!$E$26:$H$26,LISTAS!$E$48:$H$48)*_xlfn.XLOOKUP(F373,LISTAS!$A$15:$A$18,LISTAS!$H$15:$H$18)</f>
        <v>1.9549999999999998E-2</v>
      </c>
      <c r="N373" s="54" cm="1">
        <f t="array" ref="N373">_xlfn.XLOOKUP(K373,LISTAS!$D$27:$D$47,_xlfn.XLOOKUP(J373,LISTAS!$E$26:$H$26,LISTAS!$E$27:$H$47))</f>
        <v>25000000</v>
      </c>
      <c r="O373" s="56" t="s">
        <v>1623</v>
      </c>
      <c r="P373" s="76" t="str">
        <f t="shared" ca="1" si="17"/>
        <v>Vencida</v>
      </c>
    </row>
    <row r="374" spans="1:16" x14ac:dyDescent="0.3">
      <c r="A374" s="58" t="s">
        <v>664</v>
      </c>
      <c r="B374" s="56" t="s">
        <v>258</v>
      </c>
      <c r="C374" s="50" t="str">
        <f>_xlfn.XLOOKUP(B374,CLIENTES!$A$2:$A$301,CLIENTES!$B$2:$B$301)</f>
        <v>Tomás Campos</v>
      </c>
      <c r="D374" s="60">
        <v>45506</v>
      </c>
      <c r="E374" s="60">
        <f t="shared" si="15"/>
        <v>45871</v>
      </c>
      <c r="F374" s="50" t="s">
        <v>1596</v>
      </c>
      <c r="G374" s="56" t="s">
        <v>1601</v>
      </c>
      <c r="H374" s="47">
        <v>45</v>
      </c>
      <c r="I374" s="60">
        <v>29566</v>
      </c>
      <c r="J374" s="56" t="s">
        <v>1610</v>
      </c>
      <c r="K374" s="56">
        <v>2024</v>
      </c>
      <c r="L374" s="52">
        <f t="shared" si="16"/>
        <v>57325.878499999999</v>
      </c>
      <c r="M374" s="56">
        <f>LISTAS!$B$22*_xlfn.XLOOKUP(G374,LISTAS!$B$27:$B$36,LISTAS!$A$27:$A$36)*_xlfn.XLOOKUP(H374,LISTAS!$B$38:$B$47,LISTAS!$A$38:$A$47,,-1)*_xlfn.XLOOKUP(J374,LISTAS!$E$26:$H$26,LISTAS!$E$48:$H$48)*_xlfn.XLOOKUP(F374,LISTAS!$A$15:$A$18,LISTAS!$H$15:$H$18)</f>
        <v>2.042975E-2</v>
      </c>
      <c r="N374" s="54" cm="1">
        <f t="array" ref="N374">_xlfn.XLOOKUP(K374,LISTAS!$D$27:$D$47,_xlfn.XLOOKUP(J374,LISTAS!$E$26:$H$26,LISTAS!$E$27:$H$47))</f>
        <v>33672000</v>
      </c>
      <c r="O374" s="56" t="s">
        <v>1624</v>
      </c>
      <c r="P374" s="76" t="str">
        <f t="shared" ca="1" si="17"/>
        <v>Vencida</v>
      </c>
    </row>
    <row r="375" spans="1:16" x14ac:dyDescent="0.3">
      <c r="A375" s="58" t="s">
        <v>665</v>
      </c>
      <c r="B375" s="56" t="s">
        <v>226</v>
      </c>
      <c r="C375" s="50" t="str">
        <f>_xlfn.XLOOKUP(B375,CLIENTES!$A$2:$A$301,CLIENTES!$B$2:$B$301)</f>
        <v>Andrés Aguirre</v>
      </c>
      <c r="D375" s="60">
        <v>44965</v>
      </c>
      <c r="E375" s="60">
        <f t="shared" si="15"/>
        <v>45330</v>
      </c>
      <c r="F375" s="50" t="s">
        <v>1596</v>
      </c>
      <c r="G375" s="56" t="s">
        <v>1606</v>
      </c>
      <c r="H375" s="47">
        <v>30</v>
      </c>
      <c r="I375" s="60">
        <v>35179</v>
      </c>
      <c r="J375" s="56" t="s">
        <v>1609</v>
      </c>
      <c r="K375" s="56">
        <v>2026</v>
      </c>
      <c r="L375" s="52">
        <f t="shared" si="16"/>
        <v>35416.666666666672</v>
      </c>
      <c r="M375" s="56">
        <f>LISTAS!$B$22*_xlfn.XLOOKUP(G375,LISTAS!$B$27:$B$36,LISTAS!$A$27:$A$36)*_xlfn.XLOOKUP(H375,LISTAS!$B$38:$B$47,LISTAS!$A$38:$A$47,,-1)*_xlfn.XLOOKUP(J375,LISTAS!$E$26:$H$26,LISTAS!$E$48:$H$48)*_xlfn.XLOOKUP(F375,LISTAS!$A$15:$A$18,LISTAS!$H$15:$H$18)</f>
        <v>1.7000000000000001E-2</v>
      </c>
      <c r="N375" s="54" cm="1">
        <f t="array" ref="N375">_xlfn.XLOOKUP(K375,LISTAS!$D$27:$D$47,_xlfn.XLOOKUP(J375,LISTAS!$E$26:$H$26,LISTAS!$E$27:$H$47))</f>
        <v>25000000</v>
      </c>
      <c r="O375" s="56" t="s">
        <v>1623</v>
      </c>
      <c r="P375" s="76" t="str">
        <f t="shared" ca="1" si="17"/>
        <v>Vencida</v>
      </c>
    </row>
    <row r="376" spans="1:16" x14ac:dyDescent="0.3">
      <c r="A376" s="58" t="s">
        <v>666</v>
      </c>
      <c r="B376" s="56" t="s">
        <v>15</v>
      </c>
      <c r="C376" s="50" t="str">
        <f>_xlfn.XLOOKUP(B376,CLIENTES!$A$2:$A$301,CLIENTES!$B$2:$B$301)</f>
        <v>Catalina Roldán</v>
      </c>
      <c r="D376" s="60">
        <v>44930</v>
      </c>
      <c r="E376" s="60">
        <f t="shared" si="15"/>
        <v>45295</v>
      </c>
      <c r="F376" s="50" t="s">
        <v>1597</v>
      </c>
      <c r="G376" s="56" t="s">
        <v>1607</v>
      </c>
      <c r="H376" s="47">
        <v>52</v>
      </c>
      <c r="I376" s="60">
        <v>27206</v>
      </c>
      <c r="J376" s="56" t="s">
        <v>1611</v>
      </c>
      <c r="K376" s="56">
        <v>2016</v>
      </c>
      <c r="L376" s="52">
        <f t="shared" si="16"/>
        <v>41540.913333333338</v>
      </c>
      <c r="M376" s="56">
        <f>LISTAS!$B$22*_xlfn.XLOOKUP(G376,LISTAS!$B$27:$B$36,LISTAS!$A$27:$A$36)*_xlfn.XLOOKUP(H376,LISTAS!$B$38:$B$47,LISTAS!$A$38:$A$47,,-1)*_xlfn.XLOOKUP(J376,LISTAS!$E$26:$H$26,LISTAS!$E$48:$H$48)*_xlfn.XLOOKUP(F376,LISTAS!$A$15:$A$18,LISTAS!$H$15:$H$18)</f>
        <v>2.7830000000000001E-2</v>
      </c>
      <c r="N376" s="54" cm="1">
        <f t="array" ref="N376">_xlfn.XLOOKUP(K376,LISTAS!$D$27:$D$47,_xlfn.XLOOKUP(J376,LISTAS!$E$26:$H$26,LISTAS!$E$27:$H$47))</f>
        <v>17912000</v>
      </c>
      <c r="O376" s="56" t="s">
        <v>1626</v>
      </c>
      <c r="P376" s="76" t="str">
        <f t="shared" ca="1" si="17"/>
        <v>Vencida</v>
      </c>
    </row>
    <row r="377" spans="1:16" x14ac:dyDescent="0.3">
      <c r="A377" s="58" t="s">
        <v>667</v>
      </c>
      <c r="B377" s="56" t="s">
        <v>120</v>
      </c>
      <c r="C377" s="50" t="str">
        <f>_xlfn.XLOOKUP(B377,CLIENTES!$A$2:$A$301,CLIENTES!$B$2:$B$301)</f>
        <v>Micaela Fernández</v>
      </c>
      <c r="D377" s="60">
        <v>45926</v>
      </c>
      <c r="E377" s="60">
        <f t="shared" si="15"/>
        <v>46291</v>
      </c>
      <c r="F377" s="50" t="s">
        <v>1596</v>
      </c>
      <c r="G377" s="56" t="s">
        <v>1601</v>
      </c>
      <c r="H377" s="47">
        <v>23</v>
      </c>
      <c r="I377" s="60">
        <v>37602</v>
      </c>
      <c r="J377" s="56" t="s">
        <v>1611</v>
      </c>
      <c r="K377" s="56">
        <v>2025</v>
      </c>
      <c r="L377" s="52">
        <f t="shared" si="16"/>
        <v>104712.24374999998</v>
      </c>
      <c r="M377" s="56">
        <f>LISTAS!$B$22*_xlfn.XLOOKUP(G377,LISTAS!$B$27:$B$36,LISTAS!$A$27:$A$36)*_xlfn.XLOOKUP(H377,LISTAS!$B$38:$B$47,LISTAS!$A$38:$A$47,,-1)*_xlfn.XLOOKUP(J377,LISTAS!$E$26:$H$26,LISTAS!$E$48:$H$48)*_xlfn.XLOOKUP(F377,LISTAS!$A$15:$A$18,LISTAS!$H$15:$H$18)</f>
        <v>3.0351374999999996E-2</v>
      </c>
      <c r="N377" s="54" cm="1">
        <f t="array" ref="N377">_xlfn.XLOOKUP(K377,LISTAS!$D$27:$D$47,_xlfn.XLOOKUP(J377,LISTAS!$E$26:$H$26,LISTAS!$E$27:$H$47))</f>
        <v>41400000</v>
      </c>
      <c r="O377" s="56" t="s">
        <v>1625</v>
      </c>
      <c r="P377" s="76" t="str">
        <f t="shared" ca="1" si="17"/>
        <v>Vigente</v>
      </c>
    </row>
    <row r="378" spans="1:16" x14ac:dyDescent="0.3">
      <c r="A378" s="58" t="s">
        <v>668</v>
      </c>
      <c r="B378" s="56" t="s">
        <v>268</v>
      </c>
      <c r="C378" s="50" t="str">
        <f>_xlfn.XLOOKUP(B378,CLIENTES!$A$2:$A$301,CLIENTES!$B$2:$B$301)</f>
        <v>Natalia Quiroga</v>
      </c>
      <c r="D378" s="60">
        <v>45426</v>
      </c>
      <c r="E378" s="60">
        <f t="shared" si="15"/>
        <v>45791</v>
      </c>
      <c r="F378" s="50" t="s">
        <v>1597</v>
      </c>
      <c r="G378" s="56" t="s">
        <v>1604</v>
      </c>
      <c r="H378" s="47">
        <v>28</v>
      </c>
      <c r="I378" s="60">
        <v>35705</v>
      </c>
      <c r="J378" s="56" t="s">
        <v>1612</v>
      </c>
      <c r="K378" s="56">
        <v>2025</v>
      </c>
      <c r="L378" s="52">
        <f t="shared" si="16"/>
        <v>71406.720000000016</v>
      </c>
      <c r="M378" s="56">
        <f>LISTAS!$B$22*_xlfn.XLOOKUP(G378,LISTAS!$B$27:$B$36,LISTAS!$A$27:$A$36)*_xlfn.XLOOKUP(H378,LISTAS!$B$38:$B$47,LISTAS!$A$38:$A$47,,-1)*_xlfn.XLOOKUP(J378,LISTAS!$E$26:$H$26,LISTAS!$E$48:$H$48)*_xlfn.XLOOKUP(F378,LISTAS!$A$15:$A$18,LISTAS!$H$15:$H$18)</f>
        <v>2.9106000000000003E-2</v>
      </c>
      <c r="N378" s="54" cm="1">
        <f t="array" ref="N378">_xlfn.XLOOKUP(K378,LISTAS!$D$27:$D$47,_xlfn.XLOOKUP(J378,LISTAS!$E$26:$H$26,LISTAS!$E$27:$H$47))</f>
        <v>29440000</v>
      </c>
      <c r="O378" s="56" t="s">
        <v>1623</v>
      </c>
      <c r="P378" s="76" t="str">
        <f t="shared" ca="1" si="17"/>
        <v>Vencida</v>
      </c>
    </row>
    <row r="379" spans="1:16" x14ac:dyDescent="0.3">
      <c r="A379" s="58" t="s">
        <v>669</v>
      </c>
      <c r="B379" s="56" t="s">
        <v>219</v>
      </c>
      <c r="C379" s="50" t="str">
        <f>_xlfn.XLOOKUP(B379,CLIENTES!$A$2:$A$301,CLIENTES!$B$2:$B$301)</f>
        <v>Joaquín Pereyra</v>
      </c>
      <c r="D379" s="60">
        <v>44864</v>
      </c>
      <c r="E379" s="60">
        <f t="shared" si="15"/>
        <v>45229</v>
      </c>
      <c r="F379" s="50" t="s">
        <v>1595</v>
      </c>
      <c r="G379" s="56" t="s">
        <v>1605</v>
      </c>
      <c r="H379" s="47">
        <v>32</v>
      </c>
      <c r="I379" s="60">
        <v>34236</v>
      </c>
      <c r="J379" s="56" t="s">
        <v>1611</v>
      </c>
      <c r="K379" s="56">
        <v>2023</v>
      </c>
      <c r="L379" s="52">
        <f t="shared" si="16"/>
        <v>35678.519999999997</v>
      </c>
      <c r="M379" s="56">
        <f>LISTAS!$B$22*_xlfn.XLOOKUP(G379,LISTAS!$B$27:$B$36,LISTAS!$A$27:$A$36)*_xlfn.XLOOKUP(H379,LISTAS!$B$38:$B$47,LISTAS!$A$38:$A$47,,-1)*_xlfn.XLOOKUP(J379,LISTAS!$E$26:$H$26,LISTAS!$E$48:$H$48)*_xlfn.XLOOKUP(F379,LISTAS!$A$15:$A$18,LISTAS!$H$15:$H$18)</f>
        <v>1.2419999999999999E-2</v>
      </c>
      <c r="N379" s="54" cm="1">
        <f t="array" ref="N379">_xlfn.XLOOKUP(K379,LISTAS!$D$27:$D$47,_xlfn.XLOOKUP(J379,LISTAS!$E$26:$H$26,LISTAS!$E$27:$H$47))</f>
        <v>34472000</v>
      </c>
      <c r="O379" s="56" t="s">
        <v>1623</v>
      </c>
      <c r="P379" s="76" t="str">
        <f t="shared" ca="1" si="17"/>
        <v>Vencida</v>
      </c>
    </row>
    <row r="380" spans="1:16" x14ac:dyDescent="0.3">
      <c r="A380" s="58" t="s">
        <v>670</v>
      </c>
      <c r="B380" s="56" t="s">
        <v>197</v>
      </c>
      <c r="C380" s="50" t="str">
        <f>_xlfn.XLOOKUP(B380,CLIENTES!$A$2:$A$301,CLIENTES!$B$2:$B$301)</f>
        <v>Sofía Mansilla</v>
      </c>
      <c r="D380" s="60">
        <v>45108</v>
      </c>
      <c r="E380" s="60">
        <f t="shared" si="15"/>
        <v>45474</v>
      </c>
      <c r="F380" s="50" t="s">
        <v>1597</v>
      </c>
      <c r="G380" s="56" t="s">
        <v>1601</v>
      </c>
      <c r="H380" s="47">
        <v>25</v>
      </c>
      <c r="I380" s="60">
        <v>37022</v>
      </c>
      <c r="J380" s="56" t="s">
        <v>1609</v>
      </c>
      <c r="K380" s="56">
        <v>2012</v>
      </c>
      <c r="L380" s="52">
        <f t="shared" si="16"/>
        <v>18231.18</v>
      </c>
      <c r="M380" s="56">
        <f>LISTAS!$B$22*_xlfn.XLOOKUP(G380,LISTAS!$B$27:$B$36,LISTAS!$A$27:$A$36)*_xlfn.XLOOKUP(H380,LISTAS!$B$38:$B$47,LISTAS!$A$38:$A$47,,-1)*_xlfn.XLOOKUP(J380,LISTAS!$E$26:$H$26,LISTAS!$E$48:$H$48)*_xlfn.XLOOKUP(F380,LISTAS!$A$15:$A$18,LISTAS!$H$15:$H$18)</f>
        <v>3.0360000000000002E-2</v>
      </c>
      <c r="N380" s="54" cm="1">
        <f t="array" ref="N380">_xlfn.XLOOKUP(K380,LISTAS!$D$27:$D$47,_xlfn.XLOOKUP(J380,LISTAS!$E$26:$H$26,LISTAS!$E$27:$H$47))</f>
        <v>7206000</v>
      </c>
      <c r="O380" s="56" t="s">
        <v>1624</v>
      </c>
      <c r="P380" s="76" t="str">
        <f t="shared" ca="1" si="17"/>
        <v>Vencida</v>
      </c>
    </row>
    <row r="381" spans="1:16" x14ac:dyDescent="0.3">
      <c r="A381" s="58" t="s">
        <v>671</v>
      </c>
      <c r="B381" s="56" t="s">
        <v>154</v>
      </c>
      <c r="C381" s="50" t="str">
        <f>_xlfn.XLOOKUP(B381,CLIENTES!$A$2:$A$301,CLIENTES!$B$2:$B$301)</f>
        <v>Mariana Sosa</v>
      </c>
      <c r="D381" s="60">
        <v>45660</v>
      </c>
      <c r="E381" s="60">
        <f t="shared" si="15"/>
        <v>46025</v>
      </c>
      <c r="F381" s="50" t="s">
        <v>1595</v>
      </c>
      <c r="G381" s="56" t="s">
        <v>1602</v>
      </c>
      <c r="H381" s="47">
        <v>58</v>
      </c>
      <c r="I381" s="60">
        <v>24810</v>
      </c>
      <c r="J381" s="56" t="s">
        <v>1611</v>
      </c>
      <c r="K381" s="56">
        <v>2023</v>
      </c>
      <c r="L381" s="52">
        <f t="shared" si="16"/>
        <v>41624.939999999995</v>
      </c>
      <c r="M381" s="56">
        <f>LISTAS!$B$22*_xlfn.XLOOKUP(G381,LISTAS!$B$27:$B$36,LISTAS!$A$27:$A$36)*_xlfn.XLOOKUP(H381,LISTAS!$B$38:$B$47,LISTAS!$A$38:$A$47,,-1)*_xlfn.XLOOKUP(J381,LISTAS!$E$26:$H$26,LISTAS!$E$48:$H$48)*_xlfn.XLOOKUP(F381,LISTAS!$A$15:$A$18,LISTAS!$H$15:$H$18)</f>
        <v>1.4489999999999999E-2</v>
      </c>
      <c r="N381" s="54" cm="1">
        <f t="array" ref="N381">_xlfn.XLOOKUP(K381,LISTAS!$D$27:$D$47,_xlfn.XLOOKUP(J381,LISTAS!$E$26:$H$26,LISTAS!$E$27:$H$47))</f>
        <v>34472000</v>
      </c>
      <c r="O381" s="56" t="s">
        <v>1624</v>
      </c>
      <c r="P381" s="76" t="str">
        <f t="shared" ca="1" si="17"/>
        <v>Vencida</v>
      </c>
    </row>
    <row r="382" spans="1:16" x14ac:dyDescent="0.3">
      <c r="A382" s="58" t="s">
        <v>672</v>
      </c>
      <c r="B382" s="56" t="s">
        <v>285</v>
      </c>
      <c r="C382" s="50" t="str">
        <f>_xlfn.XLOOKUP(B382,CLIENTES!$A$2:$A$301,CLIENTES!$B$2:$B$301)</f>
        <v>Agustín Díaz</v>
      </c>
      <c r="D382" s="60">
        <v>45563</v>
      </c>
      <c r="E382" s="60">
        <f t="shared" si="15"/>
        <v>45928</v>
      </c>
      <c r="F382" s="50" t="s">
        <v>1598</v>
      </c>
      <c r="G382" s="56" t="s">
        <v>1604</v>
      </c>
      <c r="H382" s="47">
        <v>63</v>
      </c>
      <c r="I382" s="60">
        <v>22993</v>
      </c>
      <c r="J382" s="56" t="s">
        <v>1612</v>
      </c>
      <c r="K382" s="56">
        <v>2025</v>
      </c>
      <c r="L382" s="52">
        <f t="shared" si="16"/>
        <v>73841.040000000023</v>
      </c>
      <c r="M382" s="56">
        <f>LISTAS!$B$22*_xlfn.XLOOKUP(G382,LISTAS!$B$27:$B$36,LISTAS!$A$27:$A$36)*_xlfn.XLOOKUP(H382,LISTAS!$B$38:$B$47,LISTAS!$A$38:$A$47,,-1)*_xlfn.XLOOKUP(J382,LISTAS!$E$26:$H$26,LISTAS!$E$48:$H$48)*_xlfn.XLOOKUP(F382,LISTAS!$A$15:$A$18,LISTAS!$H$15:$H$18)</f>
        <v>3.009825000000001E-2</v>
      </c>
      <c r="N382" s="54" cm="1">
        <f t="array" ref="N382">_xlfn.XLOOKUP(K382,LISTAS!$D$27:$D$47,_xlfn.XLOOKUP(J382,LISTAS!$E$26:$H$26,LISTAS!$E$27:$H$47))</f>
        <v>29440000</v>
      </c>
      <c r="O382" s="56" t="s">
        <v>1623</v>
      </c>
      <c r="P382" s="76" t="str">
        <f t="shared" ca="1" si="17"/>
        <v>Vencida</v>
      </c>
    </row>
    <row r="383" spans="1:16" x14ac:dyDescent="0.3">
      <c r="A383" s="58" t="s">
        <v>673</v>
      </c>
      <c r="B383" s="56" t="s">
        <v>65</v>
      </c>
      <c r="C383" s="50" t="str">
        <f>_xlfn.XLOOKUP(B383,CLIENTES!$A$2:$A$301,CLIENTES!$B$2:$B$301)</f>
        <v>Ignacio Castro</v>
      </c>
      <c r="D383" s="60">
        <v>45828</v>
      </c>
      <c r="E383" s="60">
        <f t="shared" si="15"/>
        <v>46193</v>
      </c>
      <c r="F383" s="50" t="s">
        <v>1595</v>
      </c>
      <c r="G383" s="56" t="s">
        <v>1600</v>
      </c>
      <c r="H383" s="47">
        <v>28</v>
      </c>
      <c r="I383" s="60">
        <v>35770</v>
      </c>
      <c r="J383" s="56" t="s">
        <v>1611</v>
      </c>
      <c r="K383" s="56">
        <v>2021</v>
      </c>
      <c r="L383" s="52">
        <f t="shared" si="16"/>
        <v>45302.502</v>
      </c>
      <c r="M383" s="56">
        <f>LISTAS!$B$22*_xlfn.XLOOKUP(G383,LISTAS!$B$27:$B$36,LISTAS!$A$27:$A$36)*_xlfn.XLOOKUP(H383,LISTAS!$B$38:$B$47,LISTAS!$A$38:$A$47,,-1)*_xlfn.XLOOKUP(J383,LISTAS!$E$26:$H$26,LISTAS!$E$48:$H$48)*_xlfn.XLOOKUP(F383,LISTAS!$A$15:$A$18,LISTAS!$H$15:$H$18)</f>
        <v>1.9043999999999998E-2</v>
      </c>
      <c r="N383" s="54" cm="1">
        <f t="array" ref="N383">_xlfn.XLOOKUP(K383,LISTAS!$D$27:$D$47,_xlfn.XLOOKUP(J383,LISTAS!$E$26:$H$26,LISTAS!$E$27:$H$47))</f>
        <v>28546000</v>
      </c>
      <c r="O383" s="56" t="s">
        <v>1623</v>
      </c>
      <c r="P383" s="76" t="str">
        <f t="shared" ca="1" si="17"/>
        <v>Vencida</v>
      </c>
    </row>
    <row r="384" spans="1:16" x14ac:dyDescent="0.3">
      <c r="A384" s="58" t="s">
        <v>674</v>
      </c>
      <c r="B384" s="56" t="s">
        <v>283</v>
      </c>
      <c r="C384" s="50" t="str">
        <f>_xlfn.XLOOKUP(B384,CLIENTES!$A$2:$A$301,CLIENTES!$B$2:$B$301)</f>
        <v>Lautaro Méndez</v>
      </c>
      <c r="D384" s="60">
        <v>45726</v>
      </c>
      <c r="E384" s="60">
        <f t="shared" si="15"/>
        <v>46091</v>
      </c>
      <c r="F384" s="50" t="s">
        <v>1597</v>
      </c>
      <c r="G384" s="56" t="s">
        <v>1605</v>
      </c>
      <c r="H384" s="47">
        <v>36</v>
      </c>
      <c r="I384" s="60">
        <v>32870</v>
      </c>
      <c r="J384" s="56" t="s">
        <v>1609</v>
      </c>
      <c r="K384" s="56">
        <v>2016</v>
      </c>
      <c r="L384" s="52">
        <f t="shared" si="16"/>
        <v>16419.150000000005</v>
      </c>
      <c r="M384" s="56">
        <f>LISTAS!$B$22*_xlfn.XLOOKUP(G384,LISTAS!$B$27:$B$36,LISTAS!$A$27:$A$36)*_xlfn.XLOOKUP(H384,LISTAS!$B$38:$B$47,LISTAS!$A$38:$A$47,,-1)*_xlfn.XLOOKUP(J384,LISTAS!$E$26:$H$26,LISTAS!$E$48:$H$48)*_xlfn.XLOOKUP(F384,LISTAS!$A$15:$A$18,LISTAS!$H$15:$H$18)</f>
        <v>1.9800000000000005E-2</v>
      </c>
      <c r="N384" s="54" cm="1">
        <f t="array" ref="N384">_xlfn.XLOOKUP(K384,LISTAS!$D$27:$D$47,_xlfn.XLOOKUP(J384,LISTAS!$E$26:$H$26,LISTAS!$E$27:$H$47))</f>
        <v>9951000</v>
      </c>
      <c r="O384" s="56" t="s">
        <v>1623</v>
      </c>
      <c r="P384" s="76" t="str">
        <f t="shared" ca="1" si="17"/>
        <v>Vencida</v>
      </c>
    </row>
    <row r="385" spans="1:16" x14ac:dyDescent="0.3">
      <c r="A385" s="58" t="s">
        <v>675</v>
      </c>
      <c r="B385" s="56" t="s">
        <v>74</v>
      </c>
      <c r="C385" s="50" t="str">
        <f>_xlfn.XLOOKUP(B385,CLIENTES!$A$2:$A$301,CLIENTES!$B$2:$B$301)</f>
        <v>Federico Flores</v>
      </c>
      <c r="D385" s="60">
        <v>45423</v>
      </c>
      <c r="E385" s="60">
        <f t="shared" si="15"/>
        <v>45788</v>
      </c>
      <c r="F385" s="50" t="s">
        <v>1598</v>
      </c>
      <c r="G385" s="56" t="s">
        <v>1603</v>
      </c>
      <c r="H385" s="47">
        <v>75</v>
      </c>
      <c r="I385" s="60">
        <v>18611</v>
      </c>
      <c r="J385" s="56" t="s">
        <v>1609</v>
      </c>
      <c r="K385" s="56">
        <v>2025</v>
      </c>
      <c r="L385" s="52">
        <f t="shared" si="16"/>
        <v>68645.416666666672</v>
      </c>
      <c r="M385" s="56">
        <f>LISTAS!$B$22*_xlfn.XLOOKUP(G385,LISTAS!$B$27:$B$36,LISTAS!$A$27:$A$36)*_xlfn.XLOOKUP(H385,LISTAS!$B$38:$B$47,LISTAS!$A$38:$A$47,,-1)*_xlfn.XLOOKUP(J385,LISTAS!$E$26:$H$26,LISTAS!$E$48:$H$48)*_xlfn.XLOOKUP(F385,LISTAS!$A$15:$A$18,LISTAS!$H$15:$H$18)</f>
        <v>3.5815E-2</v>
      </c>
      <c r="N385" s="54" cm="1">
        <f t="array" ref="N385">_xlfn.XLOOKUP(K385,LISTAS!$D$27:$D$47,_xlfn.XLOOKUP(J385,LISTAS!$E$26:$H$26,LISTAS!$E$27:$H$47))</f>
        <v>23000000</v>
      </c>
      <c r="O385" s="56" t="s">
        <v>1624</v>
      </c>
      <c r="P385" s="76" t="str">
        <f t="shared" ca="1" si="17"/>
        <v>Vencida</v>
      </c>
    </row>
    <row r="386" spans="1:16" x14ac:dyDescent="0.3">
      <c r="A386" s="58" t="s">
        <v>676</v>
      </c>
      <c r="B386" s="56" t="s">
        <v>239</v>
      </c>
      <c r="C386" s="50" t="str">
        <f>_xlfn.XLOOKUP(B386,CLIENTES!$A$2:$A$301,CLIENTES!$B$2:$B$301)</f>
        <v>Matías Flores</v>
      </c>
      <c r="D386" s="60">
        <v>46212</v>
      </c>
      <c r="E386" s="60">
        <f t="shared" si="15"/>
        <v>46577</v>
      </c>
      <c r="F386" s="50" t="s">
        <v>1596</v>
      </c>
      <c r="G386" s="56" t="s">
        <v>1602</v>
      </c>
      <c r="H386" s="47">
        <v>70</v>
      </c>
      <c r="I386" s="60">
        <v>20401</v>
      </c>
      <c r="J386" s="56" t="s">
        <v>1612</v>
      </c>
      <c r="K386" s="56">
        <v>2021</v>
      </c>
      <c r="L386" s="52">
        <f t="shared" si="16"/>
        <v>44386.300875000008</v>
      </c>
      <c r="M386" s="56">
        <f>LISTAS!$B$22*_xlfn.XLOOKUP(G386,LISTAS!$B$27:$B$36,LISTAS!$A$27:$A$36)*_xlfn.XLOOKUP(H386,LISTAS!$B$38:$B$47,LISTAS!$A$38:$A$47,,-1)*_xlfn.XLOOKUP(J386,LISTAS!$E$26:$H$26,LISTAS!$E$48:$H$48)*_xlfn.XLOOKUP(F386,LISTAS!$A$15:$A$18,LISTAS!$H$15:$H$18)</f>
        <v>2.6239500000000002E-2</v>
      </c>
      <c r="N386" s="54" cm="1">
        <f t="array" ref="N386">_xlfn.XLOOKUP(K386,LISTAS!$D$27:$D$47,_xlfn.XLOOKUP(J386,LISTAS!$E$26:$H$26,LISTAS!$E$27:$H$47))</f>
        <v>20299000</v>
      </c>
      <c r="O386" s="56" t="s">
        <v>1625</v>
      </c>
      <c r="P386" s="76" t="str">
        <f t="shared" ca="1" si="17"/>
        <v>Vigente</v>
      </c>
    </row>
    <row r="387" spans="1:16" x14ac:dyDescent="0.3">
      <c r="A387" s="58" t="s">
        <v>677</v>
      </c>
      <c r="B387" s="56" t="s">
        <v>221</v>
      </c>
      <c r="C387" s="50" t="str">
        <f>_xlfn.XLOOKUP(B387,CLIENTES!$A$2:$A$301,CLIENTES!$B$2:$B$301)</f>
        <v>Bruno Silva</v>
      </c>
      <c r="D387" s="60">
        <v>44618</v>
      </c>
      <c r="E387" s="60">
        <f t="shared" ref="E387:E450" si="18">EDATE(D387,12)</f>
        <v>44983</v>
      </c>
      <c r="F387" s="50" t="s">
        <v>1595</v>
      </c>
      <c r="G387" s="56" t="s">
        <v>1606</v>
      </c>
      <c r="H387" s="47">
        <v>29</v>
      </c>
      <c r="I387" s="60">
        <v>35646</v>
      </c>
      <c r="J387" s="56" t="s">
        <v>1612</v>
      </c>
      <c r="K387" s="56">
        <v>2023</v>
      </c>
      <c r="L387" s="52">
        <f t="shared" ref="L387:L450" si="19">(N387*M387)/12</f>
        <v>30886.38</v>
      </c>
      <c r="M387" s="56">
        <f>LISTAS!$B$22*_xlfn.XLOOKUP(G387,LISTAS!$B$27:$B$36,LISTAS!$A$27:$A$36)*_xlfn.XLOOKUP(H387,LISTAS!$B$38:$B$47,LISTAS!$A$38:$A$47,,-1)*_xlfn.XLOOKUP(J387,LISTAS!$E$26:$H$26,LISTAS!$E$48:$H$48)*_xlfn.XLOOKUP(F387,LISTAS!$A$15:$A$18,LISTAS!$H$15:$H$18)</f>
        <v>1.512E-2</v>
      </c>
      <c r="N387" s="54" cm="1">
        <f t="array" ref="N387">_xlfn.XLOOKUP(K387,LISTAS!$D$27:$D$47,_xlfn.XLOOKUP(J387,LISTAS!$E$26:$H$26,LISTAS!$E$27:$H$47))</f>
        <v>24513000</v>
      </c>
      <c r="O387" s="56" t="s">
        <v>1623</v>
      </c>
      <c r="P387" s="76" t="str">
        <f t="shared" ref="P387:P450" ca="1" si="20">IF(TODAY()&lt;D387,"Pendiente",IF(TODAY()&gt;E387,"Vencida","Vigente"))</f>
        <v>Vencida</v>
      </c>
    </row>
    <row r="388" spans="1:16" x14ac:dyDescent="0.3">
      <c r="A388" s="58" t="s">
        <v>678</v>
      </c>
      <c r="B388" s="56" t="s">
        <v>263</v>
      </c>
      <c r="C388" s="50" t="str">
        <f>_xlfn.XLOOKUP(B388,CLIENTES!$A$2:$A$301,CLIENTES!$B$2:$B$301)</f>
        <v>Bruno Núñez</v>
      </c>
      <c r="D388" s="60">
        <v>45948</v>
      </c>
      <c r="E388" s="60">
        <f t="shared" si="18"/>
        <v>46313</v>
      </c>
      <c r="F388" s="50" t="s">
        <v>1596</v>
      </c>
      <c r="G388" s="56" t="s">
        <v>1601</v>
      </c>
      <c r="H388" s="47">
        <v>58</v>
      </c>
      <c r="I388" s="60">
        <v>24914</v>
      </c>
      <c r="J388" s="56" t="s">
        <v>1610</v>
      </c>
      <c r="K388" s="56">
        <v>2015</v>
      </c>
      <c r="L388" s="52">
        <f t="shared" si="19"/>
        <v>26250.436666666672</v>
      </c>
      <c r="M388" s="56">
        <f>LISTAS!$B$22*_xlfn.XLOOKUP(G388,LISTAS!$B$27:$B$36,LISTAS!$A$27:$A$36)*_xlfn.XLOOKUP(H388,LISTAS!$B$38:$B$47,LISTAS!$A$38:$A$47,,-1)*_xlfn.XLOOKUP(J388,LISTAS!$E$26:$H$26,LISTAS!$E$48:$H$48)*_xlfn.XLOOKUP(F388,LISTAS!$A$15:$A$18,LISTAS!$H$15:$H$18)</f>
        <v>2.1505000000000003E-2</v>
      </c>
      <c r="N388" s="54" cm="1">
        <f t="array" ref="N388">_xlfn.XLOOKUP(K388,LISTAS!$D$27:$D$47,_xlfn.XLOOKUP(J388,LISTAS!$E$26:$H$26,LISTAS!$E$27:$H$47))</f>
        <v>14648000</v>
      </c>
      <c r="O388" s="56" t="s">
        <v>1623</v>
      </c>
      <c r="P388" s="76" t="str">
        <f t="shared" ca="1" si="20"/>
        <v>Vigente</v>
      </c>
    </row>
    <row r="389" spans="1:16" x14ac:dyDescent="0.3">
      <c r="A389" s="58" t="s">
        <v>679</v>
      </c>
      <c r="B389" s="56" t="s">
        <v>15</v>
      </c>
      <c r="C389" s="50" t="str">
        <f>_xlfn.XLOOKUP(B389,CLIENTES!$A$2:$A$301,CLIENTES!$B$2:$B$301)</f>
        <v>Catalina Roldán</v>
      </c>
      <c r="D389" s="60">
        <v>46175</v>
      </c>
      <c r="E389" s="60">
        <f t="shared" si="18"/>
        <v>46540</v>
      </c>
      <c r="F389" s="50" t="s">
        <v>1596</v>
      </c>
      <c r="G389" s="56" t="s">
        <v>1602</v>
      </c>
      <c r="H389" s="47">
        <v>56</v>
      </c>
      <c r="I389" s="60">
        <v>25478</v>
      </c>
      <c r="J389" s="56" t="s">
        <v>1612</v>
      </c>
      <c r="K389" s="56">
        <v>2007</v>
      </c>
      <c r="L389" s="52">
        <f t="shared" si="19"/>
        <v>10239.652500000002</v>
      </c>
      <c r="M389" s="56">
        <f>LISTAS!$B$22*_xlfn.XLOOKUP(G389,LISTAS!$B$27:$B$36,LISTAS!$A$27:$A$36)*_xlfn.XLOOKUP(H389,LISTAS!$B$38:$B$47,LISTAS!$A$38:$A$47,,-1)*_xlfn.XLOOKUP(J389,LISTAS!$E$26:$H$26,LISTAS!$E$48:$H$48)*_xlfn.XLOOKUP(F389,LISTAS!$A$15:$A$18,LISTAS!$H$15:$H$18)</f>
        <v>1.8742500000000002E-2</v>
      </c>
      <c r="N389" s="54" cm="1">
        <f t="array" ref="N389">_xlfn.XLOOKUP(K389,LISTAS!$D$27:$D$47,_xlfn.XLOOKUP(J389,LISTAS!$E$26:$H$26,LISTAS!$E$27:$H$47))</f>
        <v>6556000</v>
      </c>
      <c r="O389" s="56" t="s">
        <v>1623</v>
      </c>
      <c r="P389" s="76" t="str">
        <f t="shared" ca="1" si="20"/>
        <v>Vigente</v>
      </c>
    </row>
    <row r="390" spans="1:16" x14ac:dyDescent="0.3">
      <c r="A390" s="58" t="s">
        <v>680</v>
      </c>
      <c r="B390" s="56" t="s">
        <v>254</v>
      </c>
      <c r="C390" s="50" t="str">
        <f>_xlfn.XLOOKUP(B390,CLIENTES!$A$2:$A$301,CLIENTES!$B$2:$B$301)</f>
        <v>Martín Flores</v>
      </c>
      <c r="D390" s="60">
        <v>45979</v>
      </c>
      <c r="E390" s="60">
        <f t="shared" si="18"/>
        <v>46344</v>
      </c>
      <c r="F390" s="50" t="s">
        <v>1597</v>
      </c>
      <c r="G390" s="56" t="s">
        <v>1607</v>
      </c>
      <c r="H390" s="47">
        <v>61</v>
      </c>
      <c r="I390" s="60">
        <v>23677</v>
      </c>
      <c r="J390" s="56" t="s">
        <v>1611</v>
      </c>
      <c r="K390" s="56">
        <v>2022</v>
      </c>
      <c r="L390" s="52">
        <f t="shared" si="19"/>
        <v>76387.436125000007</v>
      </c>
      <c r="M390" s="56">
        <f>LISTAS!$B$22*_xlfn.XLOOKUP(G390,LISTAS!$B$27:$B$36,LISTAS!$A$27:$A$36)*_xlfn.XLOOKUP(H390,LISTAS!$B$38:$B$47,LISTAS!$A$38:$A$47,,-1)*_xlfn.XLOOKUP(J390,LISTAS!$E$26:$H$26,LISTAS!$E$48:$H$48)*_xlfn.XLOOKUP(F390,LISTAS!$A$15:$A$18,LISTAS!$H$15:$H$18)</f>
        <v>2.9221500000000004E-2</v>
      </c>
      <c r="N390" s="54" cm="1">
        <f t="array" ref="N390">_xlfn.XLOOKUP(K390,LISTAS!$D$27:$D$47,_xlfn.XLOOKUP(J390,LISTAS!$E$26:$H$26,LISTAS!$E$27:$H$47))</f>
        <v>31369000</v>
      </c>
      <c r="O390" s="56" t="s">
        <v>1624</v>
      </c>
      <c r="P390" s="76" t="str">
        <f t="shared" ca="1" si="20"/>
        <v>Vigente</v>
      </c>
    </row>
    <row r="391" spans="1:16" x14ac:dyDescent="0.3">
      <c r="A391" s="58" t="s">
        <v>681</v>
      </c>
      <c r="B391" s="56" t="s">
        <v>102</v>
      </c>
      <c r="C391" s="50" t="str">
        <f>_xlfn.XLOOKUP(B391,CLIENTES!$A$2:$A$301,CLIENTES!$B$2:$B$301)</f>
        <v>Lucas Romero</v>
      </c>
      <c r="D391" s="60">
        <v>45227</v>
      </c>
      <c r="E391" s="60">
        <f t="shared" si="18"/>
        <v>45593</v>
      </c>
      <c r="F391" s="50" t="s">
        <v>1597</v>
      </c>
      <c r="G391" s="56" t="s">
        <v>1606</v>
      </c>
      <c r="H391" s="47">
        <v>58</v>
      </c>
      <c r="I391" s="60">
        <v>24874</v>
      </c>
      <c r="J391" s="56" t="s">
        <v>1611</v>
      </c>
      <c r="K391" s="56">
        <v>2023</v>
      </c>
      <c r="L391" s="52">
        <f t="shared" si="19"/>
        <v>72678.466666666674</v>
      </c>
      <c r="M391" s="56">
        <f>LISTAS!$B$22*_xlfn.XLOOKUP(G391,LISTAS!$B$27:$B$36,LISTAS!$A$27:$A$36)*_xlfn.XLOOKUP(H391,LISTAS!$B$38:$B$47,LISTAS!$A$38:$A$47,,-1)*_xlfn.XLOOKUP(J391,LISTAS!$E$26:$H$26,LISTAS!$E$48:$H$48)*_xlfn.XLOOKUP(F391,LISTAS!$A$15:$A$18,LISTAS!$H$15:$H$18)</f>
        <v>2.5300000000000003E-2</v>
      </c>
      <c r="N391" s="54" cm="1">
        <f t="array" ref="N391">_xlfn.XLOOKUP(K391,LISTAS!$D$27:$D$47,_xlfn.XLOOKUP(J391,LISTAS!$E$26:$H$26,LISTAS!$E$27:$H$47))</f>
        <v>34472000</v>
      </c>
      <c r="O391" s="56" t="s">
        <v>1624</v>
      </c>
      <c r="P391" s="76" t="str">
        <f t="shared" ca="1" si="20"/>
        <v>Vencida</v>
      </c>
    </row>
    <row r="392" spans="1:16" x14ac:dyDescent="0.3">
      <c r="A392" s="58" t="s">
        <v>682</v>
      </c>
      <c r="B392" s="56" t="s">
        <v>270</v>
      </c>
      <c r="C392" s="50" t="str">
        <f>_xlfn.XLOOKUP(B392,CLIENTES!$A$2:$A$301,CLIENTES!$B$2:$B$301)</f>
        <v>Gonzalo Ramírez</v>
      </c>
      <c r="D392" s="60">
        <v>45170</v>
      </c>
      <c r="E392" s="60">
        <f t="shared" si="18"/>
        <v>45536</v>
      </c>
      <c r="F392" s="50" t="s">
        <v>1597</v>
      </c>
      <c r="G392" s="56" t="s">
        <v>1604</v>
      </c>
      <c r="H392" s="47">
        <v>74</v>
      </c>
      <c r="I392" s="60">
        <v>19051</v>
      </c>
      <c r="J392" s="56" t="s">
        <v>1612</v>
      </c>
      <c r="K392" s="56">
        <v>2015</v>
      </c>
      <c r="L392" s="52">
        <f t="shared" si="19"/>
        <v>33159.010499999997</v>
      </c>
      <c r="M392" s="56">
        <f>LISTAS!$B$22*_xlfn.XLOOKUP(G392,LISTAS!$B$27:$B$36,LISTAS!$A$27:$A$36)*_xlfn.XLOOKUP(H392,LISTAS!$B$38:$B$47,LISTAS!$A$38:$A$47,,-1)*_xlfn.XLOOKUP(J392,LISTAS!$E$26:$H$26,LISTAS!$E$48:$H$48)*_xlfn.XLOOKUP(F392,LISTAS!$A$15:$A$18,LISTAS!$H$15:$H$18)</f>
        <v>3.3957000000000001E-2</v>
      </c>
      <c r="N392" s="54" cm="1">
        <f t="array" ref="N392">_xlfn.XLOOKUP(K392,LISTAS!$D$27:$D$47,_xlfn.XLOOKUP(J392,LISTAS!$E$26:$H$26,LISTAS!$E$27:$H$47))</f>
        <v>11718000</v>
      </c>
      <c r="O392" s="56" t="s">
        <v>1623</v>
      </c>
      <c r="P392" s="76" t="str">
        <f t="shared" ca="1" si="20"/>
        <v>Vencida</v>
      </c>
    </row>
    <row r="393" spans="1:16" x14ac:dyDescent="0.3">
      <c r="A393" s="58" t="s">
        <v>683</v>
      </c>
      <c r="B393" s="56" t="s">
        <v>100</v>
      </c>
      <c r="C393" s="50" t="str">
        <f>_xlfn.XLOOKUP(B393,CLIENTES!$A$2:$A$301,CLIENTES!$B$2:$B$301)</f>
        <v>Maximiliano Acosta</v>
      </c>
      <c r="D393" s="60">
        <v>45653</v>
      </c>
      <c r="E393" s="60">
        <f t="shared" si="18"/>
        <v>46018</v>
      </c>
      <c r="F393" s="50" t="s">
        <v>1597</v>
      </c>
      <c r="G393" s="56" t="s">
        <v>1604</v>
      </c>
      <c r="H393" s="47">
        <v>72</v>
      </c>
      <c r="I393" s="60">
        <v>19694</v>
      </c>
      <c r="J393" s="56" t="s">
        <v>1609</v>
      </c>
      <c r="K393" s="56">
        <v>2021</v>
      </c>
      <c r="L393" s="52">
        <f t="shared" si="19"/>
        <v>42740.004999999997</v>
      </c>
      <c r="M393" s="56">
        <f>LISTAS!$B$22*_xlfn.XLOOKUP(G393,LISTAS!$B$27:$B$36,LISTAS!$A$27:$A$36)*_xlfn.XLOOKUP(H393,LISTAS!$B$38:$B$47,LISTAS!$A$38:$A$47,,-1)*_xlfn.XLOOKUP(J393,LISTAS!$E$26:$H$26,LISTAS!$E$48:$H$48)*_xlfn.XLOOKUP(F393,LISTAS!$A$15:$A$18,LISTAS!$H$15:$H$18)</f>
        <v>3.2340000000000001E-2</v>
      </c>
      <c r="N393" s="54" cm="1">
        <f t="array" ref="N393">_xlfn.XLOOKUP(K393,LISTAS!$D$27:$D$47,_xlfn.XLOOKUP(J393,LISTAS!$E$26:$H$26,LISTAS!$E$27:$H$47))</f>
        <v>15859000</v>
      </c>
      <c r="O393" s="56" t="s">
        <v>1625</v>
      </c>
      <c r="P393" s="76" t="str">
        <f t="shared" ca="1" si="20"/>
        <v>Vencida</v>
      </c>
    </row>
    <row r="394" spans="1:16" x14ac:dyDescent="0.3">
      <c r="A394" s="58" t="s">
        <v>684</v>
      </c>
      <c r="B394" s="56" t="s">
        <v>46</v>
      </c>
      <c r="C394" s="50" t="str">
        <f>_xlfn.XLOOKUP(B394,CLIENTES!$A$2:$A$301,CLIENTES!$B$2:$B$301)</f>
        <v>Gonzalo Molina</v>
      </c>
      <c r="D394" s="60">
        <v>46164</v>
      </c>
      <c r="E394" s="60">
        <f t="shared" si="18"/>
        <v>46529</v>
      </c>
      <c r="F394" s="50" t="s">
        <v>1598</v>
      </c>
      <c r="G394" s="56" t="s">
        <v>1602</v>
      </c>
      <c r="H394" s="47">
        <v>58</v>
      </c>
      <c r="I394" s="60">
        <v>25004</v>
      </c>
      <c r="J394" s="56" t="s">
        <v>1611</v>
      </c>
      <c r="K394" s="56">
        <v>2026</v>
      </c>
      <c r="L394" s="52">
        <f t="shared" si="19"/>
        <v>117731.25000000001</v>
      </c>
      <c r="M394" s="56">
        <f>LISTAS!$B$22*_xlfn.XLOOKUP(G394,LISTAS!$B$27:$B$36,LISTAS!$A$27:$A$36)*_xlfn.XLOOKUP(H394,LISTAS!$B$38:$B$47,LISTAS!$A$38:$A$47,,-1)*_xlfn.XLOOKUP(J394,LISTAS!$E$26:$H$26,LISTAS!$E$48:$H$48)*_xlfn.XLOOKUP(F394,LISTAS!$A$15:$A$18,LISTAS!$H$15:$H$18)</f>
        <v>3.1395000000000006E-2</v>
      </c>
      <c r="N394" s="54" cm="1">
        <f t="array" ref="N394">_xlfn.XLOOKUP(K394,LISTAS!$D$27:$D$47,_xlfn.XLOOKUP(J394,LISTAS!$E$26:$H$26,LISTAS!$E$27:$H$47))</f>
        <v>45000000</v>
      </c>
      <c r="O394" s="56" t="s">
        <v>1623</v>
      </c>
      <c r="P394" s="76" t="str">
        <f t="shared" ca="1" si="20"/>
        <v>Vigente</v>
      </c>
    </row>
    <row r="395" spans="1:16" x14ac:dyDescent="0.3">
      <c r="A395" s="58" t="s">
        <v>685</v>
      </c>
      <c r="B395" s="56" t="s">
        <v>108</v>
      </c>
      <c r="C395" s="50" t="str">
        <f>_xlfn.XLOOKUP(B395,CLIENTES!$A$2:$A$301,CLIENTES!$B$2:$B$301)</f>
        <v>Paula Ponce</v>
      </c>
      <c r="D395" s="60">
        <v>44723</v>
      </c>
      <c r="E395" s="60">
        <f t="shared" si="18"/>
        <v>45088</v>
      </c>
      <c r="F395" s="50" t="s">
        <v>1595</v>
      </c>
      <c r="G395" s="56" t="s">
        <v>1608</v>
      </c>
      <c r="H395" s="47">
        <v>77</v>
      </c>
      <c r="I395" s="60">
        <v>17911</v>
      </c>
      <c r="J395" s="56" t="s">
        <v>1611</v>
      </c>
      <c r="K395" s="56">
        <v>2022</v>
      </c>
      <c r="L395" s="52">
        <f t="shared" si="19"/>
        <v>49692.417124999985</v>
      </c>
      <c r="M395" s="56">
        <f>LISTAS!$B$22*_xlfn.XLOOKUP(G395,LISTAS!$B$27:$B$36,LISTAS!$A$27:$A$36)*_xlfn.XLOOKUP(H395,LISTAS!$B$38:$B$47,LISTAS!$A$38:$A$47,,-1)*_xlfn.XLOOKUP(J395,LISTAS!$E$26:$H$26,LISTAS!$E$48:$H$48)*_xlfn.XLOOKUP(F395,LISTAS!$A$15:$A$18,LISTAS!$H$15:$H$18)</f>
        <v>1.9009499999999995E-2</v>
      </c>
      <c r="N395" s="54" cm="1">
        <f t="array" ref="N395">_xlfn.XLOOKUP(K395,LISTAS!$D$27:$D$47,_xlfn.XLOOKUP(J395,LISTAS!$E$26:$H$26,LISTAS!$E$27:$H$47))</f>
        <v>31369000</v>
      </c>
      <c r="O395" s="56" t="s">
        <v>1624</v>
      </c>
      <c r="P395" s="76" t="str">
        <f t="shared" ca="1" si="20"/>
        <v>Vencida</v>
      </c>
    </row>
    <row r="396" spans="1:16" x14ac:dyDescent="0.3">
      <c r="A396" s="58" t="s">
        <v>686</v>
      </c>
      <c r="B396" s="56" t="s">
        <v>27</v>
      </c>
      <c r="C396" s="50" t="str">
        <f>_xlfn.XLOOKUP(B396,CLIENTES!$A$2:$A$301,CLIENTES!$B$2:$B$301)</f>
        <v>Agustina Vera</v>
      </c>
      <c r="D396" s="60">
        <v>45919</v>
      </c>
      <c r="E396" s="60">
        <f t="shared" si="18"/>
        <v>46284</v>
      </c>
      <c r="F396" s="50" t="s">
        <v>1595</v>
      </c>
      <c r="G396" s="56" t="s">
        <v>1601</v>
      </c>
      <c r="H396" s="47">
        <v>61</v>
      </c>
      <c r="I396" s="60">
        <v>23892</v>
      </c>
      <c r="J396" s="56" t="s">
        <v>1611</v>
      </c>
      <c r="K396" s="56">
        <v>2023</v>
      </c>
      <c r="L396" s="52">
        <f t="shared" si="19"/>
        <v>47868.68099999999</v>
      </c>
      <c r="M396" s="56">
        <f>LISTAS!$B$22*_xlfn.XLOOKUP(G396,LISTAS!$B$27:$B$36,LISTAS!$A$27:$A$36)*_xlfn.XLOOKUP(H396,LISTAS!$B$38:$B$47,LISTAS!$A$38:$A$47,,-1)*_xlfn.XLOOKUP(J396,LISTAS!$E$26:$H$26,LISTAS!$E$48:$H$48)*_xlfn.XLOOKUP(F396,LISTAS!$A$15:$A$18,LISTAS!$H$15:$H$18)</f>
        <v>1.6663499999999998E-2</v>
      </c>
      <c r="N396" s="54" cm="1">
        <f t="array" ref="N396">_xlfn.XLOOKUP(K396,LISTAS!$D$27:$D$47,_xlfn.XLOOKUP(J396,LISTAS!$E$26:$H$26,LISTAS!$E$27:$H$47))</f>
        <v>34472000</v>
      </c>
      <c r="O396" s="56" t="s">
        <v>1623</v>
      </c>
      <c r="P396" s="76" t="str">
        <f t="shared" ca="1" si="20"/>
        <v>Vencida</v>
      </c>
    </row>
    <row r="397" spans="1:16" x14ac:dyDescent="0.3">
      <c r="A397" s="58" t="s">
        <v>687</v>
      </c>
      <c r="B397" s="56" t="s">
        <v>134</v>
      </c>
      <c r="C397" s="50" t="str">
        <f>_xlfn.XLOOKUP(B397,CLIENTES!$A$2:$A$301,CLIENTES!$B$2:$B$301)</f>
        <v>Micaela Bravo</v>
      </c>
      <c r="D397" s="60">
        <v>45587</v>
      </c>
      <c r="E397" s="60">
        <f t="shared" si="18"/>
        <v>45952</v>
      </c>
      <c r="F397" s="50" t="s">
        <v>1596</v>
      </c>
      <c r="G397" s="56" t="s">
        <v>1604</v>
      </c>
      <c r="H397" s="47">
        <v>44</v>
      </c>
      <c r="I397" s="60">
        <v>29830</v>
      </c>
      <c r="J397" s="56" t="s">
        <v>1610</v>
      </c>
      <c r="K397" s="56">
        <v>2023</v>
      </c>
      <c r="L397" s="52">
        <f t="shared" si="19"/>
        <v>47631.073875000002</v>
      </c>
      <c r="M397" s="56">
        <f>LISTAS!$B$22*_xlfn.XLOOKUP(G397,LISTAS!$B$27:$B$36,LISTAS!$A$27:$A$36)*_xlfn.XLOOKUP(H397,LISTAS!$B$38:$B$47,LISTAS!$A$38:$A$47,,-1)*_xlfn.XLOOKUP(J397,LISTAS!$E$26:$H$26,LISTAS!$E$48:$H$48)*_xlfn.XLOOKUP(F397,LISTAS!$A$15:$A$18,LISTAS!$H$15:$H$18)</f>
        <v>1.865325E-2</v>
      </c>
      <c r="N397" s="54" cm="1">
        <f t="array" ref="N397">_xlfn.XLOOKUP(K397,LISTAS!$D$27:$D$47,_xlfn.XLOOKUP(J397,LISTAS!$E$26:$H$26,LISTAS!$E$27:$H$47))</f>
        <v>30642000</v>
      </c>
      <c r="O397" s="56" t="s">
        <v>1623</v>
      </c>
      <c r="P397" s="76" t="str">
        <f t="shared" ca="1" si="20"/>
        <v>Vencida</v>
      </c>
    </row>
    <row r="398" spans="1:16" x14ac:dyDescent="0.3">
      <c r="A398" s="58" t="s">
        <v>688</v>
      </c>
      <c r="B398" s="56" t="s">
        <v>187</v>
      </c>
      <c r="C398" s="50" t="str">
        <f>_xlfn.XLOOKUP(B398,CLIENTES!$A$2:$A$301,CLIENTES!$B$2:$B$301)</f>
        <v>Victoria Sosa</v>
      </c>
      <c r="D398" s="60">
        <v>46201</v>
      </c>
      <c r="E398" s="60">
        <f t="shared" si="18"/>
        <v>46566</v>
      </c>
      <c r="F398" s="50" t="s">
        <v>1597</v>
      </c>
      <c r="G398" s="56" t="s">
        <v>1608</v>
      </c>
      <c r="H398" s="47">
        <v>18</v>
      </c>
      <c r="I398" s="60">
        <v>39500</v>
      </c>
      <c r="J398" s="56" t="s">
        <v>1610</v>
      </c>
      <c r="K398" s="56">
        <v>2023</v>
      </c>
      <c r="L398" s="52">
        <f t="shared" si="19"/>
        <v>88057.447500000024</v>
      </c>
      <c r="M398" s="56">
        <f>LISTAS!$B$22*_xlfn.XLOOKUP(G398,LISTAS!$B$27:$B$36,LISTAS!$A$27:$A$36)*_xlfn.XLOOKUP(H398,LISTAS!$B$38:$B$47,LISTAS!$A$38:$A$47,,-1)*_xlfn.XLOOKUP(J398,LISTAS!$E$26:$H$26,LISTAS!$E$48:$H$48)*_xlfn.XLOOKUP(F398,LISTAS!$A$15:$A$18,LISTAS!$H$15:$H$18)</f>
        <v>3.4485000000000009E-2</v>
      </c>
      <c r="N398" s="54" cm="1">
        <f t="array" ref="N398">_xlfn.XLOOKUP(K398,LISTAS!$D$27:$D$47,_xlfn.XLOOKUP(J398,LISTAS!$E$26:$H$26,LISTAS!$E$27:$H$47))</f>
        <v>30642000</v>
      </c>
      <c r="O398" s="56" t="s">
        <v>1623</v>
      </c>
      <c r="P398" s="76" t="str">
        <f t="shared" ca="1" si="20"/>
        <v>Vigente</v>
      </c>
    </row>
    <row r="399" spans="1:16" x14ac:dyDescent="0.3">
      <c r="A399" s="58" t="s">
        <v>689</v>
      </c>
      <c r="B399" s="56" t="s">
        <v>133</v>
      </c>
      <c r="C399" s="50" t="str">
        <f>_xlfn.XLOOKUP(B399,CLIENTES!$A$2:$A$301,CLIENTES!$B$2:$B$301)</f>
        <v>Fernando Medina</v>
      </c>
      <c r="D399" s="60">
        <v>45876</v>
      </c>
      <c r="E399" s="60">
        <f t="shared" si="18"/>
        <v>46241</v>
      </c>
      <c r="F399" s="50" t="s">
        <v>1597</v>
      </c>
      <c r="G399" s="56" t="s">
        <v>1604</v>
      </c>
      <c r="H399" s="47">
        <v>19</v>
      </c>
      <c r="I399" s="60">
        <v>39074</v>
      </c>
      <c r="J399" s="56" t="s">
        <v>1609</v>
      </c>
      <c r="K399" s="56">
        <v>2025</v>
      </c>
      <c r="L399" s="52">
        <f t="shared" si="19"/>
        <v>66412.5</v>
      </c>
      <c r="M399" s="56">
        <f>LISTAS!$B$22*_xlfn.XLOOKUP(G399,LISTAS!$B$27:$B$36,LISTAS!$A$27:$A$36)*_xlfn.XLOOKUP(H399,LISTAS!$B$38:$B$47,LISTAS!$A$38:$A$47,,-1)*_xlfn.XLOOKUP(J399,LISTAS!$E$26:$H$26,LISTAS!$E$48:$H$48)*_xlfn.XLOOKUP(F399,LISTAS!$A$15:$A$18,LISTAS!$H$15:$H$18)</f>
        <v>3.465E-2</v>
      </c>
      <c r="N399" s="54" cm="1">
        <f t="array" ref="N399">_xlfn.XLOOKUP(K399,LISTAS!$D$27:$D$47,_xlfn.XLOOKUP(J399,LISTAS!$E$26:$H$26,LISTAS!$E$27:$H$47))</f>
        <v>23000000</v>
      </c>
      <c r="O399" s="56" t="s">
        <v>1626</v>
      </c>
      <c r="P399" s="76" t="str">
        <f t="shared" ca="1" si="20"/>
        <v>Vencida</v>
      </c>
    </row>
    <row r="400" spans="1:16" x14ac:dyDescent="0.3">
      <c r="A400" s="58" t="s">
        <v>690</v>
      </c>
      <c r="B400" s="56" t="s">
        <v>164</v>
      </c>
      <c r="C400" s="50" t="str">
        <f>_xlfn.XLOOKUP(B400,CLIENTES!$A$2:$A$301,CLIENTES!$B$2:$B$301)</f>
        <v>Julieta Ferreyra</v>
      </c>
      <c r="D400" s="60">
        <v>45768</v>
      </c>
      <c r="E400" s="60">
        <f t="shared" si="18"/>
        <v>46133</v>
      </c>
      <c r="F400" s="50" t="s">
        <v>1598</v>
      </c>
      <c r="G400" s="56" t="s">
        <v>1604</v>
      </c>
      <c r="H400" s="47">
        <v>49</v>
      </c>
      <c r="I400" s="60">
        <v>28346</v>
      </c>
      <c r="J400" s="56" t="s">
        <v>1610</v>
      </c>
      <c r="K400" s="56">
        <v>2016</v>
      </c>
      <c r="L400" s="52">
        <f t="shared" si="19"/>
        <v>37850.187375000001</v>
      </c>
      <c r="M400" s="56">
        <f>LISTAS!$B$22*_xlfn.XLOOKUP(G400,LISTAS!$B$27:$B$36,LISTAS!$A$27:$A$36)*_xlfn.XLOOKUP(H400,LISTAS!$B$38:$B$47,LISTAS!$A$38:$A$47,,-1)*_xlfn.XLOOKUP(J400,LISTAS!$E$26:$H$26,LISTAS!$E$48:$H$48)*_xlfn.XLOOKUP(F400,LISTAS!$A$15:$A$18,LISTAS!$H$15:$H$18)</f>
        <v>2.8528499999999998E-2</v>
      </c>
      <c r="N400" s="54" cm="1">
        <f t="array" ref="N400">_xlfn.XLOOKUP(K400,LISTAS!$D$27:$D$47,_xlfn.XLOOKUP(J400,LISTAS!$E$26:$H$26,LISTAS!$E$27:$H$47))</f>
        <v>15921000</v>
      </c>
      <c r="O400" s="56" t="s">
        <v>1623</v>
      </c>
      <c r="P400" s="76" t="str">
        <f t="shared" ca="1" si="20"/>
        <v>Vencida</v>
      </c>
    </row>
    <row r="401" spans="1:16" x14ac:dyDescent="0.3">
      <c r="A401" s="58" t="s">
        <v>691</v>
      </c>
      <c r="B401" s="56" t="s">
        <v>132</v>
      </c>
      <c r="C401" s="50" t="str">
        <f>_xlfn.XLOOKUP(B401,CLIENTES!$A$2:$A$301,CLIENTES!$B$2:$B$301)</f>
        <v>Paula Roldán</v>
      </c>
      <c r="D401" s="60">
        <v>45442</v>
      </c>
      <c r="E401" s="60">
        <f t="shared" si="18"/>
        <v>45807</v>
      </c>
      <c r="F401" s="50" t="s">
        <v>1596</v>
      </c>
      <c r="G401" s="56" t="s">
        <v>1601</v>
      </c>
      <c r="H401" s="47">
        <v>23</v>
      </c>
      <c r="I401" s="60">
        <v>37849</v>
      </c>
      <c r="J401" s="56" t="s">
        <v>1612</v>
      </c>
      <c r="K401" s="56">
        <v>2023</v>
      </c>
      <c r="L401" s="52">
        <f t="shared" si="19"/>
        <v>56608.943343749997</v>
      </c>
      <c r="M401" s="56">
        <f>LISTAS!$B$22*_xlfn.XLOOKUP(G401,LISTAS!$B$27:$B$36,LISTAS!$A$27:$A$36)*_xlfn.XLOOKUP(H401,LISTAS!$B$38:$B$47,LISTAS!$A$38:$A$47,,-1)*_xlfn.XLOOKUP(J401,LISTAS!$E$26:$H$26,LISTAS!$E$48:$H$48)*_xlfn.XLOOKUP(F401,LISTAS!$A$15:$A$18,LISTAS!$H$15:$H$18)</f>
        <v>2.7712124999999997E-2</v>
      </c>
      <c r="N401" s="54" cm="1">
        <f t="array" ref="N401">_xlfn.XLOOKUP(K401,LISTAS!$D$27:$D$47,_xlfn.XLOOKUP(J401,LISTAS!$E$26:$H$26,LISTAS!$E$27:$H$47))</f>
        <v>24513000</v>
      </c>
      <c r="O401" s="56" t="s">
        <v>1623</v>
      </c>
      <c r="P401" s="76" t="str">
        <f t="shared" ca="1" si="20"/>
        <v>Vencida</v>
      </c>
    </row>
    <row r="402" spans="1:16" x14ac:dyDescent="0.3">
      <c r="A402" s="58" t="s">
        <v>692</v>
      </c>
      <c r="B402" s="56" t="s">
        <v>182</v>
      </c>
      <c r="C402" s="50" t="str">
        <f>_xlfn.XLOOKUP(B402,CLIENTES!$A$2:$A$301,CLIENTES!$B$2:$B$301)</f>
        <v>Pablo Fernández</v>
      </c>
      <c r="D402" s="60">
        <v>45198</v>
      </c>
      <c r="E402" s="60">
        <f t="shared" si="18"/>
        <v>45564</v>
      </c>
      <c r="F402" s="50" t="s">
        <v>1598</v>
      </c>
      <c r="G402" s="56" t="s">
        <v>1601</v>
      </c>
      <c r="H402" s="47">
        <v>73</v>
      </c>
      <c r="I402" s="60">
        <v>19436</v>
      </c>
      <c r="J402" s="56" t="s">
        <v>1610</v>
      </c>
      <c r="K402" s="56">
        <v>2023</v>
      </c>
      <c r="L402" s="52">
        <f t="shared" si="19"/>
        <v>117578.46100000001</v>
      </c>
      <c r="M402" s="56">
        <f>LISTAS!$B$22*_xlfn.XLOOKUP(G402,LISTAS!$B$27:$B$36,LISTAS!$A$27:$A$36)*_xlfn.XLOOKUP(H402,LISTAS!$B$38:$B$47,LISTAS!$A$38:$A$47,,-1)*_xlfn.XLOOKUP(J402,LISTAS!$E$26:$H$26,LISTAS!$E$48:$H$48)*_xlfn.XLOOKUP(F402,LISTAS!$A$15:$A$18,LISTAS!$H$15:$H$18)</f>
        <v>4.6046000000000004E-2</v>
      </c>
      <c r="N402" s="54" cm="1">
        <f t="array" ref="N402">_xlfn.XLOOKUP(K402,LISTAS!$D$27:$D$47,_xlfn.XLOOKUP(J402,LISTAS!$E$26:$H$26,LISTAS!$E$27:$H$47))</f>
        <v>30642000</v>
      </c>
      <c r="O402" s="56" t="s">
        <v>1623</v>
      </c>
      <c r="P402" s="76" t="str">
        <f t="shared" ca="1" si="20"/>
        <v>Vencida</v>
      </c>
    </row>
    <row r="403" spans="1:16" x14ac:dyDescent="0.3">
      <c r="A403" s="58" t="s">
        <v>693</v>
      </c>
      <c r="B403" s="56" t="s">
        <v>141</v>
      </c>
      <c r="C403" s="50" t="str">
        <f>_xlfn.XLOOKUP(B403,CLIENTES!$A$2:$A$301,CLIENTES!$B$2:$B$301)</f>
        <v>Emiliano Navarro</v>
      </c>
      <c r="D403" s="60">
        <v>45905</v>
      </c>
      <c r="E403" s="60">
        <f t="shared" si="18"/>
        <v>46270</v>
      </c>
      <c r="F403" s="50" t="s">
        <v>1597</v>
      </c>
      <c r="G403" s="56" t="s">
        <v>1607</v>
      </c>
      <c r="H403" s="47">
        <v>20</v>
      </c>
      <c r="I403" s="60">
        <v>38730</v>
      </c>
      <c r="J403" s="56" t="s">
        <v>1611</v>
      </c>
      <c r="K403" s="56">
        <v>2024</v>
      </c>
      <c r="L403" s="52">
        <f t="shared" si="19"/>
        <v>131778.52875</v>
      </c>
      <c r="M403" s="56">
        <f>LISTAS!$B$22*_xlfn.XLOOKUP(G403,LISTAS!$B$27:$B$36,LISTAS!$A$27:$A$36)*_xlfn.XLOOKUP(H403,LISTAS!$B$38:$B$47,LISTAS!$A$38:$A$47,,-1)*_xlfn.XLOOKUP(J403,LISTAS!$E$26:$H$26,LISTAS!$E$48:$H$48)*_xlfn.XLOOKUP(F403,LISTAS!$A$15:$A$18,LISTAS!$H$15:$H$18)</f>
        <v>4.1744999999999997E-2</v>
      </c>
      <c r="N403" s="54" cm="1">
        <f t="array" ref="N403">_xlfn.XLOOKUP(K403,LISTAS!$D$27:$D$47,_xlfn.XLOOKUP(J403,LISTAS!$E$26:$H$26,LISTAS!$E$27:$H$47))</f>
        <v>37881000</v>
      </c>
      <c r="O403" s="56" t="s">
        <v>1623</v>
      </c>
      <c r="P403" s="76" t="str">
        <f t="shared" ca="1" si="20"/>
        <v>Vencida</v>
      </c>
    </row>
    <row r="404" spans="1:16" x14ac:dyDescent="0.3">
      <c r="A404" s="58" t="s">
        <v>694</v>
      </c>
      <c r="B404" s="56" t="s">
        <v>225</v>
      </c>
      <c r="C404" s="50" t="str">
        <f>_xlfn.XLOOKUP(B404,CLIENTES!$A$2:$A$301,CLIENTES!$B$2:$B$301)</f>
        <v>Lucía Quiroga</v>
      </c>
      <c r="D404" s="60">
        <v>45773</v>
      </c>
      <c r="E404" s="60">
        <f t="shared" si="18"/>
        <v>46138</v>
      </c>
      <c r="F404" s="50" t="s">
        <v>1598</v>
      </c>
      <c r="G404" s="56" t="s">
        <v>1602</v>
      </c>
      <c r="H404" s="47">
        <v>30</v>
      </c>
      <c r="I404" s="60">
        <v>35140</v>
      </c>
      <c r="J404" s="56" t="s">
        <v>1612</v>
      </c>
      <c r="K404" s="56">
        <v>2023</v>
      </c>
      <c r="L404" s="52">
        <f t="shared" si="19"/>
        <v>58555.428750000014</v>
      </c>
      <c r="M404" s="56">
        <f>LISTAS!$B$22*_xlfn.XLOOKUP(G404,LISTAS!$B$27:$B$36,LISTAS!$A$27:$A$36)*_xlfn.XLOOKUP(H404,LISTAS!$B$38:$B$47,LISTAS!$A$38:$A$47,,-1)*_xlfn.XLOOKUP(J404,LISTAS!$E$26:$H$26,LISTAS!$E$48:$H$48)*_xlfn.XLOOKUP(F404,LISTAS!$A$15:$A$18,LISTAS!$H$15:$H$18)</f>
        <v>2.8665000000000006E-2</v>
      </c>
      <c r="N404" s="54" cm="1">
        <f t="array" ref="N404">_xlfn.XLOOKUP(K404,LISTAS!$D$27:$D$47,_xlfn.XLOOKUP(J404,LISTAS!$E$26:$H$26,LISTAS!$E$27:$H$47))</f>
        <v>24513000</v>
      </c>
      <c r="O404" s="56" t="s">
        <v>1626</v>
      </c>
      <c r="P404" s="76" t="str">
        <f t="shared" ca="1" si="20"/>
        <v>Vencida</v>
      </c>
    </row>
    <row r="405" spans="1:16" x14ac:dyDescent="0.3">
      <c r="A405" s="58" t="s">
        <v>695</v>
      </c>
      <c r="B405" s="56" t="s">
        <v>121</v>
      </c>
      <c r="C405" s="50" t="str">
        <f>_xlfn.XLOOKUP(B405,CLIENTES!$A$2:$A$301,CLIENTES!$B$2:$B$301)</f>
        <v>Camila Ponce</v>
      </c>
      <c r="D405" s="60">
        <v>46123</v>
      </c>
      <c r="E405" s="60">
        <f t="shared" si="18"/>
        <v>46488</v>
      </c>
      <c r="F405" s="50" t="s">
        <v>1596</v>
      </c>
      <c r="G405" s="56" t="s">
        <v>1608</v>
      </c>
      <c r="H405" s="47">
        <v>74</v>
      </c>
      <c r="I405" s="60">
        <v>19031</v>
      </c>
      <c r="J405" s="56" t="s">
        <v>1610</v>
      </c>
      <c r="K405" s="56">
        <v>2015</v>
      </c>
      <c r="L405" s="52">
        <f t="shared" si="19"/>
        <v>30359.200666666668</v>
      </c>
      <c r="M405" s="56">
        <f>LISTAS!$B$22*_xlfn.XLOOKUP(G405,LISTAS!$B$27:$B$36,LISTAS!$A$27:$A$36)*_xlfn.XLOOKUP(H405,LISTAS!$B$38:$B$47,LISTAS!$A$38:$A$47,,-1)*_xlfn.XLOOKUP(J405,LISTAS!$E$26:$H$26,LISTAS!$E$48:$H$48)*_xlfn.XLOOKUP(F405,LISTAS!$A$15:$A$18,LISTAS!$H$15:$H$18)</f>
        <v>2.4871000000000001E-2</v>
      </c>
      <c r="N405" s="54" cm="1">
        <f t="array" ref="N405">_xlfn.XLOOKUP(K405,LISTAS!$D$27:$D$47,_xlfn.XLOOKUP(J405,LISTAS!$E$26:$H$26,LISTAS!$E$27:$H$47))</f>
        <v>14648000</v>
      </c>
      <c r="O405" s="56" t="s">
        <v>1623</v>
      </c>
      <c r="P405" s="76" t="str">
        <f t="shared" ca="1" si="20"/>
        <v>Vigente</v>
      </c>
    </row>
    <row r="406" spans="1:16" x14ac:dyDescent="0.3">
      <c r="A406" s="58" t="s">
        <v>696</v>
      </c>
      <c r="B406" s="56" t="s">
        <v>29</v>
      </c>
      <c r="C406" s="50" t="str">
        <f>_xlfn.XLOOKUP(B406,CLIENTES!$A$2:$A$301,CLIENTES!$B$2:$B$301)</f>
        <v>Malena Vázquez</v>
      </c>
      <c r="D406" s="60">
        <v>45497</v>
      </c>
      <c r="E406" s="60">
        <f t="shared" si="18"/>
        <v>45862</v>
      </c>
      <c r="F406" s="50" t="s">
        <v>1598</v>
      </c>
      <c r="G406" s="56" t="s">
        <v>1606</v>
      </c>
      <c r="H406" s="47">
        <v>75</v>
      </c>
      <c r="I406" s="60">
        <v>18724</v>
      </c>
      <c r="J406" s="56" t="s">
        <v>1611</v>
      </c>
      <c r="K406" s="56">
        <v>2023</v>
      </c>
      <c r="L406" s="52">
        <f t="shared" si="19"/>
        <v>124544.46333333332</v>
      </c>
      <c r="M406" s="56">
        <f>LISTAS!$B$22*_xlfn.XLOOKUP(G406,LISTAS!$B$27:$B$36,LISTAS!$A$27:$A$36)*_xlfn.XLOOKUP(H406,LISTAS!$B$38:$B$47,LISTAS!$A$38:$A$47,,-1)*_xlfn.XLOOKUP(J406,LISTAS!$E$26:$H$26,LISTAS!$E$48:$H$48)*_xlfn.XLOOKUP(F406,LISTAS!$A$15:$A$18,LISTAS!$H$15:$H$18)</f>
        <v>4.3354999999999998E-2</v>
      </c>
      <c r="N406" s="54" cm="1">
        <f t="array" ref="N406">_xlfn.XLOOKUP(K406,LISTAS!$D$27:$D$47,_xlfn.XLOOKUP(J406,LISTAS!$E$26:$H$26,LISTAS!$E$27:$H$47))</f>
        <v>34472000</v>
      </c>
      <c r="O406" s="56" t="s">
        <v>1626</v>
      </c>
      <c r="P406" s="76" t="str">
        <f t="shared" ca="1" si="20"/>
        <v>Vencida</v>
      </c>
    </row>
    <row r="407" spans="1:16" x14ac:dyDescent="0.3">
      <c r="A407" s="58" t="s">
        <v>697</v>
      </c>
      <c r="B407" s="56" t="s">
        <v>66</v>
      </c>
      <c r="C407" s="50" t="str">
        <f>_xlfn.XLOOKUP(B407,CLIENTES!$A$2:$A$301,CLIENTES!$B$2:$B$301)</f>
        <v>Tomás Pérez</v>
      </c>
      <c r="D407" s="60">
        <v>46161</v>
      </c>
      <c r="E407" s="60">
        <f t="shared" si="18"/>
        <v>46526</v>
      </c>
      <c r="F407" s="50" t="s">
        <v>1597</v>
      </c>
      <c r="G407" s="56" t="s">
        <v>1603</v>
      </c>
      <c r="H407" s="47">
        <v>19</v>
      </c>
      <c r="I407" s="60">
        <v>39299</v>
      </c>
      <c r="J407" s="56" t="s">
        <v>1611</v>
      </c>
      <c r="K407" s="56">
        <v>2021</v>
      </c>
      <c r="L407" s="52">
        <f t="shared" si="19"/>
        <v>85762.888749999984</v>
      </c>
      <c r="M407" s="56">
        <f>LISTAS!$B$22*_xlfn.XLOOKUP(G407,LISTAS!$B$27:$B$36,LISTAS!$A$27:$A$36)*_xlfn.XLOOKUP(H407,LISTAS!$B$38:$B$47,LISTAS!$A$38:$A$47,,-1)*_xlfn.XLOOKUP(J407,LISTAS!$E$26:$H$26,LISTAS!$E$48:$H$48)*_xlfn.XLOOKUP(F407,LISTAS!$A$15:$A$18,LISTAS!$H$15:$H$18)</f>
        <v>3.6052499999999994E-2</v>
      </c>
      <c r="N407" s="54" cm="1">
        <f t="array" ref="N407">_xlfn.XLOOKUP(K407,LISTAS!$D$27:$D$47,_xlfn.XLOOKUP(J407,LISTAS!$E$26:$H$26,LISTAS!$E$27:$H$47))</f>
        <v>28546000</v>
      </c>
      <c r="O407" s="56" t="s">
        <v>1623</v>
      </c>
      <c r="P407" s="76" t="str">
        <f t="shared" ca="1" si="20"/>
        <v>Vigente</v>
      </c>
    </row>
    <row r="408" spans="1:16" x14ac:dyDescent="0.3">
      <c r="A408" s="58" t="s">
        <v>698</v>
      </c>
      <c r="B408" s="56" t="s">
        <v>134</v>
      </c>
      <c r="C408" s="50" t="str">
        <f>_xlfn.XLOOKUP(B408,CLIENTES!$A$2:$A$301,CLIENTES!$B$2:$B$301)</f>
        <v>Micaela Bravo</v>
      </c>
      <c r="D408" s="60">
        <v>46174</v>
      </c>
      <c r="E408" s="60">
        <f t="shared" si="18"/>
        <v>46539</v>
      </c>
      <c r="F408" s="50" t="s">
        <v>1596</v>
      </c>
      <c r="G408" s="56" t="s">
        <v>1604</v>
      </c>
      <c r="H408" s="47">
        <v>19</v>
      </c>
      <c r="I408" s="60">
        <v>38990</v>
      </c>
      <c r="J408" s="56" t="s">
        <v>1609</v>
      </c>
      <c r="K408" s="56">
        <v>2025</v>
      </c>
      <c r="L408" s="52">
        <f t="shared" si="19"/>
        <v>51318.75</v>
      </c>
      <c r="M408" s="56">
        <f>LISTAS!$B$22*_xlfn.XLOOKUP(G408,LISTAS!$B$27:$B$36,LISTAS!$A$27:$A$36)*_xlfn.XLOOKUP(H408,LISTAS!$B$38:$B$47,LISTAS!$A$38:$A$47,,-1)*_xlfn.XLOOKUP(J408,LISTAS!$E$26:$H$26,LISTAS!$E$48:$H$48)*_xlfn.XLOOKUP(F408,LISTAS!$A$15:$A$18,LISTAS!$H$15:$H$18)</f>
        <v>2.6775E-2</v>
      </c>
      <c r="N408" s="54" cm="1">
        <f t="array" ref="N408">_xlfn.XLOOKUP(K408,LISTAS!$D$27:$D$47,_xlfn.XLOOKUP(J408,LISTAS!$E$26:$H$26,LISTAS!$E$27:$H$47))</f>
        <v>23000000</v>
      </c>
      <c r="O408" s="56" t="s">
        <v>1623</v>
      </c>
      <c r="P408" s="76" t="str">
        <f t="shared" ca="1" si="20"/>
        <v>Vigente</v>
      </c>
    </row>
    <row r="409" spans="1:16" x14ac:dyDescent="0.3">
      <c r="A409" s="58" t="s">
        <v>699</v>
      </c>
      <c r="B409" s="56" t="s">
        <v>152</v>
      </c>
      <c r="C409" s="50" t="str">
        <f>_xlfn.XLOOKUP(B409,CLIENTES!$A$2:$A$301,CLIENTES!$B$2:$B$301)</f>
        <v>Federico Gutiérrez</v>
      </c>
      <c r="D409" s="60">
        <v>45005</v>
      </c>
      <c r="E409" s="60">
        <f t="shared" si="18"/>
        <v>45371</v>
      </c>
      <c r="F409" s="50" t="s">
        <v>1597</v>
      </c>
      <c r="G409" s="56" t="s">
        <v>1608</v>
      </c>
      <c r="H409" s="47">
        <v>63</v>
      </c>
      <c r="I409" s="60">
        <v>23033</v>
      </c>
      <c r="J409" s="56" t="s">
        <v>1612</v>
      </c>
      <c r="K409" s="56">
        <v>2022</v>
      </c>
      <c r="L409" s="52">
        <f t="shared" si="19"/>
        <v>42833.622562500008</v>
      </c>
      <c r="M409" s="56">
        <f>LISTAS!$B$22*_xlfn.XLOOKUP(G409,LISTAS!$B$27:$B$36,LISTAS!$A$27:$A$36)*_xlfn.XLOOKUP(H409,LISTAS!$B$38:$B$47,LISTAS!$A$38:$A$47,,-1)*_xlfn.XLOOKUP(J409,LISTAS!$E$26:$H$26,LISTAS!$E$48:$H$48)*_xlfn.XLOOKUP(F409,LISTAS!$A$15:$A$18,LISTAS!$H$15:$H$18)</f>
        <v>2.3042250000000004E-2</v>
      </c>
      <c r="N409" s="54" cm="1">
        <f t="array" ref="N409">_xlfn.XLOOKUP(K409,LISTAS!$D$27:$D$47,_xlfn.XLOOKUP(J409,LISTAS!$E$26:$H$26,LISTAS!$E$27:$H$47))</f>
        <v>22307000</v>
      </c>
      <c r="O409" s="56" t="s">
        <v>1623</v>
      </c>
      <c r="P409" s="76" t="str">
        <f t="shared" ca="1" si="20"/>
        <v>Vencida</v>
      </c>
    </row>
    <row r="410" spans="1:16" x14ac:dyDescent="0.3">
      <c r="A410" s="58" t="s">
        <v>700</v>
      </c>
      <c r="B410" s="56" t="s">
        <v>137</v>
      </c>
      <c r="C410" s="50" t="str">
        <f>_xlfn.XLOOKUP(B410,CLIENTES!$A$2:$A$301,CLIENTES!$B$2:$B$301)</f>
        <v>Lucas Gómez</v>
      </c>
      <c r="D410" s="60">
        <v>46164</v>
      </c>
      <c r="E410" s="60">
        <f t="shared" si="18"/>
        <v>46529</v>
      </c>
      <c r="F410" s="50" t="s">
        <v>1595</v>
      </c>
      <c r="G410" s="56" t="s">
        <v>1606</v>
      </c>
      <c r="H410" s="47">
        <v>40</v>
      </c>
      <c r="I410" s="60">
        <v>31614</v>
      </c>
      <c r="J410" s="56" t="s">
        <v>1609</v>
      </c>
      <c r="K410" s="56">
        <v>2022</v>
      </c>
      <c r="L410" s="52">
        <f t="shared" si="19"/>
        <v>16555.649999999998</v>
      </c>
      <c r="M410" s="56">
        <f>LISTAS!$B$22*_xlfn.XLOOKUP(G410,LISTAS!$B$27:$B$36,LISTAS!$A$27:$A$36)*_xlfn.XLOOKUP(H410,LISTAS!$B$38:$B$47,LISTAS!$A$38:$A$47,,-1)*_xlfn.XLOOKUP(J410,LISTAS!$E$26:$H$26,LISTAS!$E$48:$H$48)*_xlfn.XLOOKUP(F410,LISTAS!$A$15:$A$18,LISTAS!$H$15:$H$18)</f>
        <v>1.1399999999999999E-2</v>
      </c>
      <c r="N410" s="54" cm="1">
        <f t="array" ref="N410">_xlfn.XLOOKUP(K410,LISTAS!$D$27:$D$47,_xlfn.XLOOKUP(J410,LISTAS!$E$26:$H$26,LISTAS!$E$27:$H$47))</f>
        <v>17427000</v>
      </c>
      <c r="O410" s="56" t="s">
        <v>1625</v>
      </c>
      <c r="P410" s="76" t="str">
        <f t="shared" ca="1" si="20"/>
        <v>Vigente</v>
      </c>
    </row>
    <row r="411" spans="1:16" x14ac:dyDescent="0.3">
      <c r="A411" s="58" t="s">
        <v>701</v>
      </c>
      <c r="B411" s="56" t="s">
        <v>54</v>
      </c>
      <c r="C411" s="50" t="str">
        <f>_xlfn.XLOOKUP(B411,CLIENTES!$A$2:$A$301,CLIENTES!$B$2:$B$301)</f>
        <v>Emiliano Vega</v>
      </c>
      <c r="D411" s="60">
        <v>45337</v>
      </c>
      <c r="E411" s="60">
        <f t="shared" si="18"/>
        <v>45703</v>
      </c>
      <c r="F411" s="50" t="s">
        <v>1596</v>
      </c>
      <c r="G411" s="56" t="s">
        <v>1607</v>
      </c>
      <c r="H411" s="47">
        <v>39</v>
      </c>
      <c r="I411" s="60">
        <v>31932</v>
      </c>
      <c r="J411" s="56" t="s">
        <v>1610</v>
      </c>
      <c r="K411" s="56">
        <v>2019</v>
      </c>
      <c r="L411" s="52">
        <f t="shared" si="19"/>
        <v>36018.07</v>
      </c>
      <c r="M411" s="56">
        <f>LISTAS!$B$22*_xlfn.XLOOKUP(G411,LISTAS!$B$27:$B$36,LISTAS!$A$27:$A$36)*_xlfn.XLOOKUP(H411,LISTAS!$B$38:$B$47,LISTAS!$A$38:$A$47,,-1)*_xlfn.XLOOKUP(J411,LISTAS!$E$26:$H$26,LISTAS!$E$48:$H$48)*_xlfn.XLOOKUP(F411,LISTAS!$A$15:$A$18,LISTAS!$H$15:$H$18)</f>
        <v>2.0570000000000001E-2</v>
      </c>
      <c r="N411" s="54" cm="1">
        <f t="array" ref="N411">_xlfn.XLOOKUP(K411,LISTAS!$D$27:$D$47,_xlfn.XLOOKUP(J411,LISTAS!$E$26:$H$26,LISTAS!$E$27:$H$47))</f>
        <v>21012000</v>
      </c>
      <c r="O411" s="56" t="s">
        <v>1623</v>
      </c>
      <c r="P411" s="76" t="str">
        <f t="shared" ca="1" si="20"/>
        <v>Vencida</v>
      </c>
    </row>
    <row r="412" spans="1:16" x14ac:dyDescent="0.3">
      <c r="A412" s="58" t="s">
        <v>702</v>
      </c>
      <c r="B412" s="56" t="s">
        <v>83</v>
      </c>
      <c r="C412" s="50" t="str">
        <f>_xlfn.XLOOKUP(B412,CLIENTES!$A$2:$A$301,CLIENTES!$B$2:$B$301)</f>
        <v>Valentina Cabrera</v>
      </c>
      <c r="D412" s="60">
        <v>44524</v>
      </c>
      <c r="E412" s="60">
        <f t="shared" si="18"/>
        <v>44889</v>
      </c>
      <c r="F412" s="50" t="s">
        <v>1595</v>
      </c>
      <c r="G412" s="56" t="s">
        <v>1607</v>
      </c>
      <c r="H412" s="47">
        <v>48</v>
      </c>
      <c r="I412" s="60">
        <v>28675</v>
      </c>
      <c r="J412" s="56" t="s">
        <v>1611</v>
      </c>
      <c r="K412" s="56">
        <v>2021</v>
      </c>
      <c r="L412" s="52">
        <f t="shared" si="19"/>
        <v>34305.155500000001</v>
      </c>
      <c r="M412" s="56">
        <f>LISTAS!$B$22*_xlfn.XLOOKUP(G412,LISTAS!$B$27:$B$36,LISTAS!$A$27:$A$36)*_xlfn.XLOOKUP(H412,LISTAS!$B$38:$B$47,LISTAS!$A$38:$A$47,,-1)*_xlfn.XLOOKUP(J412,LISTAS!$E$26:$H$26,LISTAS!$E$48:$H$48)*_xlfn.XLOOKUP(F412,LISTAS!$A$15:$A$18,LISTAS!$H$15:$H$18)</f>
        <v>1.4421E-2</v>
      </c>
      <c r="N412" s="54" cm="1">
        <f t="array" ref="N412">_xlfn.XLOOKUP(K412,LISTAS!$D$27:$D$47,_xlfn.XLOOKUP(J412,LISTAS!$E$26:$H$26,LISTAS!$E$27:$H$47))</f>
        <v>28546000</v>
      </c>
      <c r="O412" s="56" t="s">
        <v>1624</v>
      </c>
      <c r="P412" s="76" t="str">
        <f t="shared" ca="1" si="20"/>
        <v>Vencida</v>
      </c>
    </row>
    <row r="413" spans="1:16" x14ac:dyDescent="0.3">
      <c r="A413" s="58" t="s">
        <v>703</v>
      </c>
      <c r="B413" s="56" t="s">
        <v>245</v>
      </c>
      <c r="C413" s="50" t="str">
        <f>_xlfn.XLOOKUP(B413,CLIENTES!$A$2:$A$301,CLIENTES!$B$2:$B$301)</f>
        <v>Ignacio Campos</v>
      </c>
      <c r="D413" s="60">
        <v>45170</v>
      </c>
      <c r="E413" s="60">
        <f t="shared" si="18"/>
        <v>45536</v>
      </c>
      <c r="F413" s="50" t="s">
        <v>1595</v>
      </c>
      <c r="G413" s="56" t="s">
        <v>1600</v>
      </c>
      <c r="H413" s="47">
        <v>60</v>
      </c>
      <c r="I413" s="60">
        <v>24239</v>
      </c>
      <c r="J413" s="56" t="s">
        <v>1612</v>
      </c>
      <c r="K413" s="56">
        <v>2022</v>
      </c>
      <c r="L413" s="52">
        <f t="shared" si="19"/>
        <v>28282.487624999998</v>
      </c>
      <c r="M413" s="56">
        <f>LISTAS!$B$22*_xlfn.XLOOKUP(G413,LISTAS!$B$27:$B$36,LISTAS!$A$27:$A$36)*_xlfn.XLOOKUP(H413,LISTAS!$B$38:$B$47,LISTAS!$A$38:$A$47,,-1)*_xlfn.XLOOKUP(J413,LISTAS!$E$26:$H$26,LISTAS!$E$48:$H$48)*_xlfn.XLOOKUP(F413,LISTAS!$A$15:$A$18,LISTAS!$H$15:$H$18)</f>
        <v>1.5214500000000001E-2</v>
      </c>
      <c r="N413" s="54" cm="1">
        <f t="array" ref="N413">_xlfn.XLOOKUP(K413,LISTAS!$D$27:$D$47,_xlfn.XLOOKUP(J413,LISTAS!$E$26:$H$26,LISTAS!$E$27:$H$47))</f>
        <v>22307000</v>
      </c>
      <c r="O413" s="56" t="s">
        <v>1624</v>
      </c>
      <c r="P413" s="76" t="str">
        <f t="shared" ca="1" si="20"/>
        <v>Vencida</v>
      </c>
    </row>
    <row r="414" spans="1:16" x14ac:dyDescent="0.3">
      <c r="A414" s="58" t="s">
        <v>704</v>
      </c>
      <c r="B414" s="56" t="s">
        <v>19</v>
      </c>
      <c r="C414" s="50" t="str">
        <f>_xlfn.XLOOKUP(B414,CLIENTES!$A$2:$A$301,CLIENTES!$B$2:$B$301)</f>
        <v>Daniela Silva</v>
      </c>
      <c r="D414" s="60">
        <v>45838</v>
      </c>
      <c r="E414" s="60">
        <f t="shared" si="18"/>
        <v>46203</v>
      </c>
      <c r="F414" s="50" t="s">
        <v>1595</v>
      </c>
      <c r="G414" s="56" t="s">
        <v>1602</v>
      </c>
      <c r="H414" s="47">
        <v>46</v>
      </c>
      <c r="I414" s="60">
        <v>29176</v>
      </c>
      <c r="J414" s="56" t="s">
        <v>1610</v>
      </c>
      <c r="K414" s="56">
        <v>2017</v>
      </c>
      <c r="L414" s="52">
        <f t="shared" si="19"/>
        <v>19092.149999999998</v>
      </c>
      <c r="M414" s="56">
        <f>LISTAS!$B$22*_xlfn.XLOOKUP(G414,LISTAS!$B$27:$B$36,LISTAS!$A$27:$A$36)*_xlfn.XLOOKUP(H414,LISTAS!$B$38:$B$47,LISTAS!$A$38:$A$47,,-1)*_xlfn.XLOOKUP(J414,LISTAS!$E$26:$H$26,LISTAS!$E$48:$H$48)*_xlfn.XLOOKUP(F414,LISTAS!$A$15:$A$18,LISTAS!$H$15:$H$18)</f>
        <v>1.3167E-2</v>
      </c>
      <c r="N414" s="54" cm="1">
        <f t="array" ref="N414">_xlfn.XLOOKUP(K414,LISTAS!$D$27:$D$47,_xlfn.XLOOKUP(J414,LISTAS!$E$26:$H$26,LISTAS!$E$27:$H$47))</f>
        <v>17400000</v>
      </c>
      <c r="O414" s="56" t="s">
        <v>1623</v>
      </c>
      <c r="P414" s="76" t="str">
        <f t="shared" ca="1" si="20"/>
        <v>Vencida</v>
      </c>
    </row>
    <row r="415" spans="1:16" x14ac:dyDescent="0.3">
      <c r="A415" s="58" t="s">
        <v>705</v>
      </c>
      <c r="B415" s="56" t="s">
        <v>158</v>
      </c>
      <c r="C415" s="50" t="str">
        <f>_xlfn.XLOOKUP(B415,CLIENTES!$A$2:$A$301,CLIENTES!$B$2:$B$301)</f>
        <v>Ignacio Navarro</v>
      </c>
      <c r="D415" s="60">
        <v>45560</v>
      </c>
      <c r="E415" s="60">
        <f t="shared" si="18"/>
        <v>45925</v>
      </c>
      <c r="F415" s="50" t="s">
        <v>1596</v>
      </c>
      <c r="G415" s="56" t="s">
        <v>1601</v>
      </c>
      <c r="H415" s="47">
        <v>28</v>
      </c>
      <c r="I415" s="60">
        <v>35745</v>
      </c>
      <c r="J415" s="56" t="s">
        <v>1610</v>
      </c>
      <c r="K415" s="56">
        <v>2018</v>
      </c>
      <c r="L415" s="52">
        <f t="shared" si="19"/>
        <v>41119.710499999994</v>
      </c>
      <c r="M415" s="56">
        <f>LISTAS!$B$22*_xlfn.XLOOKUP(G415,LISTAS!$B$27:$B$36,LISTAS!$A$27:$A$36)*_xlfn.XLOOKUP(H415,LISTAS!$B$38:$B$47,LISTAS!$A$38:$A$47,,-1)*_xlfn.XLOOKUP(J415,LISTAS!$E$26:$H$26,LISTAS!$E$48:$H$48)*_xlfn.XLOOKUP(F415,LISTAS!$A$15:$A$18,LISTAS!$H$15:$H$18)</f>
        <v>2.5805999999999999E-2</v>
      </c>
      <c r="N415" s="54" cm="1">
        <f t="array" ref="N415">_xlfn.XLOOKUP(K415,LISTAS!$D$27:$D$47,_xlfn.XLOOKUP(J415,LISTAS!$E$26:$H$26,LISTAS!$E$27:$H$47))</f>
        <v>19121000</v>
      </c>
      <c r="O415" s="56" t="s">
        <v>1623</v>
      </c>
      <c r="P415" s="76" t="str">
        <f t="shared" ca="1" si="20"/>
        <v>Vencida</v>
      </c>
    </row>
    <row r="416" spans="1:16" x14ac:dyDescent="0.3">
      <c r="A416" s="58" t="s">
        <v>706</v>
      </c>
      <c r="B416" s="56" t="s">
        <v>5</v>
      </c>
      <c r="C416" s="50" t="str">
        <f>_xlfn.XLOOKUP(B416,CLIENTES!$A$2:$A$301,CLIENTES!$B$2:$B$301)</f>
        <v>Joaquín Ferreyra</v>
      </c>
      <c r="D416" s="60">
        <v>44712</v>
      </c>
      <c r="E416" s="60">
        <f t="shared" si="18"/>
        <v>45077</v>
      </c>
      <c r="F416" s="50" t="s">
        <v>1595</v>
      </c>
      <c r="G416" s="56" t="s">
        <v>1602</v>
      </c>
      <c r="H416" s="47">
        <v>58</v>
      </c>
      <c r="I416" s="60">
        <v>24860</v>
      </c>
      <c r="J416" s="56" t="s">
        <v>1611</v>
      </c>
      <c r="K416" s="56">
        <v>2025</v>
      </c>
      <c r="L416" s="52">
        <f t="shared" si="19"/>
        <v>49990.5</v>
      </c>
      <c r="M416" s="56">
        <f>LISTAS!$B$22*_xlfn.XLOOKUP(G416,LISTAS!$B$27:$B$36,LISTAS!$A$27:$A$36)*_xlfn.XLOOKUP(H416,LISTAS!$B$38:$B$47,LISTAS!$A$38:$A$47,,-1)*_xlfn.XLOOKUP(J416,LISTAS!$E$26:$H$26,LISTAS!$E$48:$H$48)*_xlfn.XLOOKUP(F416,LISTAS!$A$15:$A$18,LISTAS!$H$15:$H$18)</f>
        <v>1.4489999999999999E-2</v>
      </c>
      <c r="N416" s="54" cm="1">
        <f t="array" ref="N416">_xlfn.XLOOKUP(K416,LISTAS!$D$27:$D$47,_xlfn.XLOOKUP(J416,LISTAS!$E$26:$H$26,LISTAS!$E$27:$H$47))</f>
        <v>41400000</v>
      </c>
      <c r="O416" s="56" t="s">
        <v>1625</v>
      </c>
      <c r="P416" s="76" t="str">
        <f t="shared" ca="1" si="20"/>
        <v>Vencida</v>
      </c>
    </row>
    <row r="417" spans="1:16" x14ac:dyDescent="0.3">
      <c r="A417" s="58" t="s">
        <v>707</v>
      </c>
      <c r="B417" s="56" t="s">
        <v>110</v>
      </c>
      <c r="C417" s="50" t="str">
        <f>_xlfn.XLOOKUP(B417,CLIENTES!$A$2:$A$301,CLIENTES!$B$2:$B$301)</f>
        <v>Valentina Ponce</v>
      </c>
      <c r="D417" s="60">
        <v>44843</v>
      </c>
      <c r="E417" s="60">
        <f t="shared" si="18"/>
        <v>45208</v>
      </c>
      <c r="F417" s="50" t="s">
        <v>1598</v>
      </c>
      <c r="G417" s="56" t="s">
        <v>1606</v>
      </c>
      <c r="H417" s="47">
        <v>69</v>
      </c>
      <c r="I417" s="60">
        <v>20834</v>
      </c>
      <c r="J417" s="56" t="s">
        <v>1612</v>
      </c>
      <c r="K417" s="56">
        <v>2023</v>
      </c>
      <c r="L417" s="52">
        <f t="shared" si="19"/>
        <v>64132.13625000001</v>
      </c>
      <c r="M417" s="56">
        <f>LISTAS!$B$22*_xlfn.XLOOKUP(G417,LISTAS!$B$27:$B$36,LISTAS!$A$27:$A$36)*_xlfn.XLOOKUP(H417,LISTAS!$B$38:$B$47,LISTAS!$A$38:$A$47,,-1)*_xlfn.XLOOKUP(J417,LISTAS!$E$26:$H$26,LISTAS!$E$48:$H$48)*_xlfn.XLOOKUP(F417,LISTAS!$A$15:$A$18,LISTAS!$H$15:$H$18)</f>
        <v>3.1395000000000006E-2</v>
      </c>
      <c r="N417" s="54" cm="1">
        <f t="array" ref="N417">_xlfn.XLOOKUP(K417,LISTAS!$D$27:$D$47,_xlfn.XLOOKUP(J417,LISTAS!$E$26:$H$26,LISTAS!$E$27:$H$47))</f>
        <v>24513000</v>
      </c>
      <c r="O417" s="56" t="s">
        <v>1625</v>
      </c>
      <c r="P417" s="76" t="str">
        <f t="shared" ca="1" si="20"/>
        <v>Vencida</v>
      </c>
    </row>
    <row r="418" spans="1:16" x14ac:dyDescent="0.3">
      <c r="A418" s="58" t="s">
        <v>708</v>
      </c>
      <c r="B418" s="56" t="s">
        <v>43</v>
      </c>
      <c r="C418" s="50" t="str">
        <f>_xlfn.XLOOKUP(B418,CLIENTES!$A$2:$A$301,CLIENTES!$B$2:$B$301)</f>
        <v>Martín Martínez</v>
      </c>
      <c r="D418" s="60">
        <v>45366</v>
      </c>
      <c r="E418" s="60">
        <f t="shared" si="18"/>
        <v>45731</v>
      </c>
      <c r="F418" s="50" t="s">
        <v>1597</v>
      </c>
      <c r="G418" s="56" t="s">
        <v>1606</v>
      </c>
      <c r="H418" s="47">
        <v>38</v>
      </c>
      <c r="I418" s="60">
        <v>32184</v>
      </c>
      <c r="J418" s="56" t="s">
        <v>1612</v>
      </c>
      <c r="K418" s="56">
        <v>2025</v>
      </c>
      <c r="L418" s="52">
        <f t="shared" si="19"/>
        <v>56672.000000000007</v>
      </c>
      <c r="M418" s="56">
        <f>LISTAS!$B$22*_xlfn.XLOOKUP(G418,LISTAS!$B$27:$B$36,LISTAS!$A$27:$A$36)*_xlfn.XLOOKUP(H418,LISTAS!$B$38:$B$47,LISTAS!$A$38:$A$47,,-1)*_xlfn.XLOOKUP(J418,LISTAS!$E$26:$H$26,LISTAS!$E$48:$H$48)*_xlfn.XLOOKUP(F418,LISTAS!$A$15:$A$18,LISTAS!$H$15:$H$18)</f>
        <v>2.3100000000000002E-2</v>
      </c>
      <c r="N418" s="54" cm="1">
        <f t="array" ref="N418">_xlfn.XLOOKUP(K418,LISTAS!$D$27:$D$47,_xlfn.XLOOKUP(J418,LISTAS!$E$26:$H$26,LISTAS!$E$27:$H$47))</f>
        <v>29440000</v>
      </c>
      <c r="O418" s="56" t="s">
        <v>1624</v>
      </c>
      <c r="P418" s="76" t="str">
        <f t="shared" ca="1" si="20"/>
        <v>Vencida</v>
      </c>
    </row>
    <row r="419" spans="1:16" x14ac:dyDescent="0.3">
      <c r="A419" s="58" t="s">
        <v>709</v>
      </c>
      <c r="B419" s="56" t="s">
        <v>64</v>
      </c>
      <c r="C419" s="50" t="str">
        <f>_xlfn.XLOOKUP(B419,CLIENTES!$A$2:$A$301,CLIENTES!$B$2:$B$301)</f>
        <v>Matías Herrera</v>
      </c>
      <c r="D419" s="60">
        <v>44887</v>
      </c>
      <c r="E419" s="60">
        <f t="shared" si="18"/>
        <v>45252</v>
      </c>
      <c r="F419" s="50" t="s">
        <v>1596</v>
      </c>
      <c r="G419" s="56" t="s">
        <v>1599</v>
      </c>
      <c r="H419" s="47">
        <v>36</v>
      </c>
      <c r="I419" s="60">
        <v>32755</v>
      </c>
      <c r="J419" s="56" t="s">
        <v>1611</v>
      </c>
      <c r="K419" s="56">
        <v>2023</v>
      </c>
      <c r="L419" s="52">
        <f t="shared" si="19"/>
        <v>67392.759999999995</v>
      </c>
      <c r="M419" s="56">
        <f>LISTAS!$B$22*_xlfn.XLOOKUP(G419,LISTAS!$B$27:$B$36,LISTAS!$A$27:$A$36)*_xlfn.XLOOKUP(H419,LISTAS!$B$38:$B$47,LISTAS!$A$38:$A$47,,-1)*_xlfn.XLOOKUP(J419,LISTAS!$E$26:$H$26,LISTAS!$E$48:$H$48)*_xlfn.XLOOKUP(F419,LISTAS!$A$15:$A$18,LISTAS!$H$15:$H$18)</f>
        <v>2.3459999999999998E-2</v>
      </c>
      <c r="N419" s="54" cm="1">
        <f t="array" ref="N419">_xlfn.XLOOKUP(K419,LISTAS!$D$27:$D$47,_xlfn.XLOOKUP(J419,LISTAS!$E$26:$H$26,LISTAS!$E$27:$H$47))</f>
        <v>34472000</v>
      </c>
      <c r="O419" s="56" t="s">
        <v>1623</v>
      </c>
      <c r="P419" s="76" t="str">
        <f t="shared" ca="1" si="20"/>
        <v>Vencida</v>
      </c>
    </row>
    <row r="420" spans="1:16" x14ac:dyDescent="0.3">
      <c r="A420" s="58" t="s">
        <v>710</v>
      </c>
      <c r="B420" s="56" t="s">
        <v>108</v>
      </c>
      <c r="C420" s="50" t="str">
        <f>_xlfn.XLOOKUP(B420,CLIENTES!$A$2:$A$301,CLIENTES!$B$2:$B$301)</f>
        <v>Paula Ponce</v>
      </c>
      <c r="D420" s="60">
        <v>45280</v>
      </c>
      <c r="E420" s="60">
        <f t="shared" si="18"/>
        <v>45646</v>
      </c>
      <c r="F420" s="50" t="s">
        <v>1597</v>
      </c>
      <c r="G420" s="56" t="s">
        <v>1606</v>
      </c>
      <c r="H420" s="47">
        <v>29</v>
      </c>
      <c r="I420" s="60">
        <v>35509</v>
      </c>
      <c r="J420" s="56" t="s">
        <v>1611</v>
      </c>
      <c r="K420" s="56">
        <v>2019</v>
      </c>
      <c r="L420" s="52">
        <f t="shared" si="19"/>
        <v>59806.670000000006</v>
      </c>
      <c r="M420" s="56">
        <f>LISTAS!$B$22*_xlfn.XLOOKUP(G420,LISTAS!$B$27:$B$36,LISTAS!$A$27:$A$36)*_xlfn.XLOOKUP(H420,LISTAS!$B$38:$B$47,LISTAS!$A$38:$A$47,,-1)*_xlfn.XLOOKUP(J420,LISTAS!$E$26:$H$26,LISTAS!$E$48:$H$48)*_xlfn.XLOOKUP(F420,LISTAS!$A$15:$A$18,LISTAS!$H$15:$H$18)</f>
        <v>3.0360000000000002E-2</v>
      </c>
      <c r="N420" s="54" cm="1">
        <f t="array" ref="N420">_xlfn.XLOOKUP(K420,LISTAS!$D$27:$D$47,_xlfn.XLOOKUP(J420,LISTAS!$E$26:$H$26,LISTAS!$E$27:$H$47))</f>
        <v>23639000</v>
      </c>
      <c r="O420" s="56" t="s">
        <v>1623</v>
      </c>
      <c r="P420" s="76" t="str">
        <f t="shared" ca="1" si="20"/>
        <v>Vencida</v>
      </c>
    </row>
    <row r="421" spans="1:16" x14ac:dyDescent="0.3">
      <c r="A421" s="58" t="s">
        <v>711</v>
      </c>
      <c r="B421" s="56" t="s">
        <v>282</v>
      </c>
      <c r="C421" s="50" t="str">
        <f>_xlfn.XLOOKUP(B421,CLIENTES!$A$2:$A$301,CLIENTES!$B$2:$B$301)</f>
        <v>Tomás Acosta</v>
      </c>
      <c r="D421" s="60">
        <v>46169</v>
      </c>
      <c r="E421" s="60">
        <f t="shared" si="18"/>
        <v>46534</v>
      </c>
      <c r="F421" s="50" t="s">
        <v>1596</v>
      </c>
      <c r="G421" s="56" t="s">
        <v>1608</v>
      </c>
      <c r="H421" s="47">
        <v>31</v>
      </c>
      <c r="I421" s="60">
        <v>34591</v>
      </c>
      <c r="J421" s="56" t="s">
        <v>1611</v>
      </c>
      <c r="K421" s="56">
        <v>2026</v>
      </c>
      <c r="L421" s="52">
        <f t="shared" si="19"/>
        <v>69646.875</v>
      </c>
      <c r="M421" s="56">
        <f>LISTAS!$B$22*_xlfn.XLOOKUP(G421,LISTAS!$B$27:$B$36,LISTAS!$A$27:$A$36)*_xlfn.XLOOKUP(H421,LISTAS!$B$38:$B$47,LISTAS!$A$38:$A$47,,-1)*_xlfn.XLOOKUP(J421,LISTAS!$E$26:$H$26,LISTAS!$E$48:$H$48)*_xlfn.XLOOKUP(F421,LISTAS!$A$15:$A$18,LISTAS!$H$15:$H$18)</f>
        <v>1.8572499999999999E-2</v>
      </c>
      <c r="N421" s="54" cm="1">
        <f t="array" ref="N421">_xlfn.XLOOKUP(K421,LISTAS!$D$27:$D$47,_xlfn.XLOOKUP(J421,LISTAS!$E$26:$H$26,LISTAS!$E$27:$H$47))</f>
        <v>45000000</v>
      </c>
      <c r="O421" s="56" t="s">
        <v>1623</v>
      </c>
      <c r="P421" s="76" t="str">
        <f t="shared" ca="1" si="20"/>
        <v>Vigente</v>
      </c>
    </row>
    <row r="422" spans="1:16" x14ac:dyDescent="0.3">
      <c r="A422" s="58" t="s">
        <v>712</v>
      </c>
      <c r="B422" s="56" t="s">
        <v>234</v>
      </c>
      <c r="C422" s="50" t="str">
        <f>_xlfn.XLOOKUP(B422,CLIENTES!$A$2:$A$301,CLIENTES!$B$2:$B$301)</f>
        <v>Natalia Suárez</v>
      </c>
      <c r="D422" s="60">
        <v>45762</v>
      </c>
      <c r="E422" s="60">
        <f t="shared" si="18"/>
        <v>46127</v>
      </c>
      <c r="F422" s="50" t="s">
        <v>1597</v>
      </c>
      <c r="G422" s="56" t="s">
        <v>1604</v>
      </c>
      <c r="H422" s="47">
        <v>70</v>
      </c>
      <c r="I422" s="60">
        <v>20613</v>
      </c>
      <c r="J422" s="56" t="s">
        <v>1610</v>
      </c>
      <c r="K422" s="56">
        <v>2024</v>
      </c>
      <c r="L422" s="52">
        <f t="shared" si="19"/>
        <v>99820.644000000015</v>
      </c>
      <c r="M422" s="56">
        <f>LISTAS!$B$22*_xlfn.XLOOKUP(G422,LISTAS!$B$27:$B$36,LISTAS!$A$27:$A$36)*_xlfn.XLOOKUP(H422,LISTAS!$B$38:$B$47,LISTAS!$A$38:$A$47,,-1)*_xlfn.XLOOKUP(J422,LISTAS!$E$26:$H$26,LISTAS!$E$48:$H$48)*_xlfn.XLOOKUP(F422,LISTAS!$A$15:$A$18,LISTAS!$H$15:$H$18)</f>
        <v>3.5574000000000001E-2</v>
      </c>
      <c r="N422" s="54" cm="1">
        <f t="array" ref="N422">_xlfn.XLOOKUP(K422,LISTAS!$D$27:$D$47,_xlfn.XLOOKUP(J422,LISTAS!$E$26:$H$26,LISTAS!$E$27:$H$47))</f>
        <v>33672000</v>
      </c>
      <c r="O422" s="56" t="s">
        <v>1624</v>
      </c>
      <c r="P422" s="76" t="str">
        <f t="shared" ca="1" si="20"/>
        <v>Vencida</v>
      </c>
    </row>
    <row r="423" spans="1:16" x14ac:dyDescent="0.3">
      <c r="A423" s="58" t="s">
        <v>713</v>
      </c>
      <c r="B423" s="56" t="s">
        <v>129</v>
      </c>
      <c r="C423" s="50" t="str">
        <f>_xlfn.XLOOKUP(B423,CLIENTES!$A$2:$A$301,CLIENTES!$B$2:$B$301)</f>
        <v>Agustín Acosta</v>
      </c>
      <c r="D423" s="60">
        <v>44535</v>
      </c>
      <c r="E423" s="60">
        <f t="shared" si="18"/>
        <v>44900</v>
      </c>
      <c r="F423" s="50" t="s">
        <v>1597</v>
      </c>
      <c r="G423" s="56" t="s">
        <v>1601</v>
      </c>
      <c r="H423" s="47">
        <v>55</v>
      </c>
      <c r="I423" s="60">
        <v>26083</v>
      </c>
      <c r="J423" s="56" t="s">
        <v>1609</v>
      </c>
      <c r="K423" s="56">
        <v>2018</v>
      </c>
      <c r="L423" s="52">
        <f t="shared" si="19"/>
        <v>25196.691666666669</v>
      </c>
      <c r="M423" s="56">
        <f>LISTAS!$B$22*_xlfn.XLOOKUP(G423,LISTAS!$B$27:$B$36,LISTAS!$A$27:$A$36)*_xlfn.XLOOKUP(H423,LISTAS!$B$38:$B$47,LISTAS!$A$38:$A$47,,-1)*_xlfn.XLOOKUP(J423,LISTAS!$E$26:$H$26,LISTAS!$E$48:$H$48)*_xlfn.XLOOKUP(F423,LISTAS!$A$15:$A$18,LISTAS!$H$15:$H$18)</f>
        <v>2.5300000000000003E-2</v>
      </c>
      <c r="N423" s="54" cm="1">
        <f t="array" ref="N423">_xlfn.XLOOKUP(K423,LISTAS!$D$27:$D$47,_xlfn.XLOOKUP(J423,LISTAS!$E$26:$H$26,LISTAS!$E$27:$H$47))</f>
        <v>11951000</v>
      </c>
      <c r="O423" s="56" t="s">
        <v>1623</v>
      </c>
      <c r="P423" s="76" t="str">
        <f t="shared" ca="1" si="20"/>
        <v>Vencida</v>
      </c>
    </row>
    <row r="424" spans="1:16" x14ac:dyDescent="0.3">
      <c r="A424" s="58" t="s">
        <v>714</v>
      </c>
      <c r="B424" s="56" t="s">
        <v>91</v>
      </c>
      <c r="C424" s="50" t="str">
        <f>_xlfn.XLOOKUP(B424,CLIENTES!$A$2:$A$301,CLIENTES!$B$2:$B$301)</f>
        <v>Fernando Luna</v>
      </c>
      <c r="D424" s="60">
        <v>44740</v>
      </c>
      <c r="E424" s="60">
        <f t="shared" si="18"/>
        <v>45105</v>
      </c>
      <c r="F424" s="50" t="s">
        <v>1598</v>
      </c>
      <c r="G424" s="56" t="s">
        <v>1604</v>
      </c>
      <c r="H424" s="47">
        <v>26</v>
      </c>
      <c r="I424" s="60">
        <v>36645</v>
      </c>
      <c r="J424" s="56" t="s">
        <v>1610</v>
      </c>
      <c r="K424" s="56">
        <v>2021</v>
      </c>
      <c r="L424" s="52">
        <f t="shared" si="19"/>
        <v>76198.122000000018</v>
      </c>
      <c r="M424" s="56">
        <f>LISTAS!$B$22*_xlfn.XLOOKUP(G424,LISTAS!$B$27:$B$36,LISTAS!$A$27:$A$36)*_xlfn.XLOOKUP(H424,LISTAS!$B$38:$B$47,LISTAS!$A$38:$A$47,,-1)*_xlfn.XLOOKUP(J424,LISTAS!$E$26:$H$26,LISTAS!$E$48:$H$48)*_xlfn.XLOOKUP(F424,LISTAS!$A$15:$A$18,LISTAS!$H$15:$H$18)</f>
        <v>3.6036000000000006E-2</v>
      </c>
      <c r="N424" s="54" cm="1">
        <f t="array" ref="N424">_xlfn.XLOOKUP(K424,LISTAS!$D$27:$D$47,_xlfn.XLOOKUP(J424,LISTAS!$E$26:$H$26,LISTAS!$E$27:$H$47))</f>
        <v>25374000</v>
      </c>
      <c r="O424" s="56" t="s">
        <v>1623</v>
      </c>
      <c r="P424" s="76" t="str">
        <f t="shared" ca="1" si="20"/>
        <v>Vencida</v>
      </c>
    </row>
    <row r="425" spans="1:16" x14ac:dyDescent="0.3">
      <c r="A425" s="58" t="s">
        <v>715</v>
      </c>
      <c r="B425" s="56" t="s">
        <v>280</v>
      </c>
      <c r="C425" s="50" t="str">
        <f>_xlfn.XLOOKUP(B425,CLIENTES!$A$2:$A$301,CLIENTES!$B$2:$B$301)</f>
        <v>Santiago Ruiz</v>
      </c>
      <c r="D425" s="60">
        <v>44979</v>
      </c>
      <c r="E425" s="60">
        <f t="shared" si="18"/>
        <v>45344</v>
      </c>
      <c r="F425" s="50" t="s">
        <v>1597</v>
      </c>
      <c r="G425" s="56" t="s">
        <v>1607</v>
      </c>
      <c r="H425" s="47">
        <v>50</v>
      </c>
      <c r="I425" s="60">
        <v>27774</v>
      </c>
      <c r="J425" s="56" t="s">
        <v>1611</v>
      </c>
      <c r="K425" s="56">
        <v>2024</v>
      </c>
      <c r="L425" s="52">
        <f t="shared" si="19"/>
        <v>87852.352499999994</v>
      </c>
      <c r="M425" s="56">
        <f>LISTAS!$B$22*_xlfn.XLOOKUP(G425,LISTAS!$B$27:$B$36,LISTAS!$A$27:$A$36)*_xlfn.XLOOKUP(H425,LISTAS!$B$38:$B$47,LISTAS!$A$38:$A$47,,-1)*_xlfn.XLOOKUP(J425,LISTAS!$E$26:$H$26,LISTAS!$E$48:$H$48)*_xlfn.XLOOKUP(F425,LISTAS!$A$15:$A$18,LISTAS!$H$15:$H$18)</f>
        <v>2.7830000000000001E-2</v>
      </c>
      <c r="N425" s="54" cm="1">
        <f t="array" ref="N425">_xlfn.XLOOKUP(K425,LISTAS!$D$27:$D$47,_xlfn.XLOOKUP(J425,LISTAS!$E$26:$H$26,LISTAS!$E$27:$H$47))</f>
        <v>37881000</v>
      </c>
      <c r="O425" s="56" t="s">
        <v>1623</v>
      </c>
      <c r="P425" s="76" t="str">
        <f t="shared" ca="1" si="20"/>
        <v>Vencida</v>
      </c>
    </row>
    <row r="426" spans="1:16" x14ac:dyDescent="0.3">
      <c r="A426" s="58" t="s">
        <v>716</v>
      </c>
      <c r="B426" s="56" t="s">
        <v>147</v>
      </c>
      <c r="C426" s="50" t="str">
        <f>_xlfn.XLOOKUP(B426,CLIENTES!$A$2:$A$301,CLIENTES!$B$2:$B$301)</f>
        <v>Facundo Benítez</v>
      </c>
      <c r="D426" s="60">
        <v>45663</v>
      </c>
      <c r="E426" s="60">
        <f t="shared" si="18"/>
        <v>46028</v>
      </c>
      <c r="F426" s="50" t="s">
        <v>1596</v>
      </c>
      <c r="G426" s="56" t="s">
        <v>1602</v>
      </c>
      <c r="H426" s="47">
        <v>40</v>
      </c>
      <c r="I426" s="60">
        <v>31386</v>
      </c>
      <c r="J426" s="56" t="s">
        <v>1609</v>
      </c>
      <c r="K426" s="56">
        <v>2025</v>
      </c>
      <c r="L426" s="52">
        <f t="shared" si="19"/>
        <v>32501.875</v>
      </c>
      <c r="M426" s="56">
        <f>LISTAS!$B$22*_xlfn.XLOOKUP(G426,LISTAS!$B$27:$B$36,LISTAS!$A$27:$A$36)*_xlfn.XLOOKUP(H426,LISTAS!$B$38:$B$47,LISTAS!$A$38:$A$47,,-1)*_xlfn.XLOOKUP(J426,LISTAS!$E$26:$H$26,LISTAS!$E$48:$H$48)*_xlfn.XLOOKUP(F426,LISTAS!$A$15:$A$18,LISTAS!$H$15:$H$18)</f>
        <v>1.69575E-2</v>
      </c>
      <c r="N426" s="54" cm="1">
        <f t="array" ref="N426">_xlfn.XLOOKUP(K426,LISTAS!$D$27:$D$47,_xlfn.XLOOKUP(J426,LISTAS!$E$26:$H$26,LISTAS!$E$27:$H$47))</f>
        <v>23000000</v>
      </c>
      <c r="O426" s="56" t="s">
        <v>1623</v>
      </c>
      <c r="P426" s="76" t="str">
        <f t="shared" ca="1" si="20"/>
        <v>Vencida</v>
      </c>
    </row>
    <row r="427" spans="1:16" x14ac:dyDescent="0.3">
      <c r="A427" s="58" t="s">
        <v>717</v>
      </c>
      <c r="B427" s="56" t="s">
        <v>46</v>
      </c>
      <c r="C427" s="50" t="str">
        <f>_xlfn.XLOOKUP(B427,CLIENTES!$A$2:$A$301,CLIENTES!$B$2:$B$301)</f>
        <v>Gonzalo Molina</v>
      </c>
      <c r="D427" s="60">
        <v>44653</v>
      </c>
      <c r="E427" s="60">
        <f t="shared" si="18"/>
        <v>45018</v>
      </c>
      <c r="F427" s="50" t="s">
        <v>1597</v>
      </c>
      <c r="G427" s="56" t="s">
        <v>1602</v>
      </c>
      <c r="H427" s="47">
        <v>73</v>
      </c>
      <c r="I427" s="60">
        <v>19409</v>
      </c>
      <c r="J427" s="56" t="s">
        <v>1610</v>
      </c>
      <c r="K427" s="56">
        <v>2011</v>
      </c>
      <c r="L427" s="52">
        <f t="shared" si="19"/>
        <v>31788.333500000004</v>
      </c>
      <c r="M427" s="56">
        <f>LISTAS!$B$22*_xlfn.XLOOKUP(G427,LISTAS!$B$27:$B$36,LISTAS!$A$27:$A$36)*_xlfn.XLOOKUP(H427,LISTAS!$B$38:$B$47,LISTAS!$A$38:$A$47,,-1)*_xlfn.XLOOKUP(J427,LISTAS!$E$26:$H$26,LISTAS!$E$48:$H$48)*_xlfn.XLOOKUP(F427,LISTAS!$A$15:$A$18,LISTAS!$H$15:$H$18)</f>
        <v>3.5574000000000001E-2</v>
      </c>
      <c r="N427" s="54" cm="1">
        <f t="array" ref="N427">_xlfn.XLOOKUP(K427,LISTAS!$D$27:$D$47,_xlfn.XLOOKUP(J427,LISTAS!$E$26:$H$26,LISTAS!$E$27:$H$47))</f>
        <v>10723000</v>
      </c>
      <c r="O427" s="56" t="s">
        <v>1624</v>
      </c>
      <c r="P427" s="76" t="str">
        <f t="shared" ca="1" si="20"/>
        <v>Vencida</v>
      </c>
    </row>
    <row r="428" spans="1:16" x14ac:dyDescent="0.3">
      <c r="A428" s="58" t="s">
        <v>718</v>
      </c>
      <c r="B428" s="56" t="s">
        <v>53</v>
      </c>
      <c r="C428" s="50" t="str">
        <f>_xlfn.XLOOKUP(B428,CLIENTES!$A$2:$A$301,CLIENTES!$B$2:$B$301)</f>
        <v>Santiago Martínez</v>
      </c>
      <c r="D428" s="60">
        <v>45927</v>
      </c>
      <c r="E428" s="60">
        <f t="shared" si="18"/>
        <v>46292</v>
      </c>
      <c r="F428" s="50" t="s">
        <v>1598</v>
      </c>
      <c r="G428" s="56" t="s">
        <v>1608</v>
      </c>
      <c r="H428" s="47">
        <v>42</v>
      </c>
      <c r="I428" s="60">
        <v>30695</v>
      </c>
      <c r="J428" s="56" t="s">
        <v>1610</v>
      </c>
      <c r="K428" s="56">
        <v>2024</v>
      </c>
      <c r="L428" s="52">
        <f t="shared" si="19"/>
        <v>72427.069000000003</v>
      </c>
      <c r="M428" s="56">
        <f>LISTAS!$B$22*_xlfn.XLOOKUP(G428,LISTAS!$B$27:$B$36,LISTAS!$A$27:$A$36)*_xlfn.XLOOKUP(H428,LISTAS!$B$38:$B$47,LISTAS!$A$38:$A$47,,-1)*_xlfn.XLOOKUP(J428,LISTAS!$E$26:$H$26,LISTAS!$E$48:$H$48)*_xlfn.XLOOKUP(F428,LISTAS!$A$15:$A$18,LISTAS!$H$15:$H$18)</f>
        <v>2.5811500000000001E-2</v>
      </c>
      <c r="N428" s="54" cm="1">
        <f t="array" ref="N428">_xlfn.XLOOKUP(K428,LISTAS!$D$27:$D$47,_xlfn.XLOOKUP(J428,LISTAS!$E$26:$H$26,LISTAS!$E$27:$H$47))</f>
        <v>33672000</v>
      </c>
      <c r="O428" s="56" t="s">
        <v>1626</v>
      </c>
      <c r="P428" s="76" t="str">
        <f t="shared" ca="1" si="20"/>
        <v>Vigente</v>
      </c>
    </row>
    <row r="429" spans="1:16" x14ac:dyDescent="0.3">
      <c r="A429" s="58" t="s">
        <v>719</v>
      </c>
      <c r="B429" s="56" t="s">
        <v>45</v>
      </c>
      <c r="C429" s="50" t="str">
        <f>_xlfn.XLOOKUP(B429,CLIENTES!$A$2:$A$301,CLIENTES!$B$2:$B$301)</f>
        <v>Pedro Aguirre</v>
      </c>
      <c r="D429" s="60">
        <v>44707</v>
      </c>
      <c r="E429" s="60">
        <f t="shared" si="18"/>
        <v>45072</v>
      </c>
      <c r="F429" s="50" t="s">
        <v>1598</v>
      </c>
      <c r="G429" s="56" t="s">
        <v>1603</v>
      </c>
      <c r="H429" s="47">
        <v>46</v>
      </c>
      <c r="I429" s="60">
        <v>29393</v>
      </c>
      <c r="J429" s="56" t="s">
        <v>1611</v>
      </c>
      <c r="K429" s="56">
        <v>2021</v>
      </c>
      <c r="L429" s="52">
        <f t="shared" si="19"/>
        <v>64192.22279166666</v>
      </c>
      <c r="M429" s="56">
        <f>LISTAS!$B$22*_xlfn.XLOOKUP(G429,LISTAS!$B$27:$B$36,LISTAS!$A$27:$A$36)*_xlfn.XLOOKUP(H429,LISTAS!$B$38:$B$47,LISTAS!$A$38:$A$47,,-1)*_xlfn.XLOOKUP(J429,LISTAS!$E$26:$H$26,LISTAS!$E$48:$H$48)*_xlfn.XLOOKUP(F429,LISTAS!$A$15:$A$18,LISTAS!$H$15:$H$18)</f>
        <v>2.6984749999999998E-2</v>
      </c>
      <c r="N429" s="54" cm="1">
        <f t="array" ref="N429">_xlfn.XLOOKUP(K429,LISTAS!$D$27:$D$47,_xlfn.XLOOKUP(J429,LISTAS!$E$26:$H$26,LISTAS!$E$27:$H$47))</f>
        <v>28546000</v>
      </c>
      <c r="O429" s="56" t="s">
        <v>1623</v>
      </c>
      <c r="P429" s="76" t="str">
        <f t="shared" ca="1" si="20"/>
        <v>Vencida</v>
      </c>
    </row>
    <row r="430" spans="1:16" x14ac:dyDescent="0.3">
      <c r="A430" s="58" t="s">
        <v>720</v>
      </c>
      <c r="B430" s="56" t="s">
        <v>36</v>
      </c>
      <c r="C430" s="50" t="str">
        <f>_xlfn.XLOOKUP(B430,CLIENTES!$A$2:$A$301,CLIENTES!$B$2:$B$301)</f>
        <v>Pedro Campos</v>
      </c>
      <c r="D430" s="60">
        <v>46003</v>
      </c>
      <c r="E430" s="60">
        <f t="shared" si="18"/>
        <v>46368</v>
      </c>
      <c r="F430" s="50" t="s">
        <v>1597</v>
      </c>
      <c r="G430" s="56" t="s">
        <v>1600</v>
      </c>
      <c r="H430" s="47">
        <v>80</v>
      </c>
      <c r="I430" s="60">
        <v>16677</v>
      </c>
      <c r="J430" s="56" t="s">
        <v>1610</v>
      </c>
      <c r="K430" s="56">
        <v>2021</v>
      </c>
      <c r="L430" s="52">
        <f t="shared" si="19"/>
        <v>85327.475750000012</v>
      </c>
      <c r="M430" s="56">
        <f>LISTAS!$B$22*_xlfn.XLOOKUP(G430,LISTAS!$B$27:$B$36,LISTAS!$A$27:$A$36)*_xlfn.XLOOKUP(H430,LISTAS!$B$38:$B$47,LISTAS!$A$38:$A$47,,-1)*_xlfn.XLOOKUP(J430,LISTAS!$E$26:$H$26,LISTAS!$E$48:$H$48)*_xlfn.XLOOKUP(F430,LISTAS!$A$15:$A$18,LISTAS!$H$15:$H$18)</f>
        <v>4.0353500000000007E-2</v>
      </c>
      <c r="N430" s="54" cm="1">
        <f t="array" ref="N430">_xlfn.XLOOKUP(K430,LISTAS!$D$27:$D$47,_xlfn.XLOOKUP(J430,LISTAS!$E$26:$H$26,LISTAS!$E$27:$H$47))</f>
        <v>25374000</v>
      </c>
      <c r="O430" s="56" t="s">
        <v>1626</v>
      </c>
      <c r="P430" s="76" t="str">
        <f t="shared" ca="1" si="20"/>
        <v>Vigente</v>
      </c>
    </row>
    <row r="431" spans="1:16" x14ac:dyDescent="0.3">
      <c r="A431" s="58" t="s">
        <v>721</v>
      </c>
      <c r="B431" s="56" t="s">
        <v>164</v>
      </c>
      <c r="C431" s="50" t="str">
        <f>_xlfn.XLOOKUP(B431,CLIENTES!$A$2:$A$301,CLIENTES!$B$2:$B$301)</f>
        <v>Julieta Ferreyra</v>
      </c>
      <c r="D431" s="60">
        <v>44688</v>
      </c>
      <c r="E431" s="60">
        <f t="shared" si="18"/>
        <v>45053</v>
      </c>
      <c r="F431" s="50" t="s">
        <v>1598</v>
      </c>
      <c r="G431" s="56" t="s">
        <v>1599</v>
      </c>
      <c r="H431" s="47">
        <v>28</v>
      </c>
      <c r="I431" s="60">
        <v>35799</v>
      </c>
      <c r="J431" s="56" t="s">
        <v>1611</v>
      </c>
      <c r="K431" s="56">
        <v>2023</v>
      </c>
      <c r="L431" s="52">
        <f t="shared" si="19"/>
        <v>123685.53599999998</v>
      </c>
      <c r="M431" s="56">
        <f>LISTAS!$B$22*_xlfn.XLOOKUP(G431,LISTAS!$B$27:$B$36,LISTAS!$A$27:$A$36)*_xlfn.XLOOKUP(H431,LISTAS!$B$38:$B$47,LISTAS!$A$38:$A$47,,-1)*_xlfn.XLOOKUP(J431,LISTAS!$E$26:$H$26,LISTAS!$E$48:$H$48)*_xlfn.XLOOKUP(F431,LISTAS!$A$15:$A$18,LISTAS!$H$15:$H$18)</f>
        <v>4.3055999999999997E-2</v>
      </c>
      <c r="N431" s="54" cm="1">
        <f t="array" ref="N431">_xlfn.XLOOKUP(K431,LISTAS!$D$27:$D$47,_xlfn.XLOOKUP(J431,LISTAS!$E$26:$H$26,LISTAS!$E$27:$H$47))</f>
        <v>34472000</v>
      </c>
      <c r="O431" s="56" t="s">
        <v>1623</v>
      </c>
      <c r="P431" s="76" t="str">
        <f t="shared" ca="1" si="20"/>
        <v>Vencida</v>
      </c>
    </row>
    <row r="432" spans="1:16" x14ac:dyDescent="0.3">
      <c r="A432" s="58" t="s">
        <v>722</v>
      </c>
      <c r="B432" s="56" t="s">
        <v>41</v>
      </c>
      <c r="C432" s="50" t="str">
        <f>_xlfn.XLOOKUP(B432,CLIENTES!$A$2:$A$301,CLIENTES!$B$2:$B$301)</f>
        <v>Ignacio Ortiz</v>
      </c>
      <c r="D432" s="60">
        <v>45441</v>
      </c>
      <c r="E432" s="60">
        <f t="shared" si="18"/>
        <v>45806</v>
      </c>
      <c r="F432" s="50" t="s">
        <v>1595</v>
      </c>
      <c r="G432" s="56" t="s">
        <v>1599</v>
      </c>
      <c r="H432" s="47">
        <v>77</v>
      </c>
      <c r="I432" s="60">
        <v>18036</v>
      </c>
      <c r="J432" s="56" t="s">
        <v>1611</v>
      </c>
      <c r="K432" s="56">
        <v>2022</v>
      </c>
      <c r="L432" s="52">
        <f t="shared" si="19"/>
        <v>62769.368999999984</v>
      </c>
      <c r="M432" s="56">
        <f>LISTAS!$B$22*_xlfn.XLOOKUP(G432,LISTAS!$B$27:$B$36,LISTAS!$A$27:$A$36)*_xlfn.XLOOKUP(H432,LISTAS!$B$38:$B$47,LISTAS!$A$38:$A$47,,-1)*_xlfn.XLOOKUP(J432,LISTAS!$E$26:$H$26,LISTAS!$E$48:$H$48)*_xlfn.XLOOKUP(F432,LISTAS!$A$15:$A$18,LISTAS!$H$15:$H$18)</f>
        <v>2.4011999999999995E-2</v>
      </c>
      <c r="N432" s="54" cm="1">
        <f t="array" ref="N432">_xlfn.XLOOKUP(K432,LISTAS!$D$27:$D$47,_xlfn.XLOOKUP(J432,LISTAS!$E$26:$H$26,LISTAS!$E$27:$H$47))</f>
        <v>31369000</v>
      </c>
      <c r="O432" s="56" t="s">
        <v>1623</v>
      </c>
      <c r="P432" s="76" t="str">
        <f t="shared" ca="1" si="20"/>
        <v>Vencida</v>
      </c>
    </row>
    <row r="433" spans="1:16" x14ac:dyDescent="0.3">
      <c r="A433" s="58" t="s">
        <v>723</v>
      </c>
      <c r="B433" s="56" t="s">
        <v>238</v>
      </c>
      <c r="C433" s="50" t="str">
        <f>_xlfn.XLOOKUP(B433,CLIENTES!$A$2:$A$301,CLIENTES!$B$2:$B$301)</f>
        <v>Victoria Campos</v>
      </c>
      <c r="D433" s="60">
        <v>46082</v>
      </c>
      <c r="E433" s="60">
        <f t="shared" si="18"/>
        <v>46447</v>
      </c>
      <c r="F433" s="50" t="s">
        <v>1598</v>
      </c>
      <c r="G433" s="56" t="s">
        <v>1603</v>
      </c>
      <c r="H433" s="47">
        <v>30</v>
      </c>
      <c r="I433" s="60">
        <v>35045</v>
      </c>
      <c r="J433" s="56" t="s">
        <v>1612</v>
      </c>
      <c r="K433" s="56">
        <v>2021</v>
      </c>
      <c r="L433" s="52">
        <f t="shared" si="19"/>
        <v>43871.213749999995</v>
      </c>
      <c r="M433" s="56">
        <f>LISTAS!$B$22*_xlfn.XLOOKUP(G433,LISTAS!$B$27:$B$36,LISTAS!$A$27:$A$36)*_xlfn.XLOOKUP(H433,LISTAS!$B$38:$B$47,LISTAS!$A$38:$A$47,,-1)*_xlfn.XLOOKUP(J433,LISTAS!$E$26:$H$26,LISTAS!$E$48:$H$48)*_xlfn.XLOOKUP(F433,LISTAS!$A$15:$A$18,LISTAS!$H$15:$H$18)</f>
        <v>2.5935E-2</v>
      </c>
      <c r="N433" s="54" cm="1">
        <f t="array" ref="N433">_xlfn.XLOOKUP(K433,LISTAS!$D$27:$D$47,_xlfn.XLOOKUP(J433,LISTAS!$E$26:$H$26,LISTAS!$E$27:$H$47))</f>
        <v>20299000</v>
      </c>
      <c r="O433" s="56" t="s">
        <v>1625</v>
      </c>
      <c r="P433" s="76" t="str">
        <f t="shared" ca="1" si="20"/>
        <v>Vigente</v>
      </c>
    </row>
    <row r="434" spans="1:16" x14ac:dyDescent="0.3">
      <c r="A434" s="58" t="s">
        <v>724</v>
      </c>
      <c r="B434" s="56" t="s">
        <v>39</v>
      </c>
      <c r="C434" s="50" t="str">
        <f>_xlfn.XLOOKUP(B434,CLIENTES!$A$2:$A$301,CLIENTES!$B$2:$B$301)</f>
        <v>Juan Romero</v>
      </c>
      <c r="D434" s="60">
        <v>45829</v>
      </c>
      <c r="E434" s="60">
        <f t="shared" si="18"/>
        <v>46194</v>
      </c>
      <c r="F434" s="50" t="s">
        <v>1597</v>
      </c>
      <c r="G434" s="56" t="s">
        <v>1602</v>
      </c>
      <c r="H434" s="47">
        <v>66</v>
      </c>
      <c r="I434" s="60">
        <v>21899</v>
      </c>
      <c r="J434" s="56" t="s">
        <v>1611</v>
      </c>
      <c r="K434" s="56">
        <v>2019</v>
      </c>
      <c r="L434" s="52">
        <f t="shared" si="19"/>
        <v>60180.461687499999</v>
      </c>
      <c r="M434" s="56">
        <f>LISTAS!$B$22*_xlfn.XLOOKUP(G434,LISTAS!$B$27:$B$36,LISTAS!$A$27:$A$36)*_xlfn.XLOOKUP(H434,LISTAS!$B$38:$B$47,LISTAS!$A$38:$A$47,,-1)*_xlfn.XLOOKUP(J434,LISTAS!$E$26:$H$26,LISTAS!$E$48:$H$48)*_xlfn.XLOOKUP(F434,LISTAS!$A$15:$A$18,LISTAS!$H$15:$H$18)</f>
        <v>3.0549750000000001E-2</v>
      </c>
      <c r="N434" s="54" cm="1">
        <f t="array" ref="N434">_xlfn.XLOOKUP(K434,LISTAS!$D$27:$D$47,_xlfn.XLOOKUP(J434,LISTAS!$E$26:$H$26,LISTAS!$E$27:$H$47))</f>
        <v>23639000</v>
      </c>
      <c r="O434" s="56" t="s">
        <v>1623</v>
      </c>
      <c r="P434" s="76" t="str">
        <f t="shared" ca="1" si="20"/>
        <v>Vencida</v>
      </c>
    </row>
    <row r="435" spans="1:16" x14ac:dyDescent="0.3">
      <c r="A435" s="58" t="s">
        <v>725</v>
      </c>
      <c r="B435" s="56" t="s">
        <v>222</v>
      </c>
      <c r="C435" s="50" t="str">
        <f>_xlfn.XLOOKUP(B435,CLIENTES!$A$2:$A$301,CLIENTES!$B$2:$B$301)</f>
        <v>Mateo Rodríguez</v>
      </c>
      <c r="D435" s="60">
        <v>45683</v>
      </c>
      <c r="E435" s="60">
        <f t="shared" si="18"/>
        <v>46048</v>
      </c>
      <c r="F435" s="50" t="s">
        <v>1595</v>
      </c>
      <c r="G435" s="56" t="s">
        <v>1606</v>
      </c>
      <c r="H435" s="47">
        <v>49</v>
      </c>
      <c r="I435" s="60">
        <v>28100</v>
      </c>
      <c r="J435" s="56" t="s">
        <v>1609</v>
      </c>
      <c r="K435" s="56">
        <v>2016</v>
      </c>
      <c r="L435" s="52">
        <f t="shared" si="19"/>
        <v>9453.4499999999989</v>
      </c>
      <c r="M435" s="56">
        <f>LISTAS!$B$22*_xlfn.XLOOKUP(G435,LISTAS!$B$27:$B$36,LISTAS!$A$27:$A$36)*_xlfn.XLOOKUP(H435,LISTAS!$B$38:$B$47,LISTAS!$A$38:$A$47,,-1)*_xlfn.XLOOKUP(J435,LISTAS!$E$26:$H$26,LISTAS!$E$48:$H$48)*_xlfn.XLOOKUP(F435,LISTAS!$A$15:$A$18,LISTAS!$H$15:$H$18)</f>
        <v>1.1399999999999999E-2</v>
      </c>
      <c r="N435" s="54" cm="1">
        <f t="array" ref="N435">_xlfn.XLOOKUP(K435,LISTAS!$D$27:$D$47,_xlfn.XLOOKUP(J435,LISTAS!$E$26:$H$26,LISTAS!$E$27:$H$47))</f>
        <v>9951000</v>
      </c>
      <c r="O435" s="56" t="s">
        <v>1623</v>
      </c>
      <c r="P435" s="76" t="str">
        <f t="shared" ca="1" si="20"/>
        <v>Vencida</v>
      </c>
    </row>
    <row r="436" spans="1:16" x14ac:dyDescent="0.3">
      <c r="A436" s="58" t="s">
        <v>726</v>
      </c>
      <c r="B436" s="56" t="s">
        <v>77</v>
      </c>
      <c r="C436" s="50" t="str">
        <f>_xlfn.XLOOKUP(B436,CLIENTES!$A$2:$A$301,CLIENTES!$B$2:$B$301)</f>
        <v>Matías Suárez</v>
      </c>
      <c r="D436" s="60">
        <v>45374</v>
      </c>
      <c r="E436" s="60">
        <f t="shared" si="18"/>
        <v>45739</v>
      </c>
      <c r="F436" s="50" t="s">
        <v>1596</v>
      </c>
      <c r="G436" s="56" t="s">
        <v>1606</v>
      </c>
      <c r="H436" s="47">
        <v>46</v>
      </c>
      <c r="I436" s="60">
        <v>29195</v>
      </c>
      <c r="J436" s="56" t="s">
        <v>1610</v>
      </c>
      <c r="K436" s="56">
        <v>2019</v>
      </c>
      <c r="L436" s="52">
        <f t="shared" si="19"/>
        <v>31106.514999999999</v>
      </c>
      <c r="M436" s="56">
        <f>LISTAS!$B$22*_xlfn.XLOOKUP(G436,LISTAS!$B$27:$B$36,LISTAS!$A$27:$A$36)*_xlfn.XLOOKUP(H436,LISTAS!$B$38:$B$47,LISTAS!$A$38:$A$47,,-1)*_xlfn.XLOOKUP(J436,LISTAS!$E$26:$H$26,LISTAS!$E$48:$H$48)*_xlfn.XLOOKUP(F436,LISTAS!$A$15:$A$18,LISTAS!$H$15:$H$18)</f>
        <v>1.7765E-2</v>
      </c>
      <c r="N436" s="54" cm="1">
        <f t="array" ref="N436">_xlfn.XLOOKUP(K436,LISTAS!$D$27:$D$47,_xlfn.XLOOKUP(J436,LISTAS!$E$26:$H$26,LISTAS!$E$27:$H$47))</f>
        <v>21012000</v>
      </c>
      <c r="O436" s="56" t="s">
        <v>1624</v>
      </c>
      <c r="P436" s="76" t="str">
        <f t="shared" ca="1" si="20"/>
        <v>Vencida</v>
      </c>
    </row>
    <row r="437" spans="1:16" x14ac:dyDescent="0.3">
      <c r="A437" s="58" t="s">
        <v>727</v>
      </c>
      <c r="B437" s="56" t="s">
        <v>195</v>
      </c>
      <c r="C437" s="50" t="str">
        <f>_xlfn.XLOOKUP(B437,CLIENTES!$A$2:$A$301,CLIENTES!$B$2:$B$301)</f>
        <v>Martina Luna</v>
      </c>
      <c r="D437" s="60">
        <v>45123</v>
      </c>
      <c r="E437" s="60">
        <f t="shared" si="18"/>
        <v>45489</v>
      </c>
      <c r="F437" s="50" t="s">
        <v>1598</v>
      </c>
      <c r="G437" s="56" t="s">
        <v>1603</v>
      </c>
      <c r="H437" s="47">
        <v>72</v>
      </c>
      <c r="I437" s="60">
        <v>19886</v>
      </c>
      <c r="J437" s="56" t="s">
        <v>1610</v>
      </c>
      <c r="K437" s="56">
        <v>2016</v>
      </c>
      <c r="L437" s="52">
        <f t="shared" si="19"/>
        <v>50466.916499999999</v>
      </c>
      <c r="M437" s="56">
        <f>LISTAS!$B$22*_xlfn.XLOOKUP(G437,LISTAS!$B$27:$B$36,LISTAS!$A$27:$A$36)*_xlfn.XLOOKUP(H437,LISTAS!$B$38:$B$47,LISTAS!$A$38:$A$47,,-1)*_xlfn.XLOOKUP(J437,LISTAS!$E$26:$H$26,LISTAS!$E$48:$H$48)*_xlfn.XLOOKUP(F437,LISTAS!$A$15:$A$18,LISTAS!$H$15:$H$18)</f>
        <v>3.8038000000000002E-2</v>
      </c>
      <c r="N437" s="54" cm="1">
        <f t="array" ref="N437">_xlfn.XLOOKUP(K437,LISTAS!$D$27:$D$47,_xlfn.XLOOKUP(J437,LISTAS!$E$26:$H$26,LISTAS!$E$27:$H$47))</f>
        <v>15921000</v>
      </c>
      <c r="O437" s="56" t="s">
        <v>1625</v>
      </c>
      <c r="P437" s="76" t="str">
        <f t="shared" ca="1" si="20"/>
        <v>Vencida</v>
      </c>
    </row>
    <row r="438" spans="1:16" x14ac:dyDescent="0.3">
      <c r="A438" s="58" t="s">
        <v>728</v>
      </c>
      <c r="B438" s="56" t="s">
        <v>7</v>
      </c>
      <c r="C438" s="50" t="str">
        <f>_xlfn.XLOOKUP(B438,CLIENTES!$A$2:$A$301,CLIENTES!$B$2:$B$301)</f>
        <v>Federico Ramírez</v>
      </c>
      <c r="D438" s="60">
        <v>45173</v>
      </c>
      <c r="E438" s="60">
        <f t="shared" si="18"/>
        <v>45539</v>
      </c>
      <c r="F438" s="50" t="s">
        <v>1596</v>
      </c>
      <c r="G438" s="56" t="s">
        <v>1602</v>
      </c>
      <c r="H438" s="47">
        <v>22</v>
      </c>
      <c r="I438" s="60">
        <v>37956</v>
      </c>
      <c r="J438" s="56" t="s">
        <v>1611</v>
      </c>
      <c r="K438" s="56">
        <v>2024</v>
      </c>
      <c r="L438" s="52">
        <f t="shared" si="19"/>
        <v>87480.250593749995</v>
      </c>
      <c r="M438" s="56">
        <f>LISTAS!$B$22*_xlfn.XLOOKUP(G438,LISTAS!$B$27:$B$36,LISTAS!$A$27:$A$36)*_xlfn.XLOOKUP(H438,LISTAS!$B$38:$B$47,LISTAS!$A$38:$A$47,,-1)*_xlfn.XLOOKUP(J438,LISTAS!$E$26:$H$26,LISTAS!$E$48:$H$48)*_xlfn.XLOOKUP(F438,LISTAS!$A$15:$A$18,LISTAS!$H$15:$H$18)</f>
        <v>2.7712124999999997E-2</v>
      </c>
      <c r="N438" s="54" cm="1">
        <f t="array" ref="N438">_xlfn.XLOOKUP(K438,LISTAS!$D$27:$D$47,_xlfn.XLOOKUP(J438,LISTAS!$E$26:$H$26,LISTAS!$E$27:$H$47))</f>
        <v>37881000</v>
      </c>
      <c r="O438" s="56" t="s">
        <v>1626</v>
      </c>
      <c r="P438" s="76" t="str">
        <f t="shared" ca="1" si="20"/>
        <v>Vencida</v>
      </c>
    </row>
    <row r="439" spans="1:16" x14ac:dyDescent="0.3">
      <c r="A439" s="58" t="s">
        <v>729</v>
      </c>
      <c r="B439" s="56" t="s">
        <v>78</v>
      </c>
      <c r="C439" s="50" t="str">
        <f>_xlfn.XLOOKUP(B439,CLIENTES!$A$2:$A$301,CLIENTES!$B$2:$B$301)</f>
        <v>Sofía Luna</v>
      </c>
      <c r="D439" s="60">
        <v>44670</v>
      </c>
      <c r="E439" s="60">
        <f t="shared" si="18"/>
        <v>45035</v>
      </c>
      <c r="F439" s="50" t="s">
        <v>1597</v>
      </c>
      <c r="G439" s="56" t="s">
        <v>1606</v>
      </c>
      <c r="H439" s="47">
        <v>49</v>
      </c>
      <c r="I439" s="60">
        <v>28024</v>
      </c>
      <c r="J439" s="56" t="s">
        <v>1611</v>
      </c>
      <c r="K439" s="56">
        <v>2018</v>
      </c>
      <c r="L439" s="52">
        <f t="shared" si="19"/>
        <v>43084.740416666667</v>
      </c>
      <c r="M439" s="56">
        <f>LISTAS!$B$22*_xlfn.XLOOKUP(G439,LISTAS!$B$27:$B$36,LISTAS!$A$27:$A$36)*_xlfn.XLOOKUP(H439,LISTAS!$B$38:$B$47,LISTAS!$A$38:$A$47,,-1)*_xlfn.XLOOKUP(J439,LISTAS!$E$26:$H$26,LISTAS!$E$48:$H$48)*_xlfn.XLOOKUP(F439,LISTAS!$A$15:$A$18,LISTAS!$H$15:$H$18)</f>
        <v>2.4035000000000001E-2</v>
      </c>
      <c r="N439" s="54" cm="1">
        <f t="array" ref="N439">_xlfn.XLOOKUP(K439,LISTAS!$D$27:$D$47,_xlfn.XLOOKUP(J439,LISTAS!$E$26:$H$26,LISTAS!$E$27:$H$47))</f>
        <v>21511000</v>
      </c>
      <c r="O439" s="56" t="s">
        <v>1624</v>
      </c>
      <c r="P439" s="76" t="str">
        <f t="shared" ca="1" si="20"/>
        <v>Vencida</v>
      </c>
    </row>
    <row r="440" spans="1:16" x14ac:dyDescent="0.3">
      <c r="A440" s="58" t="s">
        <v>730</v>
      </c>
      <c r="B440" s="56" t="s">
        <v>124</v>
      </c>
      <c r="C440" s="50" t="str">
        <f>_xlfn.XLOOKUP(B440,CLIENTES!$A$2:$A$301,CLIENTES!$B$2:$B$301)</f>
        <v>Daniel Silva</v>
      </c>
      <c r="D440" s="60">
        <v>46014</v>
      </c>
      <c r="E440" s="60">
        <f t="shared" si="18"/>
        <v>46379</v>
      </c>
      <c r="F440" s="50" t="s">
        <v>1597</v>
      </c>
      <c r="G440" s="56" t="s">
        <v>1605</v>
      </c>
      <c r="H440" s="47">
        <v>18</v>
      </c>
      <c r="I440" s="60">
        <v>39426</v>
      </c>
      <c r="J440" s="56" t="s">
        <v>1610</v>
      </c>
      <c r="K440" s="56">
        <v>2022</v>
      </c>
      <c r="L440" s="52">
        <f t="shared" si="19"/>
        <v>75914.190000000017</v>
      </c>
      <c r="M440" s="56">
        <f>LISTAS!$B$22*_xlfn.XLOOKUP(G440,LISTAS!$B$27:$B$36,LISTAS!$A$27:$A$36)*_xlfn.XLOOKUP(H440,LISTAS!$B$38:$B$47,LISTAS!$A$38:$A$47,,-1)*_xlfn.XLOOKUP(J440,LISTAS!$E$26:$H$26,LISTAS!$E$48:$H$48)*_xlfn.XLOOKUP(F440,LISTAS!$A$15:$A$18,LISTAS!$H$15:$H$18)</f>
        <v>3.2670000000000005E-2</v>
      </c>
      <c r="N440" s="54" cm="1">
        <f t="array" ref="N440">_xlfn.XLOOKUP(K440,LISTAS!$D$27:$D$47,_xlfn.XLOOKUP(J440,LISTAS!$E$26:$H$26,LISTAS!$E$27:$H$47))</f>
        <v>27884000</v>
      </c>
      <c r="O440" s="56" t="s">
        <v>1623</v>
      </c>
      <c r="P440" s="76" t="str">
        <f t="shared" ca="1" si="20"/>
        <v>Vigente</v>
      </c>
    </row>
    <row r="441" spans="1:16" x14ac:dyDescent="0.3">
      <c r="A441" s="58" t="s">
        <v>731</v>
      </c>
      <c r="B441" s="56" t="s">
        <v>143</v>
      </c>
      <c r="C441" s="50" t="str">
        <f>_xlfn.XLOOKUP(B441,CLIENTES!$A$2:$A$301,CLIENTES!$B$2:$B$301)</f>
        <v>Tomás Ramírez</v>
      </c>
      <c r="D441" s="60">
        <v>45873</v>
      </c>
      <c r="E441" s="60">
        <f t="shared" si="18"/>
        <v>46238</v>
      </c>
      <c r="F441" s="50" t="s">
        <v>1595</v>
      </c>
      <c r="G441" s="56" t="s">
        <v>1603</v>
      </c>
      <c r="H441" s="47">
        <v>29</v>
      </c>
      <c r="I441" s="60">
        <v>35605</v>
      </c>
      <c r="J441" s="56" t="s">
        <v>1609</v>
      </c>
      <c r="K441" s="56">
        <v>2022</v>
      </c>
      <c r="L441" s="52">
        <f t="shared" si="19"/>
        <v>19866.779999999995</v>
      </c>
      <c r="M441" s="56">
        <f>LISTAS!$B$22*_xlfn.XLOOKUP(G441,LISTAS!$B$27:$B$36,LISTAS!$A$27:$A$36)*_xlfn.XLOOKUP(H441,LISTAS!$B$38:$B$47,LISTAS!$A$38:$A$47,,-1)*_xlfn.XLOOKUP(J441,LISTAS!$E$26:$H$26,LISTAS!$E$48:$H$48)*_xlfn.XLOOKUP(F441,LISTAS!$A$15:$A$18,LISTAS!$H$15:$H$18)</f>
        <v>1.3679999999999998E-2</v>
      </c>
      <c r="N441" s="54" cm="1">
        <f t="array" ref="N441">_xlfn.XLOOKUP(K441,LISTAS!$D$27:$D$47,_xlfn.XLOOKUP(J441,LISTAS!$E$26:$H$26,LISTAS!$E$27:$H$47))</f>
        <v>17427000</v>
      </c>
      <c r="O441" s="56" t="s">
        <v>1624</v>
      </c>
      <c r="P441" s="76" t="str">
        <f t="shared" ca="1" si="20"/>
        <v>Vencida</v>
      </c>
    </row>
    <row r="442" spans="1:16" x14ac:dyDescent="0.3">
      <c r="A442" s="58" t="s">
        <v>732</v>
      </c>
      <c r="B442" s="56" t="s">
        <v>289</v>
      </c>
      <c r="C442" s="50" t="str">
        <f>_xlfn.XLOOKUP(B442,CLIENTES!$A$2:$A$301,CLIENTES!$B$2:$B$301)</f>
        <v>Natalia Bravo</v>
      </c>
      <c r="D442" s="60">
        <v>44734</v>
      </c>
      <c r="E442" s="60">
        <f t="shared" si="18"/>
        <v>45099</v>
      </c>
      <c r="F442" s="50" t="s">
        <v>1595</v>
      </c>
      <c r="G442" s="56" t="s">
        <v>1603</v>
      </c>
      <c r="H442" s="47">
        <v>41</v>
      </c>
      <c r="I442" s="60">
        <v>30966</v>
      </c>
      <c r="J442" s="56" t="s">
        <v>1612</v>
      </c>
      <c r="K442" s="56">
        <v>2025</v>
      </c>
      <c r="L442" s="52">
        <f t="shared" si="19"/>
        <v>27898.079999999998</v>
      </c>
      <c r="M442" s="56">
        <f>LISTAS!$B$22*_xlfn.XLOOKUP(G442,LISTAS!$B$27:$B$36,LISTAS!$A$27:$A$36)*_xlfn.XLOOKUP(H442,LISTAS!$B$38:$B$47,LISTAS!$A$38:$A$47,,-1)*_xlfn.XLOOKUP(J442,LISTAS!$E$26:$H$26,LISTAS!$E$48:$H$48)*_xlfn.XLOOKUP(F442,LISTAS!$A$15:$A$18,LISTAS!$H$15:$H$18)</f>
        <v>1.13715E-2</v>
      </c>
      <c r="N442" s="54" cm="1">
        <f t="array" ref="N442">_xlfn.XLOOKUP(K442,LISTAS!$D$27:$D$47,_xlfn.XLOOKUP(J442,LISTAS!$E$26:$H$26,LISTAS!$E$27:$H$47))</f>
        <v>29440000</v>
      </c>
      <c r="O442" s="56" t="s">
        <v>1623</v>
      </c>
      <c r="P442" s="76" t="str">
        <f t="shared" ca="1" si="20"/>
        <v>Vencida</v>
      </c>
    </row>
    <row r="443" spans="1:16" x14ac:dyDescent="0.3">
      <c r="A443" s="58" t="s">
        <v>733</v>
      </c>
      <c r="B443" s="56" t="s">
        <v>35</v>
      </c>
      <c r="C443" s="50" t="str">
        <f>_xlfn.XLOOKUP(B443,CLIENTES!$A$2:$A$301,CLIENTES!$B$2:$B$301)</f>
        <v>Natalia Ferreyra</v>
      </c>
      <c r="D443" s="60">
        <v>45067</v>
      </c>
      <c r="E443" s="60">
        <f t="shared" si="18"/>
        <v>45433</v>
      </c>
      <c r="F443" s="50" t="s">
        <v>1595</v>
      </c>
      <c r="G443" s="56" t="s">
        <v>1608</v>
      </c>
      <c r="H443" s="47">
        <v>75</v>
      </c>
      <c r="I443" s="60">
        <v>18723</v>
      </c>
      <c r="J443" s="56" t="s">
        <v>1609</v>
      </c>
      <c r="K443" s="56">
        <v>2024</v>
      </c>
      <c r="L443" s="52">
        <f t="shared" si="19"/>
        <v>28989.487499999999</v>
      </c>
      <c r="M443" s="56">
        <f>LISTAS!$B$22*_xlfn.XLOOKUP(G443,LISTAS!$B$27:$B$36,LISTAS!$A$27:$A$36)*_xlfn.XLOOKUP(H443,LISTAS!$B$38:$B$47,LISTAS!$A$38:$A$47,,-1)*_xlfn.XLOOKUP(J443,LISTAS!$E$26:$H$26,LISTAS!$E$48:$H$48)*_xlfn.XLOOKUP(F443,LISTAS!$A$15:$A$18,LISTAS!$H$15:$H$18)</f>
        <v>1.653E-2</v>
      </c>
      <c r="N443" s="54" cm="1">
        <f t="array" ref="N443">_xlfn.XLOOKUP(K443,LISTAS!$D$27:$D$47,_xlfn.XLOOKUP(J443,LISTAS!$E$26:$H$26,LISTAS!$E$27:$H$47))</f>
        <v>21045000</v>
      </c>
      <c r="O443" s="56" t="s">
        <v>1624</v>
      </c>
      <c r="P443" s="76" t="str">
        <f t="shared" ca="1" si="20"/>
        <v>Vencida</v>
      </c>
    </row>
    <row r="444" spans="1:16" x14ac:dyDescent="0.3">
      <c r="A444" s="58" t="s">
        <v>734</v>
      </c>
      <c r="B444" s="56" t="s">
        <v>264</v>
      </c>
      <c r="C444" s="50" t="str">
        <f>_xlfn.XLOOKUP(B444,CLIENTES!$A$2:$A$301,CLIENTES!$B$2:$B$301)</f>
        <v>Andrés Núñez</v>
      </c>
      <c r="D444" s="60">
        <v>46128</v>
      </c>
      <c r="E444" s="60">
        <f t="shared" si="18"/>
        <v>46493</v>
      </c>
      <c r="F444" s="50" t="s">
        <v>1596</v>
      </c>
      <c r="G444" s="56" t="s">
        <v>1602</v>
      </c>
      <c r="H444" s="47">
        <v>63</v>
      </c>
      <c r="I444" s="60">
        <v>22961</v>
      </c>
      <c r="J444" s="56" t="s">
        <v>1609</v>
      </c>
      <c r="K444" s="56">
        <v>2024</v>
      </c>
      <c r="L444" s="52">
        <f t="shared" si="19"/>
        <v>32869.659375000003</v>
      </c>
      <c r="M444" s="56">
        <f>LISTAS!$B$22*_xlfn.XLOOKUP(G444,LISTAS!$B$27:$B$36,LISTAS!$A$27:$A$36)*_xlfn.XLOOKUP(H444,LISTAS!$B$38:$B$47,LISTAS!$A$38:$A$47,,-1)*_xlfn.XLOOKUP(J444,LISTAS!$E$26:$H$26,LISTAS!$E$48:$H$48)*_xlfn.XLOOKUP(F444,LISTAS!$A$15:$A$18,LISTAS!$H$15:$H$18)</f>
        <v>1.8742500000000002E-2</v>
      </c>
      <c r="N444" s="54" cm="1">
        <f t="array" ref="N444">_xlfn.XLOOKUP(K444,LISTAS!$D$27:$D$47,_xlfn.XLOOKUP(J444,LISTAS!$E$26:$H$26,LISTAS!$E$27:$H$47))</f>
        <v>21045000</v>
      </c>
      <c r="O444" s="56" t="s">
        <v>1623</v>
      </c>
      <c r="P444" s="76" t="str">
        <f t="shared" ca="1" si="20"/>
        <v>Vigente</v>
      </c>
    </row>
    <row r="445" spans="1:16" x14ac:dyDescent="0.3">
      <c r="A445" s="58" t="s">
        <v>735</v>
      </c>
      <c r="B445" s="56" t="s">
        <v>251</v>
      </c>
      <c r="C445" s="50" t="str">
        <f>_xlfn.XLOOKUP(B445,CLIENTES!$A$2:$A$301,CLIENTES!$B$2:$B$301)</f>
        <v>Camila Correa</v>
      </c>
      <c r="D445" s="60">
        <v>45662</v>
      </c>
      <c r="E445" s="60">
        <f t="shared" si="18"/>
        <v>46027</v>
      </c>
      <c r="F445" s="50" t="s">
        <v>1598</v>
      </c>
      <c r="G445" s="56" t="s">
        <v>1607</v>
      </c>
      <c r="H445" s="47">
        <v>27</v>
      </c>
      <c r="I445" s="60">
        <v>36085</v>
      </c>
      <c r="J445" s="56" t="s">
        <v>1611</v>
      </c>
      <c r="K445" s="56">
        <v>2025</v>
      </c>
      <c r="L445" s="52">
        <f t="shared" si="19"/>
        <v>136164.6</v>
      </c>
      <c r="M445" s="56">
        <f>LISTAS!$B$22*_xlfn.XLOOKUP(G445,LISTAS!$B$27:$B$36,LISTAS!$A$27:$A$36)*_xlfn.XLOOKUP(H445,LISTAS!$B$38:$B$47,LISTAS!$A$38:$A$47,,-1)*_xlfn.XLOOKUP(J445,LISTAS!$E$26:$H$26,LISTAS!$E$48:$H$48)*_xlfn.XLOOKUP(F445,LISTAS!$A$15:$A$18,LISTAS!$H$15:$H$18)</f>
        <v>3.9468000000000003E-2</v>
      </c>
      <c r="N445" s="54" cm="1">
        <f t="array" ref="N445">_xlfn.XLOOKUP(K445,LISTAS!$D$27:$D$47,_xlfn.XLOOKUP(J445,LISTAS!$E$26:$H$26,LISTAS!$E$27:$H$47))</f>
        <v>41400000</v>
      </c>
      <c r="O445" s="56" t="s">
        <v>1623</v>
      </c>
      <c r="P445" s="76" t="str">
        <f t="shared" ca="1" si="20"/>
        <v>Vencida</v>
      </c>
    </row>
    <row r="446" spans="1:16" x14ac:dyDescent="0.3">
      <c r="A446" s="58" t="s">
        <v>736</v>
      </c>
      <c r="B446" s="56" t="s">
        <v>35</v>
      </c>
      <c r="C446" s="50" t="str">
        <f>_xlfn.XLOOKUP(B446,CLIENTES!$A$2:$A$301,CLIENTES!$B$2:$B$301)</f>
        <v>Natalia Ferreyra</v>
      </c>
      <c r="D446" s="60">
        <v>44477</v>
      </c>
      <c r="E446" s="60">
        <f t="shared" si="18"/>
        <v>44842</v>
      </c>
      <c r="F446" s="50" t="s">
        <v>1597</v>
      </c>
      <c r="G446" s="56" t="s">
        <v>1607</v>
      </c>
      <c r="H446" s="47">
        <v>39</v>
      </c>
      <c r="I446" s="60">
        <v>31848</v>
      </c>
      <c r="J446" s="56" t="s">
        <v>1612</v>
      </c>
      <c r="K446" s="56">
        <v>2021</v>
      </c>
      <c r="L446" s="52">
        <f t="shared" si="19"/>
        <v>42983.132500000007</v>
      </c>
      <c r="M446" s="56">
        <f>LISTAS!$B$22*_xlfn.XLOOKUP(G446,LISTAS!$B$27:$B$36,LISTAS!$A$27:$A$36)*_xlfn.XLOOKUP(H446,LISTAS!$B$38:$B$47,LISTAS!$A$38:$A$47,,-1)*_xlfn.XLOOKUP(J446,LISTAS!$E$26:$H$26,LISTAS!$E$48:$H$48)*_xlfn.XLOOKUP(F446,LISTAS!$A$15:$A$18,LISTAS!$H$15:$H$18)</f>
        <v>2.5410000000000005E-2</v>
      </c>
      <c r="N446" s="54" cm="1">
        <f t="array" ref="N446">_xlfn.XLOOKUP(K446,LISTAS!$D$27:$D$47,_xlfn.XLOOKUP(J446,LISTAS!$E$26:$H$26,LISTAS!$E$27:$H$47))</f>
        <v>20299000</v>
      </c>
      <c r="O446" s="56" t="s">
        <v>1626</v>
      </c>
      <c r="P446" s="76" t="str">
        <f t="shared" ca="1" si="20"/>
        <v>Vencida</v>
      </c>
    </row>
    <row r="447" spans="1:16" x14ac:dyDescent="0.3">
      <c r="A447" s="58" t="s">
        <v>737</v>
      </c>
      <c r="B447" s="56" t="s">
        <v>226</v>
      </c>
      <c r="C447" s="50" t="str">
        <f>_xlfn.XLOOKUP(B447,CLIENTES!$A$2:$A$301,CLIENTES!$B$2:$B$301)</f>
        <v>Andrés Aguirre</v>
      </c>
      <c r="D447" s="60">
        <v>44880</v>
      </c>
      <c r="E447" s="60">
        <f t="shared" si="18"/>
        <v>45245</v>
      </c>
      <c r="F447" s="50" t="s">
        <v>1595</v>
      </c>
      <c r="G447" s="56" t="s">
        <v>1604</v>
      </c>
      <c r="H447" s="47">
        <v>69</v>
      </c>
      <c r="I447" s="60">
        <v>20798</v>
      </c>
      <c r="J447" s="56" t="s">
        <v>1611</v>
      </c>
      <c r="K447" s="56">
        <v>2025</v>
      </c>
      <c r="L447" s="52">
        <f t="shared" si="19"/>
        <v>57489.07499999999</v>
      </c>
      <c r="M447" s="56">
        <f>LISTAS!$B$22*_xlfn.XLOOKUP(G447,LISTAS!$B$27:$B$36,LISTAS!$A$27:$A$36)*_xlfn.XLOOKUP(H447,LISTAS!$B$38:$B$47,LISTAS!$A$38:$A$47,,-1)*_xlfn.XLOOKUP(J447,LISTAS!$E$26:$H$26,LISTAS!$E$48:$H$48)*_xlfn.XLOOKUP(F447,LISTAS!$A$15:$A$18,LISTAS!$H$15:$H$18)</f>
        <v>1.6663499999999998E-2</v>
      </c>
      <c r="N447" s="54" cm="1">
        <f t="array" ref="N447">_xlfn.XLOOKUP(K447,LISTAS!$D$27:$D$47,_xlfn.XLOOKUP(J447,LISTAS!$E$26:$H$26,LISTAS!$E$27:$H$47))</f>
        <v>41400000</v>
      </c>
      <c r="O447" s="56" t="s">
        <v>1624</v>
      </c>
      <c r="P447" s="76" t="str">
        <f t="shared" ca="1" si="20"/>
        <v>Vencida</v>
      </c>
    </row>
    <row r="448" spans="1:16" x14ac:dyDescent="0.3">
      <c r="A448" s="58" t="s">
        <v>738</v>
      </c>
      <c r="B448" s="56" t="s">
        <v>59</v>
      </c>
      <c r="C448" s="50" t="str">
        <f>_xlfn.XLOOKUP(B448,CLIENTES!$A$2:$A$301,CLIENTES!$B$2:$B$301)</f>
        <v>Lautaro Arias</v>
      </c>
      <c r="D448" s="60">
        <v>44971</v>
      </c>
      <c r="E448" s="60">
        <f t="shared" si="18"/>
        <v>45336</v>
      </c>
      <c r="F448" s="50" t="s">
        <v>1598</v>
      </c>
      <c r="G448" s="56" t="s">
        <v>1599</v>
      </c>
      <c r="H448" s="47">
        <v>70</v>
      </c>
      <c r="I448" s="60">
        <v>20629</v>
      </c>
      <c r="J448" s="56" t="s">
        <v>1611</v>
      </c>
      <c r="K448" s="56">
        <v>2022</v>
      </c>
      <c r="L448" s="52">
        <f t="shared" si="19"/>
        <v>131310.63399999999</v>
      </c>
      <c r="M448" s="56">
        <f>LISTAS!$B$22*_xlfn.XLOOKUP(G448,LISTAS!$B$27:$B$36,LISTAS!$A$27:$A$36)*_xlfn.XLOOKUP(H448,LISTAS!$B$38:$B$47,LISTAS!$A$38:$A$47,,-1)*_xlfn.XLOOKUP(J448,LISTAS!$E$26:$H$26,LISTAS!$E$48:$H$48)*_xlfn.XLOOKUP(F448,LISTAS!$A$15:$A$18,LISTAS!$H$15:$H$18)</f>
        <v>5.0231999999999992E-2</v>
      </c>
      <c r="N448" s="54" cm="1">
        <f t="array" ref="N448">_xlfn.XLOOKUP(K448,LISTAS!$D$27:$D$47,_xlfn.XLOOKUP(J448,LISTAS!$E$26:$H$26,LISTAS!$E$27:$H$47))</f>
        <v>31369000</v>
      </c>
      <c r="O448" s="56" t="s">
        <v>1623</v>
      </c>
      <c r="P448" s="76" t="str">
        <f t="shared" ca="1" si="20"/>
        <v>Vencida</v>
      </c>
    </row>
    <row r="449" spans="1:16" x14ac:dyDescent="0.3">
      <c r="A449" s="58" t="s">
        <v>739</v>
      </c>
      <c r="B449" s="56" t="s">
        <v>279</v>
      </c>
      <c r="C449" s="50" t="str">
        <f>_xlfn.XLOOKUP(B449,CLIENTES!$A$2:$A$301,CLIENTES!$B$2:$B$301)</f>
        <v>Nicolás Martínez</v>
      </c>
      <c r="D449" s="60">
        <v>45715</v>
      </c>
      <c r="E449" s="60">
        <f t="shared" si="18"/>
        <v>46080</v>
      </c>
      <c r="F449" s="50" t="s">
        <v>1598</v>
      </c>
      <c r="G449" s="56" t="s">
        <v>1606</v>
      </c>
      <c r="H449" s="47">
        <v>40</v>
      </c>
      <c r="I449" s="60">
        <v>31300</v>
      </c>
      <c r="J449" s="56" t="s">
        <v>1611</v>
      </c>
      <c r="K449" s="56">
        <v>2012</v>
      </c>
      <c r="L449" s="52">
        <f t="shared" si="19"/>
        <v>30705.804999999997</v>
      </c>
      <c r="M449" s="56">
        <f>LISTAS!$B$22*_xlfn.XLOOKUP(G449,LISTAS!$B$27:$B$36,LISTAS!$A$27:$A$36)*_xlfn.XLOOKUP(H449,LISTAS!$B$38:$B$47,LISTAS!$A$38:$A$47,,-1)*_xlfn.XLOOKUP(J449,LISTAS!$E$26:$H$26,LISTAS!$E$48:$H$48)*_xlfn.XLOOKUP(F449,LISTAS!$A$15:$A$18,LISTAS!$H$15:$H$18)</f>
        <v>2.8405E-2</v>
      </c>
      <c r="N449" s="54" cm="1">
        <f t="array" ref="N449">_xlfn.XLOOKUP(K449,LISTAS!$D$27:$D$47,_xlfn.XLOOKUP(J449,LISTAS!$E$26:$H$26,LISTAS!$E$27:$H$47))</f>
        <v>12972000</v>
      </c>
      <c r="O449" s="56" t="s">
        <v>1624</v>
      </c>
      <c r="P449" s="76" t="str">
        <f t="shared" ca="1" si="20"/>
        <v>Vencida</v>
      </c>
    </row>
    <row r="450" spans="1:16" x14ac:dyDescent="0.3">
      <c r="A450" s="58" t="s">
        <v>740</v>
      </c>
      <c r="B450" s="56" t="s">
        <v>59</v>
      </c>
      <c r="C450" s="50" t="str">
        <f>_xlfn.XLOOKUP(B450,CLIENTES!$A$2:$A$301,CLIENTES!$B$2:$B$301)</f>
        <v>Lautaro Arias</v>
      </c>
      <c r="D450" s="60">
        <v>44902</v>
      </c>
      <c r="E450" s="60">
        <f t="shared" si="18"/>
        <v>45267</v>
      </c>
      <c r="F450" s="50" t="s">
        <v>1598</v>
      </c>
      <c r="G450" s="56" t="s">
        <v>1606</v>
      </c>
      <c r="H450" s="47">
        <v>61</v>
      </c>
      <c r="I450" s="60">
        <v>23783</v>
      </c>
      <c r="J450" s="56" t="s">
        <v>1611</v>
      </c>
      <c r="K450" s="56">
        <v>2024</v>
      </c>
      <c r="L450" s="52">
        <f t="shared" si="19"/>
        <v>99106.166250000024</v>
      </c>
      <c r="M450" s="56">
        <f>LISTAS!$B$22*_xlfn.XLOOKUP(G450,LISTAS!$B$27:$B$36,LISTAS!$A$27:$A$36)*_xlfn.XLOOKUP(H450,LISTAS!$B$38:$B$47,LISTAS!$A$38:$A$47,,-1)*_xlfn.XLOOKUP(J450,LISTAS!$E$26:$H$26,LISTAS!$E$48:$H$48)*_xlfn.XLOOKUP(F450,LISTAS!$A$15:$A$18,LISTAS!$H$15:$H$18)</f>
        <v>3.1395000000000006E-2</v>
      </c>
      <c r="N450" s="54" cm="1">
        <f t="array" ref="N450">_xlfn.XLOOKUP(K450,LISTAS!$D$27:$D$47,_xlfn.XLOOKUP(J450,LISTAS!$E$26:$H$26,LISTAS!$E$27:$H$47))</f>
        <v>37881000</v>
      </c>
      <c r="O450" s="56" t="s">
        <v>1625</v>
      </c>
      <c r="P450" s="76" t="str">
        <f t="shared" ca="1" si="20"/>
        <v>Vencida</v>
      </c>
    </row>
    <row r="451" spans="1:16" x14ac:dyDescent="0.3">
      <c r="A451" s="58" t="s">
        <v>741</v>
      </c>
      <c r="B451" s="56" t="s">
        <v>6</v>
      </c>
      <c r="C451" s="50" t="str">
        <f>_xlfn.XLOOKUP(B451,CLIENTES!$A$2:$A$301,CLIENTES!$B$2:$B$301)</f>
        <v>Gonzalo Flores</v>
      </c>
      <c r="D451" s="60">
        <v>46081</v>
      </c>
      <c r="E451" s="60">
        <f t="shared" ref="E451:E514" si="21">EDATE(D451,12)</f>
        <v>46446</v>
      </c>
      <c r="F451" s="50" t="s">
        <v>1598</v>
      </c>
      <c r="G451" s="56" t="s">
        <v>1600</v>
      </c>
      <c r="H451" s="47">
        <v>36</v>
      </c>
      <c r="I451" s="60">
        <v>32928</v>
      </c>
      <c r="J451" s="56" t="s">
        <v>1610</v>
      </c>
      <c r="K451" s="56">
        <v>2012</v>
      </c>
      <c r="L451" s="52">
        <f t="shared" ref="L451:L514" si="22">(N451*M451)/12</f>
        <v>31601.808333333334</v>
      </c>
      <c r="M451" s="56">
        <f>LISTAS!$B$22*_xlfn.XLOOKUP(G451,LISTAS!$B$27:$B$36,LISTAS!$A$27:$A$36)*_xlfn.XLOOKUP(H451,LISTAS!$B$38:$B$47,LISTAS!$A$38:$A$47,,-1)*_xlfn.XLOOKUP(J451,LISTAS!$E$26:$H$26,LISTAS!$E$48:$H$48)*_xlfn.XLOOKUP(F451,LISTAS!$A$15:$A$18,LISTAS!$H$15:$H$18)</f>
        <v>3.2890000000000003E-2</v>
      </c>
      <c r="N451" s="54" cm="1">
        <f t="array" ref="N451">_xlfn.XLOOKUP(K451,LISTAS!$D$27:$D$47,_xlfn.XLOOKUP(J451,LISTAS!$E$26:$H$26,LISTAS!$E$27:$H$47))</f>
        <v>11530000</v>
      </c>
      <c r="O451" s="56" t="s">
        <v>1623</v>
      </c>
      <c r="P451" s="76" t="str">
        <f t="shared" ref="P451:P514" ca="1" si="23">IF(TODAY()&lt;D451,"Pendiente",IF(TODAY()&gt;E451,"Vencida","Vigente"))</f>
        <v>Vigente</v>
      </c>
    </row>
    <row r="452" spans="1:16" x14ac:dyDescent="0.3">
      <c r="A452" s="58" t="s">
        <v>742</v>
      </c>
      <c r="B452" s="56" t="s">
        <v>139</v>
      </c>
      <c r="C452" s="50" t="str">
        <f>_xlfn.XLOOKUP(B452,CLIENTES!$A$2:$A$301,CLIENTES!$B$2:$B$301)</f>
        <v>Florencia Arias</v>
      </c>
      <c r="D452" s="60">
        <v>45170</v>
      </c>
      <c r="E452" s="60">
        <f t="shared" si="21"/>
        <v>45536</v>
      </c>
      <c r="F452" s="50" t="s">
        <v>1598</v>
      </c>
      <c r="G452" s="56" t="s">
        <v>1603</v>
      </c>
      <c r="H452" s="47">
        <v>39</v>
      </c>
      <c r="I452" s="60">
        <v>31861</v>
      </c>
      <c r="J452" s="56" t="s">
        <v>1609</v>
      </c>
      <c r="K452" s="56">
        <v>2022</v>
      </c>
      <c r="L452" s="52">
        <f t="shared" si="22"/>
        <v>35870.575000000004</v>
      </c>
      <c r="M452" s="56">
        <f>LISTAS!$B$22*_xlfn.XLOOKUP(G452,LISTAS!$B$27:$B$36,LISTAS!$A$27:$A$36)*_xlfn.XLOOKUP(H452,LISTAS!$B$38:$B$47,LISTAS!$A$38:$A$47,,-1)*_xlfn.XLOOKUP(J452,LISTAS!$E$26:$H$26,LISTAS!$E$48:$H$48)*_xlfn.XLOOKUP(F452,LISTAS!$A$15:$A$18,LISTAS!$H$15:$H$18)</f>
        <v>2.47E-2</v>
      </c>
      <c r="N452" s="54" cm="1">
        <f t="array" ref="N452">_xlfn.XLOOKUP(K452,LISTAS!$D$27:$D$47,_xlfn.XLOOKUP(J452,LISTAS!$E$26:$H$26,LISTAS!$E$27:$H$47))</f>
        <v>17427000</v>
      </c>
      <c r="O452" s="56" t="s">
        <v>1623</v>
      </c>
      <c r="P452" s="76" t="str">
        <f t="shared" ca="1" si="23"/>
        <v>Vencida</v>
      </c>
    </row>
    <row r="453" spans="1:16" x14ac:dyDescent="0.3">
      <c r="A453" s="58" t="s">
        <v>743</v>
      </c>
      <c r="B453" s="56" t="s">
        <v>221</v>
      </c>
      <c r="C453" s="50" t="str">
        <f>_xlfn.XLOOKUP(B453,CLIENTES!$A$2:$A$301,CLIENTES!$B$2:$B$301)</f>
        <v>Bruno Silva</v>
      </c>
      <c r="D453" s="60">
        <v>45239</v>
      </c>
      <c r="E453" s="60">
        <f t="shared" si="21"/>
        <v>45605</v>
      </c>
      <c r="F453" s="50" t="s">
        <v>1595</v>
      </c>
      <c r="G453" s="56" t="s">
        <v>1602</v>
      </c>
      <c r="H453" s="47">
        <v>57</v>
      </c>
      <c r="I453" s="60">
        <v>25115</v>
      </c>
      <c r="J453" s="56" t="s">
        <v>1609</v>
      </c>
      <c r="K453" s="56">
        <v>2018</v>
      </c>
      <c r="L453" s="52">
        <f t="shared" si="22"/>
        <v>12548.550000000001</v>
      </c>
      <c r="M453" s="56">
        <f>LISTAS!$B$22*_xlfn.XLOOKUP(G453,LISTAS!$B$27:$B$36,LISTAS!$A$27:$A$36)*_xlfn.XLOOKUP(H453,LISTAS!$B$38:$B$47,LISTAS!$A$38:$A$47,,-1)*_xlfn.XLOOKUP(J453,LISTAS!$E$26:$H$26,LISTAS!$E$48:$H$48)*_xlfn.XLOOKUP(F453,LISTAS!$A$15:$A$18,LISTAS!$H$15:$H$18)</f>
        <v>1.26E-2</v>
      </c>
      <c r="N453" s="54" cm="1">
        <f t="array" ref="N453">_xlfn.XLOOKUP(K453,LISTAS!$D$27:$D$47,_xlfn.XLOOKUP(J453,LISTAS!$E$26:$H$26,LISTAS!$E$27:$H$47))</f>
        <v>11951000</v>
      </c>
      <c r="O453" s="56" t="s">
        <v>1624</v>
      </c>
      <c r="P453" s="76" t="str">
        <f t="shared" ca="1" si="23"/>
        <v>Vencida</v>
      </c>
    </row>
    <row r="454" spans="1:16" x14ac:dyDescent="0.3">
      <c r="A454" s="58" t="s">
        <v>744</v>
      </c>
      <c r="B454" s="56" t="s">
        <v>253</v>
      </c>
      <c r="C454" s="50" t="str">
        <f>_xlfn.XLOOKUP(B454,CLIENTES!$A$2:$A$301,CLIENTES!$B$2:$B$301)</f>
        <v>Natalia Domínguez</v>
      </c>
      <c r="D454" s="60">
        <v>44886</v>
      </c>
      <c r="E454" s="60">
        <f t="shared" si="21"/>
        <v>45251</v>
      </c>
      <c r="F454" s="50" t="s">
        <v>1596</v>
      </c>
      <c r="G454" s="56" t="s">
        <v>1607</v>
      </c>
      <c r="H454" s="47">
        <v>47</v>
      </c>
      <c r="I454" s="60">
        <v>28885</v>
      </c>
      <c r="J454" s="56" t="s">
        <v>1611</v>
      </c>
      <c r="K454" s="56">
        <v>2022</v>
      </c>
      <c r="L454" s="52">
        <f t="shared" si="22"/>
        <v>53405.068979166674</v>
      </c>
      <c r="M454" s="56">
        <f>LISTAS!$B$22*_xlfn.XLOOKUP(G454,LISTAS!$B$27:$B$36,LISTAS!$A$27:$A$36)*_xlfn.XLOOKUP(H454,LISTAS!$B$38:$B$47,LISTAS!$A$38:$A$47,,-1)*_xlfn.XLOOKUP(J454,LISTAS!$E$26:$H$26,LISTAS!$E$48:$H$48)*_xlfn.XLOOKUP(F454,LISTAS!$A$15:$A$18,LISTAS!$H$15:$H$18)</f>
        <v>2.042975E-2</v>
      </c>
      <c r="N454" s="54" cm="1">
        <f t="array" ref="N454">_xlfn.XLOOKUP(K454,LISTAS!$D$27:$D$47,_xlfn.XLOOKUP(J454,LISTAS!$E$26:$H$26,LISTAS!$E$27:$H$47))</f>
        <v>31369000</v>
      </c>
      <c r="O454" s="56" t="s">
        <v>1625</v>
      </c>
      <c r="P454" s="76" t="str">
        <f t="shared" ca="1" si="23"/>
        <v>Vencida</v>
      </c>
    </row>
    <row r="455" spans="1:16" x14ac:dyDescent="0.3">
      <c r="A455" s="58" t="s">
        <v>745</v>
      </c>
      <c r="B455" s="56" t="s">
        <v>102</v>
      </c>
      <c r="C455" s="50" t="str">
        <f>_xlfn.XLOOKUP(B455,CLIENTES!$A$2:$A$301,CLIENTES!$B$2:$B$301)</f>
        <v>Lucas Romero</v>
      </c>
      <c r="D455" s="60">
        <v>45562</v>
      </c>
      <c r="E455" s="60">
        <f t="shared" si="21"/>
        <v>45927</v>
      </c>
      <c r="F455" s="50" t="s">
        <v>1597</v>
      </c>
      <c r="G455" s="56" t="s">
        <v>1608</v>
      </c>
      <c r="H455" s="47">
        <v>64</v>
      </c>
      <c r="I455" s="60">
        <v>22520</v>
      </c>
      <c r="J455" s="56" t="s">
        <v>1610</v>
      </c>
      <c r="K455" s="56">
        <v>2007</v>
      </c>
      <c r="L455" s="52">
        <f t="shared" si="22"/>
        <v>16485.266875000001</v>
      </c>
      <c r="M455" s="56">
        <f>LISTAS!$B$22*_xlfn.XLOOKUP(G455,LISTAS!$B$27:$B$36,LISTAS!$A$27:$A$36)*_xlfn.XLOOKUP(H455,LISTAS!$B$38:$B$47,LISTAS!$A$38:$A$47,,-1)*_xlfn.XLOOKUP(J455,LISTAS!$E$26:$H$26,LISTAS!$E$48:$H$48)*_xlfn.XLOOKUP(F455,LISTAS!$A$15:$A$18,LISTAS!$H$15:$H$18)</f>
        <v>2.4139500000000001E-2</v>
      </c>
      <c r="N455" s="54" cm="1">
        <f t="array" ref="N455">_xlfn.XLOOKUP(K455,LISTAS!$D$27:$D$47,_xlfn.XLOOKUP(J455,LISTAS!$E$26:$H$26,LISTAS!$E$27:$H$47))</f>
        <v>8195000</v>
      </c>
      <c r="O455" s="56" t="s">
        <v>1623</v>
      </c>
      <c r="P455" s="76" t="str">
        <f t="shared" ca="1" si="23"/>
        <v>Vencida</v>
      </c>
    </row>
    <row r="456" spans="1:16" x14ac:dyDescent="0.3">
      <c r="A456" s="58" t="s">
        <v>746</v>
      </c>
      <c r="B456" s="56" t="s">
        <v>192</v>
      </c>
      <c r="C456" s="50" t="str">
        <f>_xlfn.XLOOKUP(B456,CLIENTES!$A$2:$A$301,CLIENTES!$B$2:$B$301)</f>
        <v>Franco Díaz</v>
      </c>
      <c r="D456" s="60">
        <v>45177</v>
      </c>
      <c r="E456" s="60">
        <f t="shared" si="21"/>
        <v>45543</v>
      </c>
      <c r="F456" s="50" t="s">
        <v>1596</v>
      </c>
      <c r="G456" s="56" t="s">
        <v>1602</v>
      </c>
      <c r="H456" s="47">
        <v>62</v>
      </c>
      <c r="I456" s="60">
        <v>23539</v>
      </c>
      <c r="J456" s="56" t="s">
        <v>1612</v>
      </c>
      <c r="K456" s="56">
        <v>2010</v>
      </c>
      <c r="L456" s="52">
        <f t="shared" si="22"/>
        <v>13083.670687500004</v>
      </c>
      <c r="M456" s="56">
        <f>LISTAS!$B$22*_xlfn.XLOOKUP(G456,LISTAS!$B$27:$B$36,LISTAS!$A$27:$A$36)*_xlfn.XLOOKUP(H456,LISTAS!$B$38:$B$47,LISTAS!$A$38:$A$47,,-1)*_xlfn.XLOOKUP(J456,LISTAS!$E$26:$H$26,LISTAS!$E$48:$H$48)*_xlfn.XLOOKUP(F456,LISTAS!$A$15:$A$18,LISTAS!$H$15:$H$18)</f>
        <v>1.9679625000000006E-2</v>
      </c>
      <c r="N456" s="54" cm="1">
        <f t="array" ref="N456">_xlfn.XLOOKUP(K456,LISTAS!$D$27:$D$47,_xlfn.XLOOKUP(J456,LISTAS!$E$26:$H$26,LISTAS!$E$27:$H$47))</f>
        <v>7978000</v>
      </c>
      <c r="O456" s="56" t="s">
        <v>1626</v>
      </c>
      <c r="P456" s="76" t="str">
        <f t="shared" ca="1" si="23"/>
        <v>Vencida</v>
      </c>
    </row>
    <row r="457" spans="1:16" x14ac:dyDescent="0.3">
      <c r="A457" s="58" t="s">
        <v>747</v>
      </c>
      <c r="B457" s="56" t="s">
        <v>243</v>
      </c>
      <c r="C457" s="50" t="str">
        <f>_xlfn.XLOOKUP(B457,CLIENTES!$A$2:$A$301,CLIENTES!$B$2:$B$301)</f>
        <v>Carolina Arias</v>
      </c>
      <c r="D457" s="60">
        <v>44808</v>
      </c>
      <c r="E457" s="60">
        <f t="shared" si="21"/>
        <v>45173</v>
      </c>
      <c r="F457" s="50" t="s">
        <v>1597</v>
      </c>
      <c r="G457" s="56" t="s">
        <v>1607</v>
      </c>
      <c r="H457" s="47">
        <v>23</v>
      </c>
      <c r="I457" s="60">
        <v>37545</v>
      </c>
      <c r="J457" s="56" t="s">
        <v>1610</v>
      </c>
      <c r="K457" s="56">
        <v>2018</v>
      </c>
      <c r="L457" s="52">
        <f t="shared" si="22"/>
        <v>57262.614750000015</v>
      </c>
      <c r="M457" s="56">
        <f>LISTAS!$B$22*_xlfn.XLOOKUP(G457,LISTAS!$B$27:$B$36,LISTAS!$A$27:$A$36)*_xlfn.XLOOKUP(H457,LISTAS!$B$38:$B$47,LISTAS!$A$38:$A$47,,-1)*_xlfn.XLOOKUP(J457,LISTAS!$E$26:$H$26,LISTAS!$E$48:$H$48)*_xlfn.XLOOKUP(F457,LISTAS!$A$15:$A$18,LISTAS!$H$15:$H$18)</f>
        <v>3.5937000000000011E-2</v>
      </c>
      <c r="N457" s="54" cm="1">
        <f t="array" ref="N457">_xlfn.XLOOKUP(K457,LISTAS!$D$27:$D$47,_xlfn.XLOOKUP(J457,LISTAS!$E$26:$H$26,LISTAS!$E$27:$H$47))</f>
        <v>19121000</v>
      </c>
      <c r="O457" s="56" t="s">
        <v>1624</v>
      </c>
      <c r="P457" s="76" t="str">
        <f t="shared" ca="1" si="23"/>
        <v>Vencida</v>
      </c>
    </row>
    <row r="458" spans="1:16" x14ac:dyDescent="0.3">
      <c r="A458" s="58" t="s">
        <v>748</v>
      </c>
      <c r="B458" s="56" t="s">
        <v>23</v>
      </c>
      <c r="C458" s="50" t="str">
        <f>_xlfn.XLOOKUP(B458,CLIENTES!$A$2:$A$301,CLIENTES!$B$2:$B$301)</f>
        <v>Tomás Álvarez</v>
      </c>
      <c r="D458" s="60">
        <v>44528</v>
      </c>
      <c r="E458" s="60">
        <f t="shared" si="21"/>
        <v>44893</v>
      </c>
      <c r="F458" s="50" t="s">
        <v>1596</v>
      </c>
      <c r="G458" s="56" t="s">
        <v>1602</v>
      </c>
      <c r="H458" s="47">
        <v>55</v>
      </c>
      <c r="I458" s="60">
        <v>26024</v>
      </c>
      <c r="J458" s="56" t="s">
        <v>1610</v>
      </c>
      <c r="K458" s="56">
        <v>2023</v>
      </c>
      <c r="L458" s="52">
        <f t="shared" si="22"/>
        <v>50137.972500000003</v>
      </c>
      <c r="M458" s="56">
        <f>LISTAS!$B$22*_xlfn.XLOOKUP(G458,LISTAS!$B$27:$B$36,LISTAS!$A$27:$A$36)*_xlfn.XLOOKUP(H458,LISTAS!$B$38:$B$47,LISTAS!$A$38:$A$47,,-1)*_xlfn.XLOOKUP(J458,LISTAS!$E$26:$H$26,LISTAS!$E$48:$H$48)*_xlfn.XLOOKUP(F458,LISTAS!$A$15:$A$18,LISTAS!$H$15:$H$18)</f>
        <v>1.9635000000000003E-2</v>
      </c>
      <c r="N458" s="54" cm="1">
        <f t="array" ref="N458">_xlfn.XLOOKUP(K458,LISTAS!$D$27:$D$47,_xlfn.XLOOKUP(J458,LISTAS!$E$26:$H$26,LISTAS!$E$27:$H$47))</f>
        <v>30642000</v>
      </c>
      <c r="O458" s="56" t="s">
        <v>1624</v>
      </c>
      <c r="P458" s="76" t="str">
        <f t="shared" ca="1" si="23"/>
        <v>Vencida</v>
      </c>
    </row>
    <row r="459" spans="1:16" x14ac:dyDescent="0.3">
      <c r="A459" s="58" t="s">
        <v>749</v>
      </c>
      <c r="B459" s="56" t="s">
        <v>208</v>
      </c>
      <c r="C459" s="50" t="str">
        <f>_xlfn.XLOOKUP(B459,CLIENTES!$A$2:$A$301,CLIENTES!$B$2:$B$301)</f>
        <v>Malena Luna</v>
      </c>
      <c r="D459" s="60">
        <v>45599</v>
      </c>
      <c r="E459" s="60">
        <f t="shared" si="21"/>
        <v>45964</v>
      </c>
      <c r="F459" s="50" t="s">
        <v>1597</v>
      </c>
      <c r="G459" s="56" t="s">
        <v>1603</v>
      </c>
      <c r="H459" s="47">
        <v>70</v>
      </c>
      <c r="I459" s="60">
        <v>20633</v>
      </c>
      <c r="J459" s="56" t="s">
        <v>1610</v>
      </c>
      <c r="K459" s="56">
        <v>2025</v>
      </c>
      <c r="L459" s="52">
        <f t="shared" si="22"/>
        <v>98703.733333333352</v>
      </c>
      <c r="M459" s="56">
        <f>LISTAS!$B$22*_xlfn.XLOOKUP(G459,LISTAS!$B$27:$B$36,LISTAS!$A$27:$A$36)*_xlfn.XLOOKUP(H459,LISTAS!$B$38:$B$47,LISTAS!$A$38:$A$47,,-1)*_xlfn.XLOOKUP(J459,LISTAS!$E$26:$H$26,LISTAS!$E$48:$H$48)*_xlfn.XLOOKUP(F459,LISTAS!$A$15:$A$18,LISTAS!$H$15:$H$18)</f>
        <v>3.2186000000000006E-2</v>
      </c>
      <c r="N459" s="54" cm="1">
        <f t="array" ref="N459">_xlfn.XLOOKUP(K459,LISTAS!$D$27:$D$47,_xlfn.XLOOKUP(J459,LISTAS!$E$26:$H$26,LISTAS!$E$27:$H$47))</f>
        <v>36800000</v>
      </c>
      <c r="O459" s="56" t="s">
        <v>1624</v>
      </c>
      <c r="P459" s="76" t="str">
        <f t="shared" ca="1" si="23"/>
        <v>Vencida</v>
      </c>
    </row>
    <row r="460" spans="1:16" x14ac:dyDescent="0.3">
      <c r="A460" s="58" t="s">
        <v>750</v>
      </c>
      <c r="B460" s="56" t="s">
        <v>194</v>
      </c>
      <c r="C460" s="50" t="str">
        <f>_xlfn.XLOOKUP(B460,CLIENTES!$A$2:$A$301,CLIENTES!$B$2:$B$301)</f>
        <v>Juan Pérez</v>
      </c>
      <c r="D460" s="60">
        <v>44618</v>
      </c>
      <c r="E460" s="60">
        <f t="shared" si="21"/>
        <v>44983</v>
      </c>
      <c r="F460" s="50" t="s">
        <v>1597</v>
      </c>
      <c r="G460" s="56" t="s">
        <v>1604</v>
      </c>
      <c r="H460" s="47">
        <v>53</v>
      </c>
      <c r="I460" s="60">
        <v>26632</v>
      </c>
      <c r="J460" s="56" t="s">
        <v>1612</v>
      </c>
      <c r="K460" s="56">
        <v>2025</v>
      </c>
      <c r="L460" s="52">
        <f t="shared" si="22"/>
        <v>59505.600000000013</v>
      </c>
      <c r="M460" s="56">
        <f>LISTAS!$B$22*_xlfn.XLOOKUP(G460,LISTAS!$B$27:$B$36,LISTAS!$A$27:$A$36)*_xlfn.XLOOKUP(H460,LISTAS!$B$38:$B$47,LISTAS!$A$38:$A$47,,-1)*_xlfn.XLOOKUP(J460,LISTAS!$E$26:$H$26,LISTAS!$E$48:$H$48)*_xlfn.XLOOKUP(F460,LISTAS!$A$15:$A$18,LISTAS!$H$15:$H$18)</f>
        <v>2.4255000000000006E-2</v>
      </c>
      <c r="N460" s="54" cm="1">
        <f t="array" ref="N460">_xlfn.XLOOKUP(K460,LISTAS!$D$27:$D$47,_xlfn.XLOOKUP(J460,LISTAS!$E$26:$H$26,LISTAS!$E$27:$H$47))</f>
        <v>29440000</v>
      </c>
      <c r="O460" s="56" t="s">
        <v>1623</v>
      </c>
      <c r="P460" s="76" t="str">
        <f t="shared" ca="1" si="23"/>
        <v>Vencida</v>
      </c>
    </row>
    <row r="461" spans="1:16" x14ac:dyDescent="0.3">
      <c r="A461" s="58" t="s">
        <v>751</v>
      </c>
      <c r="B461" s="56" t="s">
        <v>101</v>
      </c>
      <c r="C461" s="50" t="str">
        <f>_xlfn.XLOOKUP(B461,CLIENTES!$A$2:$A$301,CLIENTES!$B$2:$B$301)</f>
        <v>Sofía Vera</v>
      </c>
      <c r="D461" s="60">
        <v>45168</v>
      </c>
      <c r="E461" s="60">
        <f t="shared" si="21"/>
        <v>45534</v>
      </c>
      <c r="F461" s="50" t="s">
        <v>1595</v>
      </c>
      <c r="G461" s="56" t="s">
        <v>1599</v>
      </c>
      <c r="H461" s="47">
        <v>23</v>
      </c>
      <c r="I461" s="60">
        <v>37795</v>
      </c>
      <c r="J461" s="56" t="s">
        <v>1612</v>
      </c>
      <c r="K461" s="56">
        <v>2025</v>
      </c>
      <c r="L461" s="52">
        <f t="shared" si="22"/>
        <v>50077.44000000001</v>
      </c>
      <c r="M461" s="56">
        <f>LISTAS!$B$22*_xlfn.XLOOKUP(G461,LISTAS!$B$27:$B$36,LISTAS!$A$27:$A$36)*_xlfn.XLOOKUP(H461,LISTAS!$B$38:$B$47,LISTAS!$A$38:$A$47,,-1)*_xlfn.XLOOKUP(J461,LISTAS!$E$26:$H$26,LISTAS!$E$48:$H$48)*_xlfn.XLOOKUP(F461,LISTAS!$A$15:$A$18,LISTAS!$H$15:$H$18)</f>
        <v>2.0412000000000003E-2</v>
      </c>
      <c r="N461" s="54" cm="1">
        <f t="array" ref="N461">_xlfn.XLOOKUP(K461,LISTAS!$D$27:$D$47,_xlfn.XLOOKUP(J461,LISTAS!$E$26:$H$26,LISTAS!$E$27:$H$47))</f>
        <v>29440000</v>
      </c>
      <c r="O461" s="56" t="s">
        <v>1623</v>
      </c>
      <c r="P461" s="76" t="str">
        <f t="shared" ca="1" si="23"/>
        <v>Vencida</v>
      </c>
    </row>
    <row r="462" spans="1:16" x14ac:dyDescent="0.3">
      <c r="A462" s="58" t="s">
        <v>752</v>
      </c>
      <c r="B462" s="56" t="s">
        <v>70</v>
      </c>
      <c r="C462" s="50" t="str">
        <f>_xlfn.XLOOKUP(B462,CLIENTES!$A$2:$A$301,CLIENTES!$B$2:$B$301)</f>
        <v>Facundo Flores</v>
      </c>
      <c r="D462" s="60">
        <v>45793</v>
      </c>
      <c r="E462" s="60">
        <f t="shared" si="21"/>
        <v>46158</v>
      </c>
      <c r="F462" s="50" t="s">
        <v>1597</v>
      </c>
      <c r="G462" s="56" t="s">
        <v>1606</v>
      </c>
      <c r="H462" s="47">
        <v>39</v>
      </c>
      <c r="I462" s="60">
        <v>31736</v>
      </c>
      <c r="J462" s="56" t="s">
        <v>1610</v>
      </c>
      <c r="K462" s="56">
        <v>2023</v>
      </c>
      <c r="L462" s="52">
        <f t="shared" si="22"/>
        <v>61794.700000000012</v>
      </c>
      <c r="M462" s="56">
        <f>LISTAS!$B$22*_xlfn.XLOOKUP(G462,LISTAS!$B$27:$B$36,LISTAS!$A$27:$A$36)*_xlfn.XLOOKUP(H462,LISTAS!$B$38:$B$47,LISTAS!$A$38:$A$47,,-1)*_xlfn.XLOOKUP(J462,LISTAS!$E$26:$H$26,LISTAS!$E$48:$H$48)*_xlfn.XLOOKUP(F462,LISTAS!$A$15:$A$18,LISTAS!$H$15:$H$18)</f>
        <v>2.4200000000000003E-2</v>
      </c>
      <c r="N462" s="54" cm="1">
        <f t="array" ref="N462">_xlfn.XLOOKUP(K462,LISTAS!$D$27:$D$47,_xlfn.XLOOKUP(J462,LISTAS!$E$26:$H$26,LISTAS!$E$27:$H$47))</f>
        <v>30642000</v>
      </c>
      <c r="O462" s="56" t="s">
        <v>1624</v>
      </c>
      <c r="P462" s="76" t="str">
        <f t="shared" ca="1" si="23"/>
        <v>Vencida</v>
      </c>
    </row>
    <row r="463" spans="1:16" x14ac:dyDescent="0.3">
      <c r="A463" s="58" t="s">
        <v>753</v>
      </c>
      <c r="B463" s="56" t="s">
        <v>35</v>
      </c>
      <c r="C463" s="50" t="str">
        <f>_xlfn.XLOOKUP(B463,CLIENTES!$A$2:$A$301,CLIENTES!$B$2:$B$301)</f>
        <v>Natalia Ferreyra</v>
      </c>
      <c r="D463" s="60">
        <v>45871</v>
      </c>
      <c r="E463" s="60">
        <f t="shared" si="21"/>
        <v>46236</v>
      </c>
      <c r="F463" s="50" t="s">
        <v>1598</v>
      </c>
      <c r="G463" s="56" t="s">
        <v>1604</v>
      </c>
      <c r="H463" s="47">
        <v>46</v>
      </c>
      <c r="I463" s="60">
        <v>29440</v>
      </c>
      <c r="J463" s="56" t="s">
        <v>1611</v>
      </c>
      <c r="K463" s="56">
        <v>2024</v>
      </c>
      <c r="L463" s="52">
        <f t="shared" si="22"/>
        <v>94150.857937499997</v>
      </c>
      <c r="M463" s="56">
        <f>LISTAS!$B$22*_xlfn.XLOOKUP(G463,LISTAS!$B$27:$B$36,LISTAS!$A$27:$A$36)*_xlfn.XLOOKUP(H463,LISTAS!$B$38:$B$47,LISTAS!$A$38:$A$47,,-1)*_xlfn.XLOOKUP(J463,LISTAS!$E$26:$H$26,LISTAS!$E$48:$H$48)*_xlfn.XLOOKUP(F463,LISTAS!$A$15:$A$18,LISTAS!$H$15:$H$18)</f>
        <v>2.9825249999999998E-2</v>
      </c>
      <c r="N463" s="54" cm="1">
        <f t="array" ref="N463">_xlfn.XLOOKUP(K463,LISTAS!$D$27:$D$47,_xlfn.XLOOKUP(J463,LISTAS!$E$26:$H$26,LISTAS!$E$27:$H$47))</f>
        <v>37881000</v>
      </c>
      <c r="O463" s="56" t="s">
        <v>1623</v>
      </c>
      <c r="P463" s="76" t="str">
        <f t="shared" ca="1" si="23"/>
        <v>Vencida</v>
      </c>
    </row>
    <row r="464" spans="1:16" x14ac:dyDescent="0.3">
      <c r="A464" s="58" t="s">
        <v>754</v>
      </c>
      <c r="B464" s="56" t="s">
        <v>128</v>
      </c>
      <c r="C464" s="50" t="str">
        <f>_xlfn.XLOOKUP(B464,CLIENTES!$A$2:$A$301,CLIENTES!$B$2:$B$301)</f>
        <v>Emiliano Ortiz</v>
      </c>
      <c r="D464" s="60">
        <v>44789</v>
      </c>
      <c r="E464" s="60">
        <f t="shared" si="21"/>
        <v>45154</v>
      </c>
      <c r="F464" s="50" t="s">
        <v>1598</v>
      </c>
      <c r="G464" s="56" t="s">
        <v>1604</v>
      </c>
      <c r="H464" s="47">
        <v>52</v>
      </c>
      <c r="I464" s="60">
        <v>27072</v>
      </c>
      <c r="J464" s="56" t="s">
        <v>1610</v>
      </c>
      <c r="K464" s="56">
        <v>2026</v>
      </c>
      <c r="L464" s="52">
        <f t="shared" si="22"/>
        <v>100100.00000000001</v>
      </c>
      <c r="M464" s="56">
        <f>LISTAS!$B$22*_xlfn.XLOOKUP(G464,LISTAS!$B$27:$B$36,LISTAS!$A$27:$A$36)*_xlfn.XLOOKUP(H464,LISTAS!$B$38:$B$47,LISTAS!$A$38:$A$47,,-1)*_xlfn.XLOOKUP(J464,LISTAS!$E$26:$H$26,LISTAS!$E$48:$H$48)*_xlfn.XLOOKUP(F464,LISTAS!$A$15:$A$18,LISTAS!$H$15:$H$18)</f>
        <v>3.0030000000000005E-2</v>
      </c>
      <c r="N464" s="54" cm="1">
        <f t="array" ref="N464">_xlfn.XLOOKUP(K464,LISTAS!$D$27:$D$47,_xlfn.XLOOKUP(J464,LISTAS!$E$26:$H$26,LISTAS!$E$27:$H$47))</f>
        <v>40000000</v>
      </c>
      <c r="O464" s="56" t="s">
        <v>1624</v>
      </c>
      <c r="P464" s="76" t="str">
        <f t="shared" ca="1" si="23"/>
        <v>Vencida</v>
      </c>
    </row>
    <row r="465" spans="1:16" x14ac:dyDescent="0.3">
      <c r="A465" s="58" t="s">
        <v>755</v>
      </c>
      <c r="B465" s="56" t="s">
        <v>156</v>
      </c>
      <c r="C465" s="50" t="str">
        <f>_xlfn.XLOOKUP(B465,CLIENTES!$A$2:$A$301,CLIENTES!$B$2:$B$301)</f>
        <v>Victoria Méndez</v>
      </c>
      <c r="D465" s="60">
        <v>46139</v>
      </c>
      <c r="E465" s="60">
        <f t="shared" si="21"/>
        <v>46504</v>
      </c>
      <c r="F465" s="50" t="s">
        <v>1596</v>
      </c>
      <c r="G465" s="56" t="s">
        <v>1605</v>
      </c>
      <c r="H465" s="47">
        <v>19</v>
      </c>
      <c r="I465" s="60">
        <v>39250</v>
      </c>
      <c r="J465" s="56" t="s">
        <v>1609</v>
      </c>
      <c r="K465" s="56">
        <v>2021</v>
      </c>
      <c r="L465" s="52">
        <f t="shared" si="22"/>
        <v>30330.337500000005</v>
      </c>
      <c r="M465" s="56">
        <f>LISTAS!$B$22*_xlfn.XLOOKUP(G465,LISTAS!$B$27:$B$36,LISTAS!$A$27:$A$36)*_xlfn.XLOOKUP(H465,LISTAS!$B$38:$B$47,LISTAS!$A$38:$A$47,,-1)*_xlfn.XLOOKUP(J465,LISTAS!$E$26:$H$26,LISTAS!$E$48:$H$48)*_xlfn.XLOOKUP(F465,LISTAS!$A$15:$A$18,LISTAS!$H$15:$H$18)</f>
        <v>2.2950000000000002E-2</v>
      </c>
      <c r="N465" s="54" cm="1">
        <f t="array" ref="N465">_xlfn.XLOOKUP(K465,LISTAS!$D$27:$D$47,_xlfn.XLOOKUP(J465,LISTAS!$E$26:$H$26,LISTAS!$E$27:$H$47))</f>
        <v>15859000</v>
      </c>
      <c r="O465" s="56" t="s">
        <v>1625</v>
      </c>
      <c r="P465" s="76" t="str">
        <f t="shared" ca="1" si="23"/>
        <v>Vigente</v>
      </c>
    </row>
    <row r="466" spans="1:16" x14ac:dyDescent="0.3">
      <c r="A466" s="58" t="s">
        <v>756</v>
      </c>
      <c r="B466" s="56" t="s">
        <v>196</v>
      </c>
      <c r="C466" s="50" t="str">
        <f>_xlfn.XLOOKUP(B466,CLIENTES!$A$2:$A$301,CLIENTES!$B$2:$B$301)</f>
        <v>Pablo Suárez</v>
      </c>
      <c r="D466" s="60">
        <v>44971</v>
      </c>
      <c r="E466" s="60">
        <f t="shared" si="21"/>
        <v>45336</v>
      </c>
      <c r="F466" s="50" t="s">
        <v>1595</v>
      </c>
      <c r="G466" s="56" t="s">
        <v>1601</v>
      </c>
      <c r="H466" s="47">
        <v>34</v>
      </c>
      <c r="I466" s="60">
        <v>33821</v>
      </c>
      <c r="J466" s="56" t="s">
        <v>1610</v>
      </c>
      <c r="K466" s="56">
        <v>2019</v>
      </c>
      <c r="L466" s="52">
        <f t="shared" si="22"/>
        <v>26580.180000000004</v>
      </c>
      <c r="M466" s="56">
        <f>LISTAS!$B$22*_xlfn.XLOOKUP(G466,LISTAS!$B$27:$B$36,LISTAS!$A$27:$A$36)*_xlfn.XLOOKUP(H466,LISTAS!$B$38:$B$47,LISTAS!$A$38:$A$47,,-1)*_xlfn.XLOOKUP(J466,LISTAS!$E$26:$H$26,LISTAS!$E$48:$H$48)*_xlfn.XLOOKUP(F466,LISTAS!$A$15:$A$18,LISTAS!$H$15:$H$18)</f>
        <v>1.5180000000000001E-2</v>
      </c>
      <c r="N466" s="54" cm="1">
        <f t="array" ref="N466">_xlfn.XLOOKUP(K466,LISTAS!$D$27:$D$47,_xlfn.XLOOKUP(J466,LISTAS!$E$26:$H$26,LISTAS!$E$27:$H$47))</f>
        <v>21012000</v>
      </c>
      <c r="O466" s="56" t="s">
        <v>1623</v>
      </c>
      <c r="P466" s="76" t="str">
        <f t="shared" ca="1" si="23"/>
        <v>Vencida</v>
      </c>
    </row>
    <row r="467" spans="1:16" x14ac:dyDescent="0.3">
      <c r="A467" s="58" t="s">
        <v>757</v>
      </c>
      <c r="B467" s="56" t="s">
        <v>161</v>
      </c>
      <c r="C467" s="50" t="str">
        <f>_xlfn.XLOOKUP(B467,CLIENTES!$A$2:$A$301,CLIENTES!$B$2:$B$301)</f>
        <v>Mariano Vega</v>
      </c>
      <c r="D467" s="60">
        <v>45177</v>
      </c>
      <c r="E467" s="60">
        <f t="shared" si="21"/>
        <v>45543</v>
      </c>
      <c r="F467" s="50" t="s">
        <v>1595</v>
      </c>
      <c r="G467" s="56" t="s">
        <v>1599</v>
      </c>
      <c r="H467" s="47">
        <v>21</v>
      </c>
      <c r="I467" s="60">
        <v>38482</v>
      </c>
      <c r="J467" s="56" t="s">
        <v>1612</v>
      </c>
      <c r="K467" s="56">
        <v>2016</v>
      </c>
      <c r="L467" s="52">
        <f t="shared" si="22"/>
        <v>21665.637000000002</v>
      </c>
      <c r="M467" s="56">
        <f>LISTAS!$B$22*_xlfn.XLOOKUP(G467,LISTAS!$B$27:$B$36,LISTAS!$A$27:$A$36)*_xlfn.XLOOKUP(H467,LISTAS!$B$38:$B$47,LISTAS!$A$38:$A$47,,-1)*_xlfn.XLOOKUP(J467,LISTAS!$E$26:$H$26,LISTAS!$E$48:$H$48)*_xlfn.XLOOKUP(F467,LISTAS!$A$15:$A$18,LISTAS!$H$15:$H$18)</f>
        <v>2.0412000000000003E-2</v>
      </c>
      <c r="N467" s="54" cm="1">
        <f t="array" ref="N467">_xlfn.XLOOKUP(K467,LISTAS!$D$27:$D$47,_xlfn.XLOOKUP(J467,LISTAS!$E$26:$H$26,LISTAS!$E$27:$H$47))</f>
        <v>12737000</v>
      </c>
      <c r="O467" s="56" t="s">
        <v>1625</v>
      </c>
      <c r="P467" s="76" t="str">
        <f t="shared" ca="1" si="23"/>
        <v>Vencida</v>
      </c>
    </row>
    <row r="468" spans="1:16" x14ac:dyDescent="0.3">
      <c r="A468" s="58" t="s">
        <v>758</v>
      </c>
      <c r="B468" s="56" t="s">
        <v>83</v>
      </c>
      <c r="C468" s="50" t="str">
        <f>_xlfn.XLOOKUP(B468,CLIENTES!$A$2:$A$301,CLIENTES!$B$2:$B$301)</f>
        <v>Valentina Cabrera</v>
      </c>
      <c r="D468" s="60">
        <v>44599</v>
      </c>
      <c r="E468" s="60">
        <f t="shared" si="21"/>
        <v>44964</v>
      </c>
      <c r="F468" s="50" t="s">
        <v>1597</v>
      </c>
      <c r="G468" s="56" t="s">
        <v>1602</v>
      </c>
      <c r="H468" s="47">
        <v>44</v>
      </c>
      <c r="I468" s="60">
        <v>30010</v>
      </c>
      <c r="J468" s="56" t="s">
        <v>1612</v>
      </c>
      <c r="K468" s="56">
        <v>2025</v>
      </c>
      <c r="L468" s="52">
        <f t="shared" si="22"/>
        <v>56530.320000000007</v>
      </c>
      <c r="M468" s="56">
        <f>LISTAS!$B$22*_xlfn.XLOOKUP(G468,LISTAS!$B$27:$B$36,LISTAS!$A$27:$A$36)*_xlfn.XLOOKUP(H468,LISTAS!$B$38:$B$47,LISTAS!$A$38:$A$47,,-1)*_xlfn.XLOOKUP(J468,LISTAS!$E$26:$H$26,LISTAS!$E$48:$H$48)*_xlfn.XLOOKUP(F468,LISTAS!$A$15:$A$18,LISTAS!$H$15:$H$18)</f>
        <v>2.3042250000000004E-2</v>
      </c>
      <c r="N468" s="54" cm="1">
        <f t="array" ref="N468">_xlfn.XLOOKUP(K468,LISTAS!$D$27:$D$47,_xlfn.XLOOKUP(J468,LISTAS!$E$26:$H$26,LISTAS!$E$27:$H$47))</f>
        <v>29440000</v>
      </c>
      <c r="O468" s="56" t="s">
        <v>1626</v>
      </c>
      <c r="P468" s="76" t="str">
        <f t="shared" ca="1" si="23"/>
        <v>Vencida</v>
      </c>
    </row>
    <row r="469" spans="1:16" x14ac:dyDescent="0.3">
      <c r="A469" s="58" t="s">
        <v>759</v>
      </c>
      <c r="B469" s="56" t="s">
        <v>207</v>
      </c>
      <c r="C469" s="50" t="str">
        <f>_xlfn.XLOOKUP(B469,CLIENTES!$A$2:$A$301,CLIENTES!$B$2:$B$301)</f>
        <v>Juan Acosta</v>
      </c>
      <c r="D469" s="60">
        <v>44832</v>
      </c>
      <c r="E469" s="60">
        <f t="shared" si="21"/>
        <v>45197</v>
      </c>
      <c r="F469" s="50" t="s">
        <v>1597</v>
      </c>
      <c r="G469" s="56" t="s">
        <v>1608</v>
      </c>
      <c r="H469" s="47">
        <v>37</v>
      </c>
      <c r="I469" s="60">
        <v>32398</v>
      </c>
      <c r="J469" s="56" t="s">
        <v>1610</v>
      </c>
      <c r="K469" s="56">
        <v>2023</v>
      </c>
      <c r="L469" s="52">
        <f t="shared" si="22"/>
        <v>58704.965000000004</v>
      </c>
      <c r="M469" s="56">
        <f>LISTAS!$B$22*_xlfn.XLOOKUP(G469,LISTAS!$B$27:$B$36,LISTAS!$A$27:$A$36)*_xlfn.XLOOKUP(H469,LISTAS!$B$38:$B$47,LISTAS!$A$38:$A$47,,-1)*_xlfn.XLOOKUP(J469,LISTAS!$E$26:$H$26,LISTAS!$E$48:$H$48)*_xlfn.XLOOKUP(F469,LISTAS!$A$15:$A$18,LISTAS!$H$15:$H$18)</f>
        <v>2.2990000000000003E-2</v>
      </c>
      <c r="N469" s="54" cm="1">
        <f t="array" ref="N469">_xlfn.XLOOKUP(K469,LISTAS!$D$27:$D$47,_xlfn.XLOOKUP(J469,LISTAS!$E$26:$H$26,LISTAS!$E$27:$H$47))</f>
        <v>30642000</v>
      </c>
      <c r="O469" s="56" t="s">
        <v>1623</v>
      </c>
      <c r="P469" s="76" t="str">
        <f t="shared" ca="1" si="23"/>
        <v>Vencida</v>
      </c>
    </row>
    <row r="470" spans="1:16" x14ac:dyDescent="0.3">
      <c r="A470" s="58" t="s">
        <v>760</v>
      </c>
      <c r="B470" s="56" t="s">
        <v>279</v>
      </c>
      <c r="C470" s="50" t="str">
        <f>_xlfn.XLOOKUP(B470,CLIENTES!$A$2:$A$301,CLIENTES!$B$2:$B$301)</f>
        <v>Nicolás Martínez</v>
      </c>
      <c r="D470" s="60">
        <v>45253</v>
      </c>
      <c r="E470" s="60">
        <f t="shared" si="21"/>
        <v>45619</v>
      </c>
      <c r="F470" s="50" t="s">
        <v>1596</v>
      </c>
      <c r="G470" s="56" t="s">
        <v>1600</v>
      </c>
      <c r="H470" s="47">
        <v>71</v>
      </c>
      <c r="I470" s="60">
        <v>20084</v>
      </c>
      <c r="J470" s="56" t="s">
        <v>1609</v>
      </c>
      <c r="K470" s="56">
        <v>2023</v>
      </c>
      <c r="L470" s="52">
        <f t="shared" si="22"/>
        <v>43680.239166666666</v>
      </c>
      <c r="M470" s="56">
        <f>LISTAS!$B$22*_xlfn.XLOOKUP(G470,LISTAS!$B$27:$B$36,LISTAS!$A$27:$A$36)*_xlfn.XLOOKUP(H470,LISTAS!$B$38:$B$47,LISTAS!$A$38:$A$47,,-1)*_xlfn.XLOOKUP(J470,LISTAS!$E$26:$H$26,LISTAS!$E$48:$H$48)*_xlfn.XLOOKUP(F470,LISTAS!$A$15:$A$18,LISTAS!$H$15:$H$18)</f>
        <v>2.7369999999999998E-2</v>
      </c>
      <c r="N470" s="54" cm="1">
        <f t="array" ref="N470">_xlfn.XLOOKUP(K470,LISTAS!$D$27:$D$47,_xlfn.XLOOKUP(J470,LISTAS!$E$26:$H$26,LISTAS!$E$27:$H$47))</f>
        <v>19151000</v>
      </c>
      <c r="O470" s="56" t="s">
        <v>1625</v>
      </c>
      <c r="P470" s="76" t="str">
        <f t="shared" ca="1" si="23"/>
        <v>Vencida</v>
      </c>
    </row>
    <row r="471" spans="1:16" x14ac:dyDescent="0.3">
      <c r="A471" s="58" t="s">
        <v>761</v>
      </c>
      <c r="B471" s="56" t="s">
        <v>105</v>
      </c>
      <c r="C471" s="50" t="str">
        <f>_xlfn.XLOOKUP(B471,CLIENTES!$A$2:$A$301,CLIENTES!$B$2:$B$301)</f>
        <v>Sofía Arias</v>
      </c>
      <c r="D471" s="60">
        <v>44643</v>
      </c>
      <c r="E471" s="60">
        <f t="shared" si="21"/>
        <v>45008</v>
      </c>
      <c r="F471" s="50" t="s">
        <v>1598</v>
      </c>
      <c r="G471" s="56" t="s">
        <v>1605</v>
      </c>
      <c r="H471" s="47">
        <v>23</v>
      </c>
      <c r="I471" s="60">
        <v>37790</v>
      </c>
      <c r="J471" s="56" t="s">
        <v>1611</v>
      </c>
      <c r="K471" s="56">
        <v>2022</v>
      </c>
      <c r="L471" s="52">
        <f t="shared" si="22"/>
        <v>94965.726375000013</v>
      </c>
      <c r="M471" s="56">
        <f>LISTAS!$B$22*_xlfn.XLOOKUP(G471,LISTAS!$B$27:$B$36,LISTAS!$A$27:$A$36)*_xlfn.XLOOKUP(H471,LISTAS!$B$38:$B$47,LISTAS!$A$38:$A$47,,-1)*_xlfn.XLOOKUP(J471,LISTAS!$E$26:$H$26,LISTAS!$E$48:$H$48)*_xlfn.XLOOKUP(F471,LISTAS!$A$15:$A$18,LISTAS!$H$15:$H$18)</f>
        <v>3.6328500000000007E-2</v>
      </c>
      <c r="N471" s="54" cm="1">
        <f t="array" ref="N471">_xlfn.XLOOKUP(K471,LISTAS!$D$27:$D$47,_xlfn.XLOOKUP(J471,LISTAS!$E$26:$H$26,LISTAS!$E$27:$H$47))</f>
        <v>31369000</v>
      </c>
      <c r="O471" s="56" t="s">
        <v>1624</v>
      </c>
      <c r="P471" s="76" t="str">
        <f t="shared" ca="1" si="23"/>
        <v>Vencida</v>
      </c>
    </row>
    <row r="472" spans="1:16" x14ac:dyDescent="0.3">
      <c r="A472" s="58" t="s">
        <v>762</v>
      </c>
      <c r="B472" s="56" t="s">
        <v>32</v>
      </c>
      <c r="C472" s="50" t="str">
        <f>_xlfn.XLOOKUP(B472,CLIENTES!$A$2:$A$301,CLIENTES!$B$2:$B$301)</f>
        <v>Daniela Sosa</v>
      </c>
      <c r="D472" s="60">
        <v>44927</v>
      </c>
      <c r="E472" s="60">
        <f t="shared" si="21"/>
        <v>45292</v>
      </c>
      <c r="F472" s="50" t="s">
        <v>1595</v>
      </c>
      <c r="G472" s="56" t="s">
        <v>1602</v>
      </c>
      <c r="H472" s="47">
        <v>60</v>
      </c>
      <c r="I472" s="60">
        <v>24315</v>
      </c>
      <c r="J472" s="56" t="s">
        <v>1609</v>
      </c>
      <c r="K472" s="56">
        <v>2024</v>
      </c>
      <c r="L472" s="52">
        <f t="shared" si="22"/>
        <v>23202.112500000003</v>
      </c>
      <c r="M472" s="56">
        <f>LISTAS!$B$22*_xlfn.XLOOKUP(G472,LISTAS!$B$27:$B$36,LISTAS!$A$27:$A$36)*_xlfn.XLOOKUP(H472,LISTAS!$B$38:$B$47,LISTAS!$A$38:$A$47,,-1)*_xlfn.XLOOKUP(J472,LISTAS!$E$26:$H$26,LISTAS!$E$48:$H$48)*_xlfn.XLOOKUP(F472,LISTAS!$A$15:$A$18,LISTAS!$H$15:$H$18)</f>
        <v>1.3230000000000002E-2</v>
      </c>
      <c r="N472" s="54" cm="1">
        <f t="array" ref="N472">_xlfn.XLOOKUP(K472,LISTAS!$D$27:$D$47,_xlfn.XLOOKUP(J472,LISTAS!$E$26:$H$26,LISTAS!$E$27:$H$47))</f>
        <v>21045000</v>
      </c>
      <c r="O472" s="56" t="s">
        <v>1624</v>
      </c>
      <c r="P472" s="76" t="str">
        <f t="shared" ca="1" si="23"/>
        <v>Vencida</v>
      </c>
    </row>
    <row r="473" spans="1:16" x14ac:dyDescent="0.3">
      <c r="A473" s="58" t="s">
        <v>763</v>
      </c>
      <c r="B473" s="56" t="s">
        <v>199</v>
      </c>
      <c r="C473" s="50" t="str">
        <f>_xlfn.XLOOKUP(B473,CLIENTES!$A$2:$A$301,CLIENTES!$B$2:$B$301)</f>
        <v>Daniel Aguirre</v>
      </c>
      <c r="D473" s="60">
        <v>45525</v>
      </c>
      <c r="E473" s="60">
        <f t="shared" si="21"/>
        <v>45890</v>
      </c>
      <c r="F473" s="50" t="s">
        <v>1598</v>
      </c>
      <c r="G473" s="56" t="s">
        <v>1599</v>
      </c>
      <c r="H473" s="47">
        <v>36</v>
      </c>
      <c r="I473" s="60">
        <v>33025</v>
      </c>
      <c r="J473" s="56" t="s">
        <v>1612</v>
      </c>
      <c r="K473" s="56">
        <v>2008</v>
      </c>
      <c r="L473" s="52">
        <f t="shared" si="22"/>
        <v>19041.750000000004</v>
      </c>
      <c r="M473" s="56">
        <f>LISTAS!$B$22*_xlfn.XLOOKUP(G473,LISTAS!$B$27:$B$36,LISTAS!$A$27:$A$36)*_xlfn.XLOOKUP(H473,LISTAS!$B$38:$B$47,LISTAS!$A$38:$A$47,,-1)*_xlfn.XLOOKUP(J473,LISTAS!$E$26:$H$26,LISTAS!$E$48:$H$48)*_xlfn.XLOOKUP(F473,LISTAS!$A$15:$A$18,LISTAS!$H$15:$H$18)</f>
        <v>3.2760000000000004E-2</v>
      </c>
      <c r="N473" s="54" cm="1">
        <f t="array" ref="N473">_xlfn.XLOOKUP(K473,LISTAS!$D$27:$D$47,_xlfn.XLOOKUP(J473,LISTAS!$E$26:$H$26,LISTAS!$E$27:$H$47))</f>
        <v>6975000</v>
      </c>
      <c r="O473" s="56" t="s">
        <v>1623</v>
      </c>
      <c r="P473" s="76" t="str">
        <f t="shared" ca="1" si="23"/>
        <v>Vencida</v>
      </c>
    </row>
    <row r="474" spans="1:16" x14ac:dyDescent="0.3">
      <c r="A474" s="58" t="s">
        <v>764</v>
      </c>
      <c r="B474" s="56" t="s">
        <v>57</v>
      </c>
      <c r="C474" s="50" t="str">
        <f>_xlfn.XLOOKUP(B474,CLIENTES!$A$2:$A$301,CLIENTES!$B$2:$B$301)</f>
        <v>Facundo Romero</v>
      </c>
      <c r="D474" s="60">
        <v>44711</v>
      </c>
      <c r="E474" s="60">
        <f t="shared" si="21"/>
        <v>45076</v>
      </c>
      <c r="F474" s="50" t="s">
        <v>1597</v>
      </c>
      <c r="G474" s="56" t="s">
        <v>1608</v>
      </c>
      <c r="H474" s="47">
        <v>65</v>
      </c>
      <c r="I474" s="60">
        <v>22287</v>
      </c>
      <c r="J474" s="56" t="s">
        <v>1610</v>
      </c>
      <c r="K474" s="56">
        <v>2021</v>
      </c>
      <c r="L474" s="52">
        <f t="shared" si="22"/>
        <v>55904.208250000003</v>
      </c>
      <c r="M474" s="56">
        <f>LISTAS!$B$22*_xlfn.XLOOKUP(G474,LISTAS!$B$27:$B$36,LISTAS!$A$27:$A$36)*_xlfn.XLOOKUP(H474,LISTAS!$B$38:$B$47,LISTAS!$A$38:$A$47,,-1)*_xlfn.XLOOKUP(J474,LISTAS!$E$26:$H$26,LISTAS!$E$48:$H$48)*_xlfn.XLOOKUP(F474,LISTAS!$A$15:$A$18,LISTAS!$H$15:$H$18)</f>
        <v>2.6438500000000004E-2</v>
      </c>
      <c r="N474" s="54" cm="1">
        <f t="array" ref="N474">_xlfn.XLOOKUP(K474,LISTAS!$D$27:$D$47,_xlfn.XLOOKUP(J474,LISTAS!$E$26:$H$26,LISTAS!$E$27:$H$47))</f>
        <v>25374000</v>
      </c>
      <c r="O474" s="56" t="s">
        <v>1623</v>
      </c>
      <c r="P474" s="76" t="str">
        <f t="shared" ca="1" si="23"/>
        <v>Vencida</v>
      </c>
    </row>
    <row r="475" spans="1:16" x14ac:dyDescent="0.3">
      <c r="A475" s="58" t="s">
        <v>765</v>
      </c>
      <c r="B475" s="56" t="s">
        <v>166</v>
      </c>
      <c r="C475" s="50" t="str">
        <f>_xlfn.XLOOKUP(B475,CLIENTES!$A$2:$A$301,CLIENTES!$B$2:$B$301)</f>
        <v>Emiliano Méndez</v>
      </c>
      <c r="D475" s="60">
        <v>45308</v>
      </c>
      <c r="E475" s="60">
        <f t="shared" si="21"/>
        <v>45674</v>
      </c>
      <c r="F475" s="50" t="s">
        <v>1596</v>
      </c>
      <c r="G475" s="56" t="s">
        <v>1607</v>
      </c>
      <c r="H475" s="47">
        <v>38</v>
      </c>
      <c r="I475" s="60">
        <v>32139</v>
      </c>
      <c r="J475" s="56" t="s">
        <v>1611</v>
      </c>
      <c r="K475" s="56">
        <v>2006</v>
      </c>
      <c r="L475" s="52">
        <f t="shared" si="22"/>
        <v>15530.194166666666</v>
      </c>
      <c r="M475" s="56">
        <f>LISTAS!$B$22*_xlfn.XLOOKUP(G475,LISTAS!$B$27:$B$36,LISTAS!$A$27:$A$36)*_xlfn.XLOOKUP(H475,LISTAS!$B$38:$B$47,LISTAS!$A$38:$A$47,,-1)*_xlfn.XLOOKUP(J475,LISTAS!$E$26:$H$26,LISTAS!$E$48:$H$48)*_xlfn.XLOOKUP(F475,LISTAS!$A$15:$A$18,LISTAS!$H$15:$H$18)</f>
        <v>2.1505E-2</v>
      </c>
      <c r="N475" s="54" cm="1">
        <f t="array" ref="N475">_xlfn.XLOOKUP(K475,LISTAS!$D$27:$D$47,_xlfn.XLOOKUP(J475,LISTAS!$E$26:$H$26,LISTAS!$E$27:$H$47))</f>
        <v>8666000</v>
      </c>
      <c r="O475" s="56" t="s">
        <v>1626</v>
      </c>
      <c r="P475" s="76" t="str">
        <f t="shared" ca="1" si="23"/>
        <v>Vencida</v>
      </c>
    </row>
    <row r="476" spans="1:16" x14ac:dyDescent="0.3">
      <c r="A476" s="58" t="s">
        <v>766</v>
      </c>
      <c r="B476" s="56" t="s">
        <v>205</v>
      </c>
      <c r="C476" s="50" t="str">
        <f>_xlfn.XLOOKUP(B476,CLIENTES!$A$2:$A$301,CLIENTES!$B$2:$B$301)</f>
        <v>Lautaro Núñez</v>
      </c>
      <c r="D476" s="60">
        <v>45092</v>
      </c>
      <c r="E476" s="60">
        <f t="shared" si="21"/>
        <v>45458</v>
      </c>
      <c r="F476" s="50" t="s">
        <v>1597</v>
      </c>
      <c r="G476" s="56" t="s">
        <v>1607</v>
      </c>
      <c r="H476" s="47">
        <v>27</v>
      </c>
      <c r="I476" s="60">
        <v>36320</v>
      </c>
      <c r="J476" s="56" t="s">
        <v>1612</v>
      </c>
      <c r="K476" s="56">
        <v>2022</v>
      </c>
      <c r="L476" s="52">
        <f t="shared" si="22"/>
        <v>56682.087000000021</v>
      </c>
      <c r="M476" s="56">
        <f>LISTAS!$B$22*_xlfn.XLOOKUP(G476,LISTAS!$B$27:$B$36,LISTAS!$A$27:$A$36)*_xlfn.XLOOKUP(H476,LISTAS!$B$38:$B$47,LISTAS!$A$38:$A$47,,-1)*_xlfn.XLOOKUP(J476,LISTAS!$E$26:$H$26,LISTAS!$E$48:$H$48)*_xlfn.XLOOKUP(F476,LISTAS!$A$15:$A$18,LISTAS!$H$15:$H$18)</f>
        <v>3.0492000000000009E-2</v>
      </c>
      <c r="N476" s="54" cm="1">
        <f t="array" ref="N476">_xlfn.XLOOKUP(K476,LISTAS!$D$27:$D$47,_xlfn.XLOOKUP(J476,LISTAS!$E$26:$H$26,LISTAS!$E$27:$H$47))</f>
        <v>22307000</v>
      </c>
      <c r="O476" s="56" t="s">
        <v>1625</v>
      </c>
      <c r="P476" s="76" t="str">
        <f t="shared" ca="1" si="23"/>
        <v>Vencida</v>
      </c>
    </row>
    <row r="477" spans="1:16" x14ac:dyDescent="0.3">
      <c r="A477" s="58" t="s">
        <v>767</v>
      </c>
      <c r="B477" s="56" t="s">
        <v>123</v>
      </c>
      <c r="C477" s="50" t="str">
        <f>_xlfn.XLOOKUP(B477,CLIENTES!$A$2:$A$301,CLIENTES!$B$2:$B$301)</f>
        <v>Victoria Ramírez</v>
      </c>
      <c r="D477" s="60">
        <v>45411</v>
      </c>
      <c r="E477" s="60">
        <f t="shared" si="21"/>
        <v>45776</v>
      </c>
      <c r="F477" s="50" t="s">
        <v>1597</v>
      </c>
      <c r="G477" s="56" t="s">
        <v>1600</v>
      </c>
      <c r="H477" s="47">
        <v>41</v>
      </c>
      <c r="I477" s="60">
        <v>31270</v>
      </c>
      <c r="J477" s="56" t="s">
        <v>1612</v>
      </c>
      <c r="K477" s="56">
        <v>2025</v>
      </c>
      <c r="L477" s="52">
        <f t="shared" si="22"/>
        <v>61914.159999999996</v>
      </c>
      <c r="M477" s="56">
        <f>LISTAS!$B$22*_xlfn.XLOOKUP(G477,LISTAS!$B$27:$B$36,LISTAS!$A$27:$A$36)*_xlfn.XLOOKUP(H477,LISTAS!$B$38:$B$47,LISTAS!$A$38:$A$47,,-1)*_xlfn.XLOOKUP(J477,LISTAS!$E$26:$H$26,LISTAS!$E$48:$H$48)*_xlfn.XLOOKUP(F477,LISTAS!$A$15:$A$18,LISTAS!$H$15:$H$18)</f>
        <v>2.5236749999999999E-2</v>
      </c>
      <c r="N477" s="54" cm="1">
        <f t="array" ref="N477">_xlfn.XLOOKUP(K477,LISTAS!$D$27:$D$47,_xlfn.XLOOKUP(J477,LISTAS!$E$26:$H$26,LISTAS!$E$27:$H$47))</f>
        <v>29440000</v>
      </c>
      <c r="O477" s="56" t="s">
        <v>1623</v>
      </c>
      <c r="P477" s="76" t="str">
        <f t="shared" ca="1" si="23"/>
        <v>Vencida</v>
      </c>
    </row>
    <row r="478" spans="1:16" x14ac:dyDescent="0.3">
      <c r="A478" s="58" t="s">
        <v>768</v>
      </c>
      <c r="B478" s="56" t="s">
        <v>227</v>
      </c>
      <c r="C478" s="50" t="str">
        <f>_xlfn.XLOOKUP(B478,CLIENTES!$A$2:$A$301,CLIENTES!$B$2:$B$301)</f>
        <v>Ignacio Molina</v>
      </c>
      <c r="D478" s="60">
        <v>45265</v>
      </c>
      <c r="E478" s="60">
        <f t="shared" si="21"/>
        <v>45631</v>
      </c>
      <c r="F478" s="50" t="s">
        <v>1595</v>
      </c>
      <c r="G478" s="56" t="s">
        <v>1602</v>
      </c>
      <c r="H478" s="47">
        <v>32</v>
      </c>
      <c r="I478" s="60">
        <v>34536</v>
      </c>
      <c r="J478" s="56" t="s">
        <v>1609</v>
      </c>
      <c r="K478" s="56">
        <v>2023</v>
      </c>
      <c r="L478" s="52">
        <f t="shared" si="22"/>
        <v>20108.55</v>
      </c>
      <c r="M478" s="56">
        <f>LISTAS!$B$22*_xlfn.XLOOKUP(G478,LISTAS!$B$27:$B$36,LISTAS!$A$27:$A$36)*_xlfn.XLOOKUP(H478,LISTAS!$B$38:$B$47,LISTAS!$A$38:$A$47,,-1)*_xlfn.XLOOKUP(J478,LISTAS!$E$26:$H$26,LISTAS!$E$48:$H$48)*_xlfn.XLOOKUP(F478,LISTAS!$A$15:$A$18,LISTAS!$H$15:$H$18)</f>
        <v>1.26E-2</v>
      </c>
      <c r="N478" s="54" cm="1">
        <f t="array" ref="N478">_xlfn.XLOOKUP(K478,LISTAS!$D$27:$D$47,_xlfn.XLOOKUP(J478,LISTAS!$E$26:$H$26,LISTAS!$E$27:$H$47))</f>
        <v>19151000</v>
      </c>
      <c r="O478" s="56" t="s">
        <v>1624</v>
      </c>
      <c r="P478" s="76" t="str">
        <f t="shared" ca="1" si="23"/>
        <v>Vencida</v>
      </c>
    </row>
    <row r="479" spans="1:16" x14ac:dyDescent="0.3">
      <c r="A479" s="58" t="s">
        <v>769</v>
      </c>
      <c r="B479" s="56" t="s">
        <v>147</v>
      </c>
      <c r="C479" s="50" t="str">
        <f>_xlfn.XLOOKUP(B479,CLIENTES!$A$2:$A$301,CLIENTES!$B$2:$B$301)</f>
        <v>Facundo Benítez</v>
      </c>
      <c r="D479" s="60">
        <v>46234</v>
      </c>
      <c r="E479" s="60">
        <f t="shared" si="21"/>
        <v>46599</v>
      </c>
      <c r="F479" s="50" t="s">
        <v>1596</v>
      </c>
      <c r="G479" s="56" t="s">
        <v>1606</v>
      </c>
      <c r="H479" s="47">
        <v>72</v>
      </c>
      <c r="I479" s="60">
        <v>19768</v>
      </c>
      <c r="J479" s="56" t="s">
        <v>1609</v>
      </c>
      <c r="K479" s="56">
        <v>2020</v>
      </c>
      <c r="L479" s="52">
        <f t="shared" si="22"/>
        <v>28623.466666666664</v>
      </c>
      <c r="M479" s="56">
        <f>LISTAS!$B$22*_xlfn.XLOOKUP(G479,LISTAS!$B$27:$B$36,LISTAS!$A$27:$A$36)*_xlfn.XLOOKUP(H479,LISTAS!$B$38:$B$47,LISTAS!$A$38:$A$47,,-1)*_xlfn.XLOOKUP(J479,LISTAS!$E$26:$H$26,LISTAS!$E$48:$H$48)*_xlfn.XLOOKUP(F479,LISTAS!$A$15:$A$18,LISTAS!$H$15:$H$18)</f>
        <v>2.3799999999999998E-2</v>
      </c>
      <c r="N479" s="54" cm="1">
        <f t="array" ref="N479">_xlfn.XLOOKUP(K479,LISTAS!$D$27:$D$47,_xlfn.XLOOKUP(J479,LISTAS!$E$26:$H$26,LISTAS!$E$27:$H$47))</f>
        <v>14432000</v>
      </c>
      <c r="O479" s="56" t="s">
        <v>1624</v>
      </c>
      <c r="P479" s="76" t="str">
        <f t="shared" ca="1" si="23"/>
        <v>Vigente</v>
      </c>
    </row>
    <row r="480" spans="1:16" x14ac:dyDescent="0.3">
      <c r="A480" s="58" t="s">
        <v>770</v>
      </c>
      <c r="B480" s="56" t="s">
        <v>26</v>
      </c>
      <c r="C480" s="50" t="str">
        <f>_xlfn.XLOOKUP(B480,CLIENTES!$A$2:$A$301,CLIENTES!$B$2:$B$301)</f>
        <v>Gabriel Rojas</v>
      </c>
      <c r="D480" s="60">
        <v>45519</v>
      </c>
      <c r="E480" s="60">
        <f t="shared" si="21"/>
        <v>45884</v>
      </c>
      <c r="F480" s="50" t="s">
        <v>1595</v>
      </c>
      <c r="G480" s="56" t="s">
        <v>1600</v>
      </c>
      <c r="H480" s="47">
        <v>74</v>
      </c>
      <c r="I480" s="60">
        <v>18953</v>
      </c>
      <c r="J480" s="56" t="s">
        <v>1609</v>
      </c>
      <c r="K480" s="56">
        <v>2020</v>
      </c>
      <c r="L480" s="52">
        <f t="shared" si="22"/>
        <v>23235.52</v>
      </c>
      <c r="M480" s="56">
        <f>LISTAS!$B$22*_xlfn.XLOOKUP(G480,LISTAS!$B$27:$B$36,LISTAS!$A$27:$A$36)*_xlfn.XLOOKUP(H480,LISTAS!$B$38:$B$47,LISTAS!$A$38:$A$47,,-1)*_xlfn.XLOOKUP(J480,LISTAS!$E$26:$H$26,LISTAS!$E$48:$H$48)*_xlfn.XLOOKUP(F480,LISTAS!$A$15:$A$18,LISTAS!$H$15:$H$18)</f>
        <v>1.932E-2</v>
      </c>
      <c r="N480" s="54" cm="1">
        <f t="array" ref="N480">_xlfn.XLOOKUP(K480,LISTAS!$D$27:$D$47,_xlfn.XLOOKUP(J480,LISTAS!$E$26:$H$26,LISTAS!$E$27:$H$47))</f>
        <v>14432000</v>
      </c>
      <c r="O480" s="56" t="s">
        <v>1623</v>
      </c>
      <c r="P480" s="76" t="str">
        <f t="shared" ca="1" si="23"/>
        <v>Vencida</v>
      </c>
    </row>
    <row r="481" spans="1:16" x14ac:dyDescent="0.3">
      <c r="A481" s="58" t="s">
        <v>771</v>
      </c>
      <c r="B481" s="56" t="s">
        <v>153</v>
      </c>
      <c r="C481" s="50" t="str">
        <f>_xlfn.XLOOKUP(B481,CLIENTES!$A$2:$A$301,CLIENTES!$B$2:$B$301)</f>
        <v>Mateo Arias</v>
      </c>
      <c r="D481" s="60">
        <v>44619</v>
      </c>
      <c r="E481" s="60">
        <f t="shared" si="21"/>
        <v>44984</v>
      </c>
      <c r="F481" s="50" t="s">
        <v>1598</v>
      </c>
      <c r="G481" s="56" t="s">
        <v>1599</v>
      </c>
      <c r="H481" s="47">
        <v>74</v>
      </c>
      <c r="I481" s="60">
        <v>18922</v>
      </c>
      <c r="J481" s="56" t="s">
        <v>1612</v>
      </c>
      <c r="K481" s="56">
        <v>2022</v>
      </c>
      <c r="L481" s="52">
        <f t="shared" si="22"/>
        <v>85257.354000000007</v>
      </c>
      <c r="M481" s="56">
        <f>LISTAS!$B$22*_xlfn.XLOOKUP(G481,LISTAS!$B$27:$B$36,LISTAS!$A$27:$A$36)*_xlfn.XLOOKUP(H481,LISTAS!$B$38:$B$47,LISTAS!$A$38:$A$47,,-1)*_xlfn.XLOOKUP(J481,LISTAS!$E$26:$H$26,LISTAS!$E$48:$H$48)*_xlfn.XLOOKUP(F481,LISTAS!$A$15:$A$18,LISTAS!$H$15:$H$18)</f>
        <v>4.5864000000000002E-2</v>
      </c>
      <c r="N481" s="54" cm="1">
        <f t="array" ref="N481">_xlfn.XLOOKUP(K481,LISTAS!$D$27:$D$47,_xlfn.XLOOKUP(J481,LISTAS!$E$26:$H$26,LISTAS!$E$27:$H$47))</f>
        <v>22307000</v>
      </c>
      <c r="O481" s="56" t="s">
        <v>1623</v>
      </c>
      <c r="P481" s="76" t="str">
        <f t="shared" ca="1" si="23"/>
        <v>Vencida</v>
      </c>
    </row>
    <row r="482" spans="1:16" x14ac:dyDescent="0.3">
      <c r="A482" s="58" t="s">
        <v>772</v>
      </c>
      <c r="B482" s="56" t="s">
        <v>90</v>
      </c>
      <c r="C482" s="50" t="str">
        <f>_xlfn.XLOOKUP(B482,CLIENTES!$A$2:$A$301,CLIENTES!$B$2:$B$301)</f>
        <v>Franco Suárez</v>
      </c>
      <c r="D482" s="60">
        <v>44438</v>
      </c>
      <c r="E482" s="60">
        <f t="shared" si="21"/>
        <v>44803</v>
      </c>
      <c r="F482" s="50" t="s">
        <v>1595</v>
      </c>
      <c r="G482" s="56" t="s">
        <v>1608</v>
      </c>
      <c r="H482" s="47">
        <v>56</v>
      </c>
      <c r="I482" s="60">
        <v>25746</v>
      </c>
      <c r="J482" s="56" t="s">
        <v>1612</v>
      </c>
      <c r="K482" s="56">
        <v>2007</v>
      </c>
      <c r="L482" s="52">
        <f t="shared" si="22"/>
        <v>6539.61</v>
      </c>
      <c r="M482" s="56">
        <f>LISTAS!$B$22*_xlfn.XLOOKUP(G482,LISTAS!$B$27:$B$36,LISTAS!$A$27:$A$36)*_xlfn.XLOOKUP(H482,LISTAS!$B$38:$B$47,LISTAS!$A$38:$A$47,,-1)*_xlfn.XLOOKUP(J482,LISTAS!$E$26:$H$26,LISTAS!$E$48:$H$48)*_xlfn.XLOOKUP(F482,LISTAS!$A$15:$A$18,LISTAS!$H$15:$H$18)</f>
        <v>1.197E-2</v>
      </c>
      <c r="N482" s="54" cm="1">
        <f t="array" ref="N482">_xlfn.XLOOKUP(K482,LISTAS!$D$27:$D$47,_xlfn.XLOOKUP(J482,LISTAS!$E$26:$H$26,LISTAS!$E$27:$H$47))</f>
        <v>6556000</v>
      </c>
      <c r="O482" s="56" t="s">
        <v>1624</v>
      </c>
      <c r="P482" s="76" t="str">
        <f t="shared" ca="1" si="23"/>
        <v>Vencida</v>
      </c>
    </row>
    <row r="483" spans="1:16" x14ac:dyDescent="0.3">
      <c r="A483" s="58" t="s">
        <v>773</v>
      </c>
      <c r="B483" s="56" t="s">
        <v>107</v>
      </c>
      <c r="C483" s="50" t="str">
        <f>_xlfn.XLOOKUP(B483,CLIENTES!$A$2:$A$301,CLIENTES!$B$2:$B$301)</f>
        <v>Emiliano Rojas</v>
      </c>
      <c r="D483" s="60">
        <v>45906</v>
      </c>
      <c r="E483" s="60">
        <f t="shared" si="21"/>
        <v>46271</v>
      </c>
      <c r="F483" s="50" t="s">
        <v>1597</v>
      </c>
      <c r="G483" s="56" t="s">
        <v>1608</v>
      </c>
      <c r="H483" s="47">
        <v>39</v>
      </c>
      <c r="I483" s="60">
        <v>31709</v>
      </c>
      <c r="J483" s="56" t="s">
        <v>1610</v>
      </c>
      <c r="K483" s="56">
        <v>2020</v>
      </c>
      <c r="L483" s="52">
        <f t="shared" si="22"/>
        <v>44238.507500000007</v>
      </c>
      <c r="M483" s="56">
        <f>LISTAS!$B$22*_xlfn.XLOOKUP(G483,LISTAS!$B$27:$B$36,LISTAS!$A$27:$A$36)*_xlfn.XLOOKUP(H483,LISTAS!$B$38:$B$47,LISTAS!$A$38:$A$47,,-1)*_xlfn.XLOOKUP(J483,LISTAS!$E$26:$H$26,LISTAS!$E$48:$H$48)*_xlfn.XLOOKUP(F483,LISTAS!$A$15:$A$18,LISTAS!$H$15:$H$18)</f>
        <v>2.2990000000000003E-2</v>
      </c>
      <c r="N483" s="54" cm="1">
        <f t="array" ref="N483">_xlfn.XLOOKUP(K483,LISTAS!$D$27:$D$47,_xlfn.XLOOKUP(J483,LISTAS!$E$26:$H$26,LISTAS!$E$27:$H$47))</f>
        <v>23091000</v>
      </c>
      <c r="O483" s="56" t="s">
        <v>1623</v>
      </c>
      <c r="P483" s="76" t="str">
        <f t="shared" ca="1" si="23"/>
        <v>Vencida</v>
      </c>
    </row>
    <row r="484" spans="1:16" x14ac:dyDescent="0.3">
      <c r="A484" s="58" t="s">
        <v>774</v>
      </c>
      <c r="B484" s="56" t="s">
        <v>229</v>
      </c>
      <c r="C484" s="50" t="str">
        <f>_xlfn.XLOOKUP(B484,CLIENTES!$A$2:$A$301,CLIENTES!$B$2:$B$301)</f>
        <v>Martín González</v>
      </c>
      <c r="D484" s="60">
        <v>44607</v>
      </c>
      <c r="E484" s="60">
        <f t="shared" si="21"/>
        <v>44972</v>
      </c>
      <c r="F484" s="50" t="s">
        <v>1595</v>
      </c>
      <c r="G484" s="56" t="s">
        <v>1603</v>
      </c>
      <c r="H484" s="47">
        <v>39</v>
      </c>
      <c r="I484" s="60">
        <v>31714</v>
      </c>
      <c r="J484" s="56" t="s">
        <v>1610</v>
      </c>
      <c r="K484" s="56">
        <v>2024</v>
      </c>
      <c r="L484" s="52">
        <f t="shared" si="22"/>
        <v>35187.24</v>
      </c>
      <c r="M484" s="56">
        <f>LISTAS!$B$22*_xlfn.XLOOKUP(G484,LISTAS!$B$27:$B$36,LISTAS!$A$27:$A$36)*_xlfn.XLOOKUP(H484,LISTAS!$B$38:$B$47,LISTAS!$A$38:$A$47,,-1)*_xlfn.XLOOKUP(J484,LISTAS!$E$26:$H$26,LISTAS!$E$48:$H$48)*_xlfn.XLOOKUP(F484,LISTAS!$A$15:$A$18,LISTAS!$H$15:$H$18)</f>
        <v>1.2540000000000001E-2</v>
      </c>
      <c r="N484" s="54" cm="1">
        <f t="array" ref="N484">_xlfn.XLOOKUP(K484,LISTAS!$D$27:$D$47,_xlfn.XLOOKUP(J484,LISTAS!$E$26:$H$26,LISTAS!$E$27:$H$47))</f>
        <v>33672000</v>
      </c>
      <c r="O484" s="56" t="s">
        <v>1623</v>
      </c>
      <c r="P484" s="76" t="str">
        <f t="shared" ca="1" si="23"/>
        <v>Vencida</v>
      </c>
    </row>
    <row r="485" spans="1:16" x14ac:dyDescent="0.3">
      <c r="A485" s="58" t="s">
        <v>775</v>
      </c>
      <c r="B485" s="56" t="s">
        <v>228</v>
      </c>
      <c r="C485" s="50" t="str">
        <f>_xlfn.XLOOKUP(B485,CLIENTES!$A$2:$A$301,CLIENTES!$B$2:$B$301)</f>
        <v>Lucía Campos</v>
      </c>
      <c r="D485" s="60">
        <v>45029</v>
      </c>
      <c r="E485" s="60">
        <f t="shared" si="21"/>
        <v>45395</v>
      </c>
      <c r="F485" s="50" t="s">
        <v>1596</v>
      </c>
      <c r="G485" s="56" t="s">
        <v>1600</v>
      </c>
      <c r="H485" s="47">
        <v>79</v>
      </c>
      <c r="I485" s="60">
        <v>17152</v>
      </c>
      <c r="J485" s="56" t="s">
        <v>1610</v>
      </c>
      <c r="K485" s="56">
        <v>2026</v>
      </c>
      <c r="L485" s="52">
        <f t="shared" si="22"/>
        <v>103940.83333333333</v>
      </c>
      <c r="M485" s="56">
        <f>LISTAS!$B$22*_xlfn.XLOOKUP(G485,LISTAS!$B$27:$B$36,LISTAS!$A$27:$A$36)*_xlfn.XLOOKUP(H485,LISTAS!$B$38:$B$47,LISTAS!$A$38:$A$47,,-1)*_xlfn.XLOOKUP(J485,LISTAS!$E$26:$H$26,LISTAS!$E$48:$H$48)*_xlfn.XLOOKUP(F485,LISTAS!$A$15:$A$18,LISTAS!$H$15:$H$18)</f>
        <v>3.1182250000000002E-2</v>
      </c>
      <c r="N485" s="54" cm="1">
        <f t="array" ref="N485">_xlfn.XLOOKUP(K485,LISTAS!$D$27:$D$47,_xlfn.XLOOKUP(J485,LISTAS!$E$26:$H$26,LISTAS!$E$27:$H$47))</f>
        <v>40000000</v>
      </c>
      <c r="O485" s="56" t="s">
        <v>1626</v>
      </c>
      <c r="P485" s="76" t="str">
        <f t="shared" ca="1" si="23"/>
        <v>Vencida</v>
      </c>
    </row>
    <row r="486" spans="1:16" x14ac:dyDescent="0.3">
      <c r="A486" s="58" t="s">
        <v>776</v>
      </c>
      <c r="B486" s="56" t="s">
        <v>181</v>
      </c>
      <c r="C486" s="50" t="str">
        <f>_xlfn.XLOOKUP(B486,CLIENTES!$A$2:$A$301,CLIENTES!$B$2:$B$301)</f>
        <v>Nicolás González</v>
      </c>
      <c r="D486" s="60">
        <v>46053</v>
      </c>
      <c r="E486" s="60">
        <f t="shared" si="21"/>
        <v>46418</v>
      </c>
      <c r="F486" s="50" t="s">
        <v>1596</v>
      </c>
      <c r="G486" s="56" t="s">
        <v>1602</v>
      </c>
      <c r="H486" s="47">
        <v>37</v>
      </c>
      <c r="I486" s="60">
        <v>32499</v>
      </c>
      <c r="J486" s="56" t="s">
        <v>1612</v>
      </c>
      <c r="K486" s="56">
        <v>2013</v>
      </c>
      <c r="L486" s="52">
        <f t="shared" si="22"/>
        <v>15575.017500000002</v>
      </c>
      <c r="M486" s="56">
        <f>LISTAS!$B$22*_xlfn.XLOOKUP(G486,LISTAS!$B$27:$B$36,LISTAS!$A$27:$A$36)*_xlfn.XLOOKUP(H486,LISTAS!$B$38:$B$47,LISTAS!$A$38:$A$47,,-1)*_xlfn.XLOOKUP(J486,LISTAS!$E$26:$H$26,LISTAS!$E$48:$H$48)*_xlfn.XLOOKUP(F486,LISTAS!$A$15:$A$18,LISTAS!$H$15:$H$18)</f>
        <v>1.8742500000000002E-2</v>
      </c>
      <c r="N486" s="54" cm="1">
        <f t="array" ref="N486">_xlfn.XLOOKUP(K486,LISTAS!$D$27:$D$47,_xlfn.XLOOKUP(J486,LISTAS!$E$26:$H$26,LISTAS!$E$27:$H$47))</f>
        <v>9972000</v>
      </c>
      <c r="O486" s="56" t="s">
        <v>1623</v>
      </c>
      <c r="P486" s="76" t="str">
        <f t="shared" ca="1" si="23"/>
        <v>Vigente</v>
      </c>
    </row>
    <row r="487" spans="1:16" x14ac:dyDescent="0.3">
      <c r="A487" s="58" t="s">
        <v>777</v>
      </c>
      <c r="B487" s="56" t="s">
        <v>175</v>
      </c>
      <c r="C487" s="50" t="str">
        <f>_xlfn.XLOOKUP(B487,CLIENTES!$A$2:$A$301,CLIENTES!$B$2:$B$301)</f>
        <v>Santiago Benítez</v>
      </c>
      <c r="D487" s="60">
        <v>45869</v>
      </c>
      <c r="E487" s="60">
        <f t="shared" si="21"/>
        <v>46234</v>
      </c>
      <c r="F487" s="50" t="s">
        <v>1596</v>
      </c>
      <c r="G487" s="56" t="s">
        <v>1606</v>
      </c>
      <c r="H487" s="47">
        <v>64</v>
      </c>
      <c r="I487" s="60">
        <v>22689</v>
      </c>
      <c r="J487" s="56" t="s">
        <v>1610</v>
      </c>
      <c r="K487" s="56">
        <v>2018</v>
      </c>
      <c r="L487" s="52">
        <f t="shared" si="22"/>
        <v>31286.736250000005</v>
      </c>
      <c r="M487" s="56">
        <f>LISTAS!$B$22*_xlfn.XLOOKUP(G487,LISTAS!$B$27:$B$36,LISTAS!$A$27:$A$36)*_xlfn.XLOOKUP(H487,LISTAS!$B$38:$B$47,LISTAS!$A$38:$A$47,,-1)*_xlfn.XLOOKUP(J487,LISTAS!$E$26:$H$26,LISTAS!$E$48:$H$48)*_xlfn.XLOOKUP(F487,LISTAS!$A$15:$A$18,LISTAS!$H$15:$H$18)</f>
        <v>1.9635000000000003E-2</v>
      </c>
      <c r="N487" s="54" cm="1">
        <f t="array" ref="N487">_xlfn.XLOOKUP(K487,LISTAS!$D$27:$D$47,_xlfn.XLOOKUP(J487,LISTAS!$E$26:$H$26,LISTAS!$E$27:$H$47))</f>
        <v>19121000</v>
      </c>
      <c r="O487" s="56" t="s">
        <v>1623</v>
      </c>
      <c r="P487" s="76" t="str">
        <f t="shared" ca="1" si="23"/>
        <v>Vencida</v>
      </c>
    </row>
    <row r="488" spans="1:16" x14ac:dyDescent="0.3">
      <c r="A488" s="58" t="s">
        <v>778</v>
      </c>
      <c r="B488" s="56" t="s">
        <v>197</v>
      </c>
      <c r="C488" s="50" t="str">
        <f>_xlfn.XLOOKUP(B488,CLIENTES!$A$2:$A$301,CLIENTES!$B$2:$B$301)</f>
        <v>Sofía Mansilla</v>
      </c>
      <c r="D488" s="60">
        <v>45766</v>
      </c>
      <c r="E488" s="60">
        <f t="shared" si="21"/>
        <v>46131</v>
      </c>
      <c r="F488" s="50" t="s">
        <v>1596</v>
      </c>
      <c r="G488" s="56" t="s">
        <v>1606</v>
      </c>
      <c r="H488" s="47">
        <v>52</v>
      </c>
      <c r="I488" s="60">
        <v>27020</v>
      </c>
      <c r="J488" s="56" t="s">
        <v>1609</v>
      </c>
      <c r="K488" s="56">
        <v>2021</v>
      </c>
      <c r="L488" s="52">
        <f t="shared" si="22"/>
        <v>22466.916666666668</v>
      </c>
      <c r="M488" s="56">
        <f>LISTAS!$B$22*_xlfn.XLOOKUP(G488,LISTAS!$B$27:$B$36,LISTAS!$A$27:$A$36)*_xlfn.XLOOKUP(H488,LISTAS!$B$38:$B$47,LISTAS!$A$38:$A$47,,-1)*_xlfn.XLOOKUP(J488,LISTAS!$E$26:$H$26,LISTAS!$E$48:$H$48)*_xlfn.XLOOKUP(F488,LISTAS!$A$15:$A$18,LISTAS!$H$15:$H$18)</f>
        <v>1.7000000000000001E-2</v>
      </c>
      <c r="N488" s="54" cm="1">
        <f t="array" ref="N488">_xlfn.XLOOKUP(K488,LISTAS!$D$27:$D$47,_xlfn.XLOOKUP(J488,LISTAS!$E$26:$H$26,LISTAS!$E$27:$H$47))</f>
        <v>15859000</v>
      </c>
      <c r="O488" s="56" t="s">
        <v>1624</v>
      </c>
      <c r="P488" s="76" t="str">
        <f t="shared" ca="1" si="23"/>
        <v>Vencida</v>
      </c>
    </row>
    <row r="489" spans="1:16" x14ac:dyDescent="0.3">
      <c r="A489" s="58" t="s">
        <v>779</v>
      </c>
      <c r="B489" s="56" t="s">
        <v>187</v>
      </c>
      <c r="C489" s="50" t="str">
        <f>_xlfn.XLOOKUP(B489,CLIENTES!$A$2:$A$301,CLIENTES!$B$2:$B$301)</f>
        <v>Victoria Sosa</v>
      </c>
      <c r="D489" s="60">
        <v>46003</v>
      </c>
      <c r="E489" s="60">
        <f t="shared" si="21"/>
        <v>46368</v>
      </c>
      <c r="F489" s="50" t="s">
        <v>1598</v>
      </c>
      <c r="G489" s="56" t="s">
        <v>1605</v>
      </c>
      <c r="H489" s="47">
        <v>73</v>
      </c>
      <c r="I489" s="60">
        <v>19553</v>
      </c>
      <c r="J489" s="56" t="s">
        <v>1611</v>
      </c>
      <c r="K489" s="56">
        <v>2024</v>
      </c>
      <c r="L489" s="52">
        <f t="shared" si="22"/>
        <v>118927.3995</v>
      </c>
      <c r="M489" s="56">
        <f>LISTAS!$B$22*_xlfn.XLOOKUP(G489,LISTAS!$B$27:$B$36,LISTAS!$A$27:$A$36)*_xlfn.XLOOKUP(H489,LISTAS!$B$38:$B$47,LISTAS!$A$38:$A$47,,-1)*_xlfn.XLOOKUP(J489,LISTAS!$E$26:$H$26,LISTAS!$E$48:$H$48)*_xlfn.XLOOKUP(F489,LISTAS!$A$15:$A$18,LISTAS!$H$15:$H$18)</f>
        <v>3.7673999999999999E-2</v>
      </c>
      <c r="N489" s="54" cm="1">
        <f t="array" ref="N489">_xlfn.XLOOKUP(K489,LISTAS!$D$27:$D$47,_xlfn.XLOOKUP(J489,LISTAS!$E$26:$H$26,LISTAS!$E$27:$H$47))</f>
        <v>37881000</v>
      </c>
      <c r="O489" s="56" t="s">
        <v>1623</v>
      </c>
      <c r="P489" s="76" t="str">
        <f t="shared" ca="1" si="23"/>
        <v>Vigente</v>
      </c>
    </row>
    <row r="490" spans="1:16" x14ac:dyDescent="0.3">
      <c r="A490" s="58" t="s">
        <v>780</v>
      </c>
      <c r="B490" s="56" t="s">
        <v>214</v>
      </c>
      <c r="C490" s="50" t="str">
        <f>_xlfn.XLOOKUP(B490,CLIENTES!$A$2:$A$301,CLIENTES!$B$2:$B$301)</f>
        <v>Sofía Cabrera</v>
      </c>
      <c r="D490" s="60">
        <v>45721</v>
      </c>
      <c r="E490" s="60">
        <f t="shared" si="21"/>
        <v>46086</v>
      </c>
      <c r="F490" s="50" t="s">
        <v>1596</v>
      </c>
      <c r="G490" s="56" t="s">
        <v>1605</v>
      </c>
      <c r="H490" s="47">
        <v>19</v>
      </c>
      <c r="I490" s="60">
        <v>39086</v>
      </c>
      <c r="J490" s="56" t="s">
        <v>1611</v>
      </c>
      <c r="K490" s="56">
        <v>2026</v>
      </c>
      <c r="L490" s="52">
        <f t="shared" si="22"/>
        <v>98971.875</v>
      </c>
      <c r="M490" s="56">
        <f>LISTAS!$B$22*_xlfn.XLOOKUP(G490,LISTAS!$B$27:$B$36,LISTAS!$A$27:$A$36)*_xlfn.XLOOKUP(H490,LISTAS!$B$38:$B$47,LISTAS!$A$38:$A$47,,-1)*_xlfn.XLOOKUP(J490,LISTAS!$E$26:$H$26,LISTAS!$E$48:$H$48)*_xlfn.XLOOKUP(F490,LISTAS!$A$15:$A$18,LISTAS!$H$15:$H$18)</f>
        <v>2.6392499999999999E-2</v>
      </c>
      <c r="N490" s="54" cm="1">
        <f t="array" ref="N490">_xlfn.XLOOKUP(K490,LISTAS!$D$27:$D$47,_xlfn.XLOOKUP(J490,LISTAS!$E$26:$H$26,LISTAS!$E$27:$H$47))</f>
        <v>45000000</v>
      </c>
      <c r="O490" s="56" t="s">
        <v>1625</v>
      </c>
      <c r="P490" s="76" t="str">
        <f t="shared" ca="1" si="23"/>
        <v>Vencida</v>
      </c>
    </row>
    <row r="491" spans="1:16" x14ac:dyDescent="0.3">
      <c r="A491" s="58" t="s">
        <v>781</v>
      </c>
      <c r="B491" s="56" t="s">
        <v>51</v>
      </c>
      <c r="C491" s="50" t="str">
        <f>_xlfn.XLOOKUP(B491,CLIENTES!$A$2:$A$301,CLIENTES!$B$2:$B$301)</f>
        <v>Ignacio Silva</v>
      </c>
      <c r="D491" s="60">
        <v>44907</v>
      </c>
      <c r="E491" s="60">
        <f t="shared" si="21"/>
        <v>45272</v>
      </c>
      <c r="F491" s="50" t="s">
        <v>1597</v>
      </c>
      <c r="G491" s="56" t="s">
        <v>1602</v>
      </c>
      <c r="H491" s="47">
        <v>48</v>
      </c>
      <c r="I491" s="60">
        <v>28504</v>
      </c>
      <c r="J491" s="56" t="s">
        <v>1611</v>
      </c>
      <c r="K491" s="56">
        <v>2023</v>
      </c>
      <c r="L491" s="52">
        <f t="shared" si="22"/>
        <v>72496.770499999999</v>
      </c>
      <c r="M491" s="56">
        <f>LISTAS!$B$22*_xlfn.XLOOKUP(G491,LISTAS!$B$27:$B$36,LISTAS!$A$27:$A$36)*_xlfn.XLOOKUP(H491,LISTAS!$B$38:$B$47,LISTAS!$A$38:$A$47,,-1)*_xlfn.XLOOKUP(J491,LISTAS!$E$26:$H$26,LISTAS!$E$48:$H$48)*_xlfn.XLOOKUP(F491,LISTAS!$A$15:$A$18,LISTAS!$H$15:$H$18)</f>
        <v>2.5236749999999999E-2</v>
      </c>
      <c r="N491" s="54" cm="1">
        <f t="array" ref="N491">_xlfn.XLOOKUP(K491,LISTAS!$D$27:$D$47,_xlfn.XLOOKUP(J491,LISTAS!$E$26:$H$26,LISTAS!$E$27:$H$47))</f>
        <v>34472000</v>
      </c>
      <c r="O491" s="56" t="s">
        <v>1623</v>
      </c>
      <c r="P491" s="76" t="str">
        <f t="shared" ca="1" si="23"/>
        <v>Vencida</v>
      </c>
    </row>
    <row r="492" spans="1:16" x14ac:dyDescent="0.3">
      <c r="A492" s="58" t="s">
        <v>782</v>
      </c>
      <c r="B492" s="56" t="s">
        <v>155</v>
      </c>
      <c r="C492" s="50" t="str">
        <f>_xlfn.XLOOKUP(B492,CLIENTES!$A$2:$A$301,CLIENTES!$B$2:$B$301)</f>
        <v>Maximiliano Flores</v>
      </c>
      <c r="D492" s="60">
        <v>44459</v>
      </c>
      <c r="E492" s="60">
        <f t="shared" si="21"/>
        <v>44824</v>
      </c>
      <c r="F492" s="50" t="s">
        <v>1598</v>
      </c>
      <c r="G492" s="56" t="s">
        <v>1599</v>
      </c>
      <c r="H492" s="47">
        <v>47</v>
      </c>
      <c r="I492" s="60">
        <v>28725</v>
      </c>
      <c r="J492" s="56" t="s">
        <v>1610</v>
      </c>
      <c r="K492" s="56">
        <v>2022</v>
      </c>
      <c r="L492" s="52">
        <f t="shared" si="22"/>
        <v>75760.827999999994</v>
      </c>
      <c r="M492" s="56">
        <f>LISTAS!$B$22*_xlfn.XLOOKUP(G492,LISTAS!$B$27:$B$36,LISTAS!$A$27:$A$36)*_xlfn.XLOOKUP(H492,LISTAS!$B$38:$B$47,LISTAS!$A$38:$A$47,,-1)*_xlfn.XLOOKUP(J492,LISTAS!$E$26:$H$26,LISTAS!$E$48:$H$48)*_xlfn.XLOOKUP(F492,LISTAS!$A$15:$A$18,LISTAS!$H$15:$H$18)</f>
        <v>3.2604000000000001E-2</v>
      </c>
      <c r="N492" s="54" cm="1">
        <f t="array" ref="N492">_xlfn.XLOOKUP(K492,LISTAS!$D$27:$D$47,_xlfn.XLOOKUP(J492,LISTAS!$E$26:$H$26,LISTAS!$E$27:$H$47))</f>
        <v>27884000</v>
      </c>
      <c r="O492" s="56" t="s">
        <v>1624</v>
      </c>
      <c r="P492" s="76" t="str">
        <f t="shared" ca="1" si="23"/>
        <v>Vencida</v>
      </c>
    </row>
    <row r="493" spans="1:16" x14ac:dyDescent="0.3">
      <c r="A493" s="58" t="s">
        <v>783</v>
      </c>
      <c r="B493" s="56" t="s">
        <v>33</v>
      </c>
      <c r="C493" s="50" t="str">
        <f>_xlfn.XLOOKUP(B493,CLIENTES!$A$2:$A$301,CLIENTES!$B$2:$B$301)</f>
        <v>Daniel Suárez</v>
      </c>
      <c r="D493" s="60">
        <v>44969</v>
      </c>
      <c r="E493" s="60">
        <f t="shared" si="21"/>
        <v>45334</v>
      </c>
      <c r="F493" s="50" t="s">
        <v>1596</v>
      </c>
      <c r="G493" s="56" t="s">
        <v>1603</v>
      </c>
      <c r="H493" s="47">
        <v>59</v>
      </c>
      <c r="I493" s="60">
        <v>24416</v>
      </c>
      <c r="J493" s="56" t="s">
        <v>1612</v>
      </c>
      <c r="K493" s="56">
        <v>2021</v>
      </c>
      <c r="L493" s="52">
        <f t="shared" si="22"/>
        <v>28685.024374999997</v>
      </c>
      <c r="M493" s="56">
        <f>LISTAS!$B$22*_xlfn.XLOOKUP(G493,LISTAS!$B$27:$B$36,LISTAS!$A$27:$A$36)*_xlfn.XLOOKUP(H493,LISTAS!$B$38:$B$47,LISTAS!$A$38:$A$47,,-1)*_xlfn.XLOOKUP(J493,LISTAS!$E$26:$H$26,LISTAS!$E$48:$H$48)*_xlfn.XLOOKUP(F493,LISTAS!$A$15:$A$18,LISTAS!$H$15:$H$18)</f>
        <v>1.69575E-2</v>
      </c>
      <c r="N493" s="54" cm="1">
        <f t="array" ref="N493">_xlfn.XLOOKUP(K493,LISTAS!$D$27:$D$47,_xlfn.XLOOKUP(J493,LISTAS!$E$26:$H$26,LISTAS!$E$27:$H$47))</f>
        <v>20299000</v>
      </c>
      <c r="O493" s="56" t="s">
        <v>1626</v>
      </c>
      <c r="P493" s="76" t="str">
        <f t="shared" ca="1" si="23"/>
        <v>Vencida</v>
      </c>
    </row>
    <row r="494" spans="1:16" x14ac:dyDescent="0.3">
      <c r="A494" s="58" t="s">
        <v>784</v>
      </c>
      <c r="B494" s="56" t="s">
        <v>240</v>
      </c>
      <c r="C494" s="50" t="str">
        <f>_xlfn.XLOOKUP(B494,CLIENTES!$A$2:$A$301,CLIENTES!$B$2:$B$301)</f>
        <v>Rodrigo Cabrera</v>
      </c>
      <c r="D494" s="60">
        <v>45917</v>
      </c>
      <c r="E494" s="60">
        <f t="shared" si="21"/>
        <v>46282</v>
      </c>
      <c r="F494" s="50" t="s">
        <v>1596</v>
      </c>
      <c r="G494" s="56" t="s">
        <v>1608</v>
      </c>
      <c r="H494" s="47">
        <v>28</v>
      </c>
      <c r="I494" s="60">
        <v>35683</v>
      </c>
      <c r="J494" s="56" t="s">
        <v>1612</v>
      </c>
      <c r="K494" s="56">
        <v>2020</v>
      </c>
      <c r="L494" s="52">
        <f t="shared" si="22"/>
        <v>31323.894</v>
      </c>
      <c r="M494" s="56">
        <f>LISTAS!$B$22*_xlfn.XLOOKUP(G494,LISTAS!$B$27:$B$36,LISTAS!$A$27:$A$36)*_xlfn.XLOOKUP(H494,LISTAS!$B$38:$B$47,LISTAS!$A$38:$A$47,,-1)*_xlfn.XLOOKUP(J494,LISTAS!$E$26:$H$26,LISTAS!$E$48:$H$48)*_xlfn.XLOOKUP(F494,LISTAS!$A$15:$A$18,LISTAS!$H$15:$H$18)</f>
        <v>2.0348999999999999E-2</v>
      </c>
      <c r="N494" s="54" cm="1">
        <f t="array" ref="N494">_xlfn.XLOOKUP(K494,LISTAS!$D$27:$D$47,_xlfn.XLOOKUP(J494,LISTAS!$E$26:$H$26,LISTAS!$E$27:$H$47))</f>
        <v>18472000</v>
      </c>
      <c r="O494" s="56" t="s">
        <v>1623</v>
      </c>
      <c r="P494" s="76" t="str">
        <f t="shared" ca="1" si="23"/>
        <v>Vencida</v>
      </c>
    </row>
    <row r="495" spans="1:16" x14ac:dyDescent="0.3">
      <c r="A495" s="58" t="s">
        <v>785</v>
      </c>
      <c r="B495" s="56" t="s">
        <v>114</v>
      </c>
      <c r="C495" s="50" t="str">
        <f>_xlfn.XLOOKUP(B495,CLIENTES!$A$2:$A$301,CLIENTES!$B$2:$B$301)</f>
        <v>Mariana López</v>
      </c>
      <c r="D495" s="60">
        <v>45936</v>
      </c>
      <c r="E495" s="60">
        <f t="shared" si="21"/>
        <v>46301</v>
      </c>
      <c r="F495" s="50" t="s">
        <v>1595</v>
      </c>
      <c r="G495" s="56" t="s">
        <v>1607</v>
      </c>
      <c r="H495" s="47">
        <v>31</v>
      </c>
      <c r="I495" s="60">
        <v>34808</v>
      </c>
      <c r="J495" s="56" t="s">
        <v>1609</v>
      </c>
      <c r="K495" s="56">
        <v>2025</v>
      </c>
      <c r="L495" s="52">
        <f t="shared" si="22"/>
        <v>25300.000000000004</v>
      </c>
      <c r="M495" s="56">
        <f>LISTAS!$B$22*_xlfn.XLOOKUP(G495,LISTAS!$B$27:$B$36,LISTAS!$A$27:$A$36)*_xlfn.XLOOKUP(H495,LISTAS!$B$38:$B$47,LISTAS!$A$38:$A$47,,-1)*_xlfn.XLOOKUP(J495,LISTAS!$E$26:$H$26,LISTAS!$E$48:$H$48)*_xlfn.XLOOKUP(F495,LISTAS!$A$15:$A$18,LISTAS!$H$15:$H$18)</f>
        <v>1.3200000000000002E-2</v>
      </c>
      <c r="N495" s="54" cm="1">
        <f t="array" ref="N495">_xlfn.XLOOKUP(K495,LISTAS!$D$27:$D$47,_xlfn.XLOOKUP(J495,LISTAS!$E$26:$H$26,LISTAS!$E$27:$H$47))</f>
        <v>23000000</v>
      </c>
      <c r="O495" s="56" t="s">
        <v>1624</v>
      </c>
      <c r="P495" s="76" t="str">
        <f t="shared" ca="1" si="23"/>
        <v>Vigente</v>
      </c>
    </row>
    <row r="496" spans="1:16" x14ac:dyDescent="0.3">
      <c r="A496" s="58" t="s">
        <v>786</v>
      </c>
      <c r="B496" s="56" t="s">
        <v>235</v>
      </c>
      <c r="C496" s="50" t="str">
        <f>_xlfn.XLOOKUP(B496,CLIENTES!$A$2:$A$301,CLIENTES!$B$2:$B$301)</f>
        <v>Rodrigo Cabrera</v>
      </c>
      <c r="D496" s="60">
        <v>45548</v>
      </c>
      <c r="E496" s="60">
        <f t="shared" si="21"/>
        <v>45913</v>
      </c>
      <c r="F496" s="50" t="s">
        <v>1598</v>
      </c>
      <c r="G496" s="56" t="s">
        <v>1605</v>
      </c>
      <c r="H496" s="47">
        <v>43</v>
      </c>
      <c r="I496" s="60">
        <v>30531</v>
      </c>
      <c r="J496" s="56" t="s">
        <v>1611</v>
      </c>
      <c r="K496" s="56">
        <v>2025</v>
      </c>
      <c r="L496" s="52">
        <f t="shared" si="22"/>
        <v>88197.525000000009</v>
      </c>
      <c r="M496" s="56">
        <f>LISTAS!$B$22*_xlfn.XLOOKUP(G496,LISTAS!$B$27:$B$36,LISTAS!$A$27:$A$36)*_xlfn.XLOOKUP(H496,LISTAS!$B$38:$B$47,LISTAS!$A$38:$A$47,,-1)*_xlfn.XLOOKUP(J496,LISTAS!$E$26:$H$26,LISTAS!$E$48:$H$48)*_xlfn.XLOOKUP(F496,LISTAS!$A$15:$A$18,LISTAS!$H$15:$H$18)</f>
        <v>2.55645E-2</v>
      </c>
      <c r="N496" s="54" cm="1">
        <f t="array" ref="N496">_xlfn.XLOOKUP(K496,LISTAS!$D$27:$D$47,_xlfn.XLOOKUP(J496,LISTAS!$E$26:$H$26,LISTAS!$E$27:$H$47))</f>
        <v>41400000</v>
      </c>
      <c r="O496" s="56" t="s">
        <v>1623</v>
      </c>
      <c r="P496" s="76" t="str">
        <f t="shared" ca="1" si="23"/>
        <v>Vencida</v>
      </c>
    </row>
    <row r="497" spans="1:16" x14ac:dyDescent="0.3">
      <c r="A497" s="58" t="s">
        <v>787</v>
      </c>
      <c r="B497" s="56" t="s">
        <v>23</v>
      </c>
      <c r="C497" s="50" t="str">
        <f>_xlfn.XLOOKUP(B497,CLIENTES!$A$2:$A$301,CLIENTES!$B$2:$B$301)</f>
        <v>Tomás Álvarez</v>
      </c>
      <c r="D497" s="60">
        <v>45408</v>
      </c>
      <c r="E497" s="60">
        <f t="shared" si="21"/>
        <v>45773</v>
      </c>
      <c r="F497" s="50" t="s">
        <v>1597</v>
      </c>
      <c r="G497" s="56" t="s">
        <v>1604</v>
      </c>
      <c r="H497" s="47">
        <v>23</v>
      </c>
      <c r="I497" s="60">
        <v>37764</v>
      </c>
      <c r="J497" s="56" t="s">
        <v>1612</v>
      </c>
      <c r="K497" s="56">
        <v>2022</v>
      </c>
      <c r="L497" s="52">
        <f t="shared" si="22"/>
        <v>60868.832062500012</v>
      </c>
      <c r="M497" s="56">
        <f>LISTAS!$B$22*_xlfn.XLOOKUP(G497,LISTAS!$B$27:$B$36,LISTAS!$A$27:$A$36)*_xlfn.XLOOKUP(H497,LISTAS!$B$38:$B$47,LISTAS!$A$38:$A$47,,-1)*_xlfn.XLOOKUP(J497,LISTAS!$E$26:$H$26,LISTAS!$E$48:$H$48)*_xlfn.XLOOKUP(F497,LISTAS!$A$15:$A$18,LISTAS!$H$15:$H$18)</f>
        <v>3.2744250000000009E-2</v>
      </c>
      <c r="N497" s="54" cm="1">
        <f t="array" ref="N497">_xlfn.XLOOKUP(K497,LISTAS!$D$27:$D$47,_xlfn.XLOOKUP(J497,LISTAS!$E$26:$H$26,LISTAS!$E$27:$H$47))</f>
        <v>22307000</v>
      </c>
      <c r="O497" s="56" t="s">
        <v>1623</v>
      </c>
      <c r="P497" s="76" t="str">
        <f t="shared" ca="1" si="23"/>
        <v>Vencida</v>
      </c>
    </row>
    <row r="498" spans="1:16" x14ac:dyDescent="0.3">
      <c r="A498" s="58" t="s">
        <v>788</v>
      </c>
      <c r="B498" s="56" t="s">
        <v>95</v>
      </c>
      <c r="C498" s="50" t="str">
        <f>_xlfn.XLOOKUP(B498,CLIENTES!$A$2:$A$301,CLIENTES!$B$2:$B$301)</f>
        <v>Paula Correa</v>
      </c>
      <c r="D498" s="60">
        <v>46044</v>
      </c>
      <c r="E498" s="60">
        <f t="shared" si="21"/>
        <v>46409</v>
      </c>
      <c r="F498" s="50" t="s">
        <v>1595</v>
      </c>
      <c r="G498" s="56" t="s">
        <v>1601</v>
      </c>
      <c r="H498" s="47">
        <v>30</v>
      </c>
      <c r="I498" s="60">
        <v>35024</v>
      </c>
      <c r="J498" s="56" t="s">
        <v>1612</v>
      </c>
      <c r="K498" s="56">
        <v>2013</v>
      </c>
      <c r="L498" s="52">
        <f t="shared" si="22"/>
        <v>12041.19</v>
      </c>
      <c r="M498" s="56">
        <f>LISTAS!$B$22*_xlfn.XLOOKUP(G498,LISTAS!$B$27:$B$36,LISTAS!$A$27:$A$36)*_xlfn.XLOOKUP(H498,LISTAS!$B$38:$B$47,LISTAS!$A$38:$A$47,,-1)*_xlfn.XLOOKUP(J498,LISTAS!$E$26:$H$26,LISTAS!$E$48:$H$48)*_xlfn.XLOOKUP(F498,LISTAS!$A$15:$A$18,LISTAS!$H$15:$H$18)</f>
        <v>1.4489999999999999E-2</v>
      </c>
      <c r="N498" s="54" cm="1">
        <f t="array" ref="N498">_xlfn.XLOOKUP(K498,LISTAS!$D$27:$D$47,_xlfn.XLOOKUP(J498,LISTAS!$E$26:$H$26,LISTAS!$E$27:$H$47))</f>
        <v>9972000</v>
      </c>
      <c r="O498" s="56" t="s">
        <v>1623</v>
      </c>
      <c r="P498" s="76" t="str">
        <f t="shared" ca="1" si="23"/>
        <v>Vigente</v>
      </c>
    </row>
    <row r="499" spans="1:16" x14ac:dyDescent="0.3">
      <c r="A499" s="58" t="s">
        <v>789</v>
      </c>
      <c r="B499" s="56" t="s">
        <v>247</v>
      </c>
      <c r="C499" s="50" t="str">
        <f>_xlfn.XLOOKUP(B499,CLIENTES!$A$2:$A$301,CLIENTES!$B$2:$B$301)</f>
        <v>Rodrigo Navarro</v>
      </c>
      <c r="D499" s="60">
        <v>44641</v>
      </c>
      <c r="E499" s="60">
        <f t="shared" si="21"/>
        <v>45006</v>
      </c>
      <c r="F499" s="50" t="s">
        <v>1597</v>
      </c>
      <c r="G499" s="56" t="s">
        <v>1604</v>
      </c>
      <c r="H499" s="47">
        <v>33</v>
      </c>
      <c r="I499" s="60">
        <v>34031</v>
      </c>
      <c r="J499" s="56" t="s">
        <v>1609</v>
      </c>
      <c r="K499" s="56">
        <v>2009</v>
      </c>
      <c r="L499" s="52">
        <f t="shared" si="22"/>
        <v>11218.900000000001</v>
      </c>
      <c r="M499" s="56">
        <f>LISTAS!$B$22*_xlfn.XLOOKUP(G499,LISTAS!$B$27:$B$36,LISTAS!$A$27:$A$36)*_xlfn.XLOOKUP(H499,LISTAS!$B$38:$B$47,LISTAS!$A$38:$A$47,,-1)*_xlfn.XLOOKUP(J499,LISTAS!$E$26:$H$26,LISTAS!$E$48:$H$48)*_xlfn.XLOOKUP(F499,LISTAS!$A$15:$A$18,LISTAS!$H$15:$H$18)</f>
        <v>2.3100000000000002E-2</v>
      </c>
      <c r="N499" s="54" cm="1">
        <f t="array" ref="N499">_xlfn.XLOOKUP(K499,LISTAS!$D$27:$D$47,_xlfn.XLOOKUP(J499,LISTAS!$E$26:$H$26,LISTAS!$E$27:$H$47))</f>
        <v>5828000</v>
      </c>
      <c r="O499" s="56" t="s">
        <v>1623</v>
      </c>
      <c r="P499" s="76" t="str">
        <f t="shared" ca="1" si="23"/>
        <v>Vencida</v>
      </c>
    </row>
    <row r="500" spans="1:16" x14ac:dyDescent="0.3">
      <c r="A500" s="58" t="s">
        <v>790</v>
      </c>
      <c r="B500" s="56" t="s">
        <v>277</v>
      </c>
      <c r="C500" s="50" t="str">
        <f>_xlfn.XLOOKUP(B500,CLIENTES!$A$2:$A$301,CLIENTES!$B$2:$B$301)</f>
        <v>Mateo Díaz</v>
      </c>
      <c r="D500" s="60">
        <v>46195</v>
      </c>
      <c r="E500" s="60">
        <f t="shared" si="21"/>
        <v>46560</v>
      </c>
      <c r="F500" s="50" t="s">
        <v>1595</v>
      </c>
      <c r="G500" s="56" t="s">
        <v>1602</v>
      </c>
      <c r="H500" s="47">
        <v>39</v>
      </c>
      <c r="I500" s="60">
        <v>31856</v>
      </c>
      <c r="J500" s="56" t="s">
        <v>1612</v>
      </c>
      <c r="K500" s="56">
        <v>2024</v>
      </c>
      <c r="L500" s="52">
        <f t="shared" si="22"/>
        <v>29699.145000000004</v>
      </c>
      <c r="M500" s="56">
        <f>LISTAS!$B$22*_xlfn.XLOOKUP(G500,LISTAS!$B$27:$B$36,LISTAS!$A$27:$A$36)*_xlfn.XLOOKUP(H500,LISTAS!$B$38:$B$47,LISTAS!$A$38:$A$47,,-1)*_xlfn.XLOOKUP(J500,LISTAS!$E$26:$H$26,LISTAS!$E$48:$H$48)*_xlfn.XLOOKUP(F500,LISTAS!$A$15:$A$18,LISTAS!$H$15:$H$18)</f>
        <v>1.3230000000000002E-2</v>
      </c>
      <c r="N500" s="54" cm="1">
        <f t="array" ref="N500">_xlfn.XLOOKUP(K500,LISTAS!$D$27:$D$47,_xlfn.XLOOKUP(J500,LISTAS!$E$26:$H$26,LISTAS!$E$27:$H$47))</f>
        <v>26938000</v>
      </c>
      <c r="O500" s="56" t="s">
        <v>1623</v>
      </c>
      <c r="P500" s="76" t="str">
        <f t="shared" ca="1" si="23"/>
        <v>Vigente</v>
      </c>
    </row>
    <row r="501" spans="1:16" x14ac:dyDescent="0.3">
      <c r="A501" s="58" t="s">
        <v>791</v>
      </c>
      <c r="B501" s="56" t="s">
        <v>273</v>
      </c>
      <c r="C501" s="50" t="str">
        <f>_xlfn.XLOOKUP(B501,CLIENTES!$A$2:$A$301,CLIENTES!$B$2:$B$301)</f>
        <v>Nicolás Ramírez</v>
      </c>
      <c r="D501" s="60">
        <v>45500</v>
      </c>
      <c r="E501" s="60">
        <f t="shared" si="21"/>
        <v>45865</v>
      </c>
      <c r="F501" s="50" t="s">
        <v>1598</v>
      </c>
      <c r="G501" s="56" t="s">
        <v>1600</v>
      </c>
      <c r="H501" s="47">
        <v>20</v>
      </c>
      <c r="I501" s="60">
        <v>38675</v>
      </c>
      <c r="J501" s="56" t="s">
        <v>1612</v>
      </c>
      <c r="K501" s="56">
        <v>2024</v>
      </c>
      <c r="L501" s="52">
        <f t="shared" si="22"/>
        <v>105714.81375000003</v>
      </c>
      <c r="M501" s="56">
        <f>LISTAS!$B$22*_xlfn.XLOOKUP(G501,LISTAS!$B$27:$B$36,LISTAS!$A$27:$A$36)*_xlfn.XLOOKUP(H501,LISTAS!$B$38:$B$47,LISTAS!$A$38:$A$47,,-1)*_xlfn.XLOOKUP(J501,LISTAS!$E$26:$H$26,LISTAS!$E$48:$H$48)*_xlfn.XLOOKUP(F501,LISTAS!$A$15:$A$18,LISTAS!$H$15:$H$18)</f>
        <v>4.7092500000000009E-2</v>
      </c>
      <c r="N501" s="54" cm="1">
        <f t="array" ref="N501">_xlfn.XLOOKUP(K501,LISTAS!$D$27:$D$47,_xlfn.XLOOKUP(J501,LISTAS!$E$26:$H$26,LISTAS!$E$27:$H$47))</f>
        <v>26938000</v>
      </c>
      <c r="O501" s="56" t="s">
        <v>1623</v>
      </c>
      <c r="P501" s="76" t="str">
        <f t="shared" ca="1" si="23"/>
        <v>Vencida</v>
      </c>
    </row>
    <row r="502" spans="1:16" x14ac:dyDescent="0.3">
      <c r="A502" s="58" t="s">
        <v>792</v>
      </c>
      <c r="B502" s="56" t="s">
        <v>95</v>
      </c>
      <c r="C502" s="50" t="str">
        <f>_xlfn.XLOOKUP(B502,CLIENTES!$A$2:$A$301,CLIENTES!$B$2:$B$301)</f>
        <v>Paula Correa</v>
      </c>
      <c r="D502" s="60">
        <v>44881</v>
      </c>
      <c r="E502" s="60">
        <f t="shared" si="21"/>
        <v>45246</v>
      </c>
      <c r="F502" s="50" t="s">
        <v>1598</v>
      </c>
      <c r="G502" s="56" t="s">
        <v>1606</v>
      </c>
      <c r="H502" s="47">
        <v>68</v>
      </c>
      <c r="I502" s="60">
        <v>21300</v>
      </c>
      <c r="J502" s="56" t="s">
        <v>1609</v>
      </c>
      <c r="K502" s="56">
        <v>2019</v>
      </c>
      <c r="L502" s="52">
        <f t="shared" si="22"/>
        <v>32723.058333333334</v>
      </c>
      <c r="M502" s="56">
        <f>LISTAS!$B$22*_xlfn.XLOOKUP(G502,LISTAS!$B$27:$B$36,LISTAS!$A$27:$A$36)*_xlfn.XLOOKUP(H502,LISTAS!$B$38:$B$47,LISTAS!$A$38:$A$47,,-1)*_xlfn.XLOOKUP(J502,LISTAS!$E$26:$H$26,LISTAS!$E$48:$H$48)*_xlfn.XLOOKUP(F502,LISTAS!$A$15:$A$18,LISTAS!$H$15:$H$18)</f>
        <v>2.9899999999999999E-2</v>
      </c>
      <c r="N502" s="54" cm="1">
        <f t="array" ref="N502">_xlfn.XLOOKUP(K502,LISTAS!$D$27:$D$47,_xlfn.XLOOKUP(J502,LISTAS!$E$26:$H$26,LISTAS!$E$27:$H$47))</f>
        <v>13133000</v>
      </c>
      <c r="O502" s="56" t="s">
        <v>1623</v>
      </c>
      <c r="P502" s="76" t="str">
        <f t="shared" ca="1" si="23"/>
        <v>Vencida</v>
      </c>
    </row>
    <row r="503" spans="1:16" x14ac:dyDescent="0.3">
      <c r="A503" s="58" t="s">
        <v>793</v>
      </c>
      <c r="B503" s="56" t="s">
        <v>110</v>
      </c>
      <c r="C503" s="50" t="str">
        <f>_xlfn.XLOOKUP(B503,CLIENTES!$A$2:$A$301,CLIENTES!$B$2:$B$301)</f>
        <v>Valentina Ponce</v>
      </c>
      <c r="D503" s="60">
        <v>44646</v>
      </c>
      <c r="E503" s="60">
        <f t="shared" si="21"/>
        <v>45011</v>
      </c>
      <c r="F503" s="50" t="s">
        <v>1597</v>
      </c>
      <c r="G503" s="56" t="s">
        <v>1604</v>
      </c>
      <c r="H503" s="47">
        <v>65</v>
      </c>
      <c r="I503" s="60">
        <v>22463</v>
      </c>
      <c r="J503" s="56" t="s">
        <v>1610</v>
      </c>
      <c r="K503" s="56">
        <v>2021</v>
      </c>
      <c r="L503" s="52">
        <f t="shared" si="22"/>
        <v>61788.861750000018</v>
      </c>
      <c r="M503" s="56">
        <f>LISTAS!$B$22*_xlfn.XLOOKUP(G503,LISTAS!$B$27:$B$36,LISTAS!$A$27:$A$36)*_xlfn.XLOOKUP(H503,LISTAS!$B$38:$B$47,LISTAS!$A$38:$A$47,,-1)*_xlfn.XLOOKUP(J503,LISTAS!$E$26:$H$26,LISTAS!$E$48:$H$48)*_xlfn.XLOOKUP(F503,LISTAS!$A$15:$A$18,LISTAS!$H$15:$H$18)</f>
        <v>2.9221500000000008E-2</v>
      </c>
      <c r="N503" s="54" cm="1">
        <f t="array" ref="N503">_xlfn.XLOOKUP(K503,LISTAS!$D$27:$D$47,_xlfn.XLOOKUP(J503,LISTAS!$E$26:$H$26,LISTAS!$E$27:$H$47))</f>
        <v>25374000</v>
      </c>
      <c r="O503" s="56" t="s">
        <v>1623</v>
      </c>
      <c r="P503" s="76" t="str">
        <f t="shared" ca="1" si="23"/>
        <v>Vencida</v>
      </c>
    </row>
    <row r="504" spans="1:16" x14ac:dyDescent="0.3">
      <c r="A504" s="58" t="s">
        <v>794</v>
      </c>
      <c r="B504" s="56" t="s">
        <v>116</v>
      </c>
      <c r="C504" s="50" t="str">
        <f>_xlfn.XLOOKUP(B504,CLIENTES!$A$2:$A$301,CLIENTES!$B$2:$B$301)</f>
        <v>Martina Pereyra</v>
      </c>
      <c r="D504" s="60">
        <v>45444</v>
      </c>
      <c r="E504" s="60">
        <f t="shared" si="21"/>
        <v>45809</v>
      </c>
      <c r="F504" s="50" t="s">
        <v>1597</v>
      </c>
      <c r="G504" s="56" t="s">
        <v>1602</v>
      </c>
      <c r="H504" s="47">
        <v>67</v>
      </c>
      <c r="I504" s="60">
        <v>21679</v>
      </c>
      <c r="J504" s="56" t="s">
        <v>1610</v>
      </c>
      <c r="K504" s="56">
        <v>2021</v>
      </c>
      <c r="L504" s="52">
        <f t="shared" si="22"/>
        <v>61788.861750000018</v>
      </c>
      <c r="M504" s="56">
        <f>LISTAS!$B$22*_xlfn.XLOOKUP(G504,LISTAS!$B$27:$B$36,LISTAS!$A$27:$A$36)*_xlfn.XLOOKUP(H504,LISTAS!$B$38:$B$47,LISTAS!$A$38:$A$47,,-1)*_xlfn.XLOOKUP(J504,LISTAS!$E$26:$H$26,LISTAS!$E$48:$H$48)*_xlfn.XLOOKUP(F504,LISTAS!$A$15:$A$18,LISTAS!$H$15:$H$18)</f>
        <v>2.9221500000000008E-2</v>
      </c>
      <c r="N504" s="54" cm="1">
        <f t="array" ref="N504">_xlfn.XLOOKUP(K504,LISTAS!$D$27:$D$47,_xlfn.XLOOKUP(J504,LISTAS!$E$26:$H$26,LISTAS!$E$27:$H$47))</f>
        <v>25374000</v>
      </c>
      <c r="O504" s="56" t="s">
        <v>1623</v>
      </c>
      <c r="P504" s="76" t="str">
        <f t="shared" ca="1" si="23"/>
        <v>Vencida</v>
      </c>
    </row>
    <row r="505" spans="1:16" x14ac:dyDescent="0.3">
      <c r="A505" s="58" t="s">
        <v>795</v>
      </c>
      <c r="B505" s="56" t="s">
        <v>185</v>
      </c>
      <c r="C505" s="50" t="str">
        <f>_xlfn.XLOOKUP(B505,CLIENTES!$A$2:$A$301,CLIENTES!$B$2:$B$301)</f>
        <v>Mateo Gómez</v>
      </c>
      <c r="D505" s="60">
        <v>44601</v>
      </c>
      <c r="E505" s="60">
        <f t="shared" si="21"/>
        <v>44966</v>
      </c>
      <c r="F505" s="50" t="s">
        <v>1596</v>
      </c>
      <c r="G505" s="56" t="s">
        <v>1608</v>
      </c>
      <c r="H505" s="47">
        <v>61</v>
      </c>
      <c r="I505" s="60">
        <v>23860</v>
      </c>
      <c r="J505" s="56" t="s">
        <v>1612</v>
      </c>
      <c r="K505" s="56">
        <v>2021</v>
      </c>
      <c r="L505" s="52">
        <f t="shared" si="22"/>
        <v>30119.275593750004</v>
      </c>
      <c r="M505" s="56">
        <f>LISTAS!$B$22*_xlfn.XLOOKUP(G505,LISTAS!$B$27:$B$36,LISTAS!$A$27:$A$36)*_xlfn.XLOOKUP(H505,LISTAS!$B$38:$B$47,LISTAS!$A$38:$A$47,,-1)*_xlfn.XLOOKUP(J505,LISTAS!$E$26:$H$26,LISTAS!$E$48:$H$48)*_xlfn.XLOOKUP(F505,LISTAS!$A$15:$A$18,LISTAS!$H$15:$H$18)</f>
        <v>1.7805375000000002E-2</v>
      </c>
      <c r="N505" s="54" cm="1">
        <f t="array" ref="N505">_xlfn.XLOOKUP(K505,LISTAS!$D$27:$D$47,_xlfn.XLOOKUP(J505,LISTAS!$E$26:$H$26,LISTAS!$E$27:$H$47))</f>
        <v>20299000</v>
      </c>
      <c r="O505" s="56" t="s">
        <v>1623</v>
      </c>
      <c r="P505" s="76" t="str">
        <f t="shared" ca="1" si="23"/>
        <v>Vencida</v>
      </c>
    </row>
    <row r="506" spans="1:16" x14ac:dyDescent="0.3">
      <c r="A506" s="58" t="s">
        <v>796</v>
      </c>
      <c r="B506" s="56" t="s">
        <v>190</v>
      </c>
      <c r="C506" s="50" t="str">
        <f>_xlfn.XLOOKUP(B506,CLIENTES!$A$2:$A$301,CLIENTES!$B$2:$B$301)</f>
        <v>Gabriel Herrera</v>
      </c>
      <c r="D506" s="60">
        <v>44548</v>
      </c>
      <c r="E506" s="60">
        <f t="shared" si="21"/>
        <v>44913</v>
      </c>
      <c r="F506" s="50" t="s">
        <v>1595</v>
      </c>
      <c r="G506" s="56" t="s">
        <v>1605</v>
      </c>
      <c r="H506" s="47">
        <v>80</v>
      </c>
      <c r="I506" s="60">
        <v>16863</v>
      </c>
      <c r="J506" s="56" t="s">
        <v>1609</v>
      </c>
      <c r="K506" s="56">
        <v>2024</v>
      </c>
      <c r="L506" s="52">
        <f t="shared" si="22"/>
        <v>27463.725000000002</v>
      </c>
      <c r="M506" s="56">
        <f>LISTAS!$B$22*_xlfn.XLOOKUP(G506,LISTAS!$B$27:$B$36,LISTAS!$A$27:$A$36)*_xlfn.XLOOKUP(H506,LISTAS!$B$38:$B$47,LISTAS!$A$38:$A$47,,-1)*_xlfn.XLOOKUP(J506,LISTAS!$E$26:$H$26,LISTAS!$E$48:$H$48)*_xlfn.XLOOKUP(F506,LISTAS!$A$15:$A$18,LISTAS!$H$15:$H$18)</f>
        <v>1.566E-2</v>
      </c>
      <c r="N506" s="54" cm="1">
        <f t="array" ref="N506">_xlfn.XLOOKUP(K506,LISTAS!$D$27:$D$47,_xlfn.XLOOKUP(J506,LISTAS!$E$26:$H$26,LISTAS!$E$27:$H$47))</f>
        <v>21045000</v>
      </c>
      <c r="O506" s="56" t="s">
        <v>1623</v>
      </c>
      <c r="P506" s="76" t="str">
        <f t="shared" ca="1" si="23"/>
        <v>Vencida</v>
      </c>
    </row>
    <row r="507" spans="1:16" x14ac:dyDescent="0.3">
      <c r="A507" s="58" t="s">
        <v>797</v>
      </c>
      <c r="B507" s="56" t="s">
        <v>197</v>
      </c>
      <c r="C507" s="50" t="str">
        <f>_xlfn.XLOOKUP(B507,CLIENTES!$A$2:$A$301,CLIENTES!$B$2:$B$301)</f>
        <v>Sofía Mansilla</v>
      </c>
      <c r="D507" s="60">
        <v>46103</v>
      </c>
      <c r="E507" s="60">
        <f t="shared" si="21"/>
        <v>46468</v>
      </c>
      <c r="F507" s="50" t="s">
        <v>1597</v>
      </c>
      <c r="G507" s="56" t="s">
        <v>1604</v>
      </c>
      <c r="H507" s="47">
        <v>44</v>
      </c>
      <c r="I507" s="60">
        <v>29991</v>
      </c>
      <c r="J507" s="56" t="s">
        <v>1611</v>
      </c>
      <c r="K507" s="56">
        <v>2025</v>
      </c>
      <c r="L507" s="52">
        <f t="shared" si="22"/>
        <v>87066.787499999991</v>
      </c>
      <c r="M507" s="56">
        <f>LISTAS!$B$22*_xlfn.XLOOKUP(G507,LISTAS!$B$27:$B$36,LISTAS!$A$27:$A$36)*_xlfn.XLOOKUP(H507,LISTAS!$B$38:$B$47,LISTAS!$A$38:$A$47,,-1)*_xlfn.XLOOKUP(J507,LISTAS!$E$26:$H$26,LISTAS!$E$48:$H$48)*_xlfn.XLOOKUP(F507,LISTAS!$A$15:$A$18,LISTAS!$H$15:$H$18)</f>
        <v>2.5236749999999999E-2</v>
      </c>
      <c r="N507" s="54" cm="1">
        <f t="array" ref="N507">_xlfn.XLOOKUP(K507,LISTAS!$D$27:$D$47,_xlfn.XLOOKUP(J507,LISTAS!$E$26:$H$26,LISTAS!$E$27:$H$47))</f>
        <v>41400000</v>
      </c>
      <c r="O507" s="56" t="s">
        <v>1626</v>
      </c>
      <c r="P507" s="76" t="str">
        <f t="shared" ca="1" si="23"/>
        <v>Vigente</v>
      </c>
    </row>
    <row r="508" spans="1:16" x14ac:dyDescent="0.3">
      <c r="A508" s="58" t="s">
        <v>798</v>
      </c>
      <c r="B508" s="56" t="s">
        <v>19</v>
      </c>
      <c r="C508" s="50" t="str">
        <f>_xlfn.XLOOKUP(B508,CLIENTES!$A$2:$A$301,CLIENTES!$B$2:$B$301)</f>
        <v>Daniela Silva</v>
      </c>
      <c r="D508" s="60">
        <v>45205</v>
      </c>
      <c r="E508" s="60">
        <f t="shared" si="21"/>
        <v>45571</v>
      </c>
      <c r="F508" s="50" t="s">
        <v>1595</v>
      </c>
      <c r="G508" s="56" t="s">
        <v>1603</v>
      </c>
      <c r="H508" s="47">
        <v>30</v>
      </c>
      <c r="I508" s="60">
        <v>35226</v>
      </c>
      <c r="J508" s="56" t="s">
        <v>1611</v>
      </c>
      <c r="K508" s="56">
        <v>2023</v>
      </c>
      <c r="L508" s="52">
        <f t="shared" si="22"/>
        <v>37660.659999999996</v>
      </c>
      <c r="M508" s="56">
        <f>LISTAS!$B$22*_xlfn.XLOOKUP(G508,LISTAS!$B$27:$B$36,LISTAS!$A$27:$A$36)*_xlfn.XLOOKUP(H508,LISTAS!$B$38:$B$47,LISTAS!$A$38:$A$47,,-1)*_xlfn.XLOOKUP(J508,LISTAS!$E$26:$H$26,LISTAS!$E$48:$H$48)*_xlfn.XLOOKUP(F508,LISTAS!$A$15:$A$18,LISTAS!$H$15:$H$18)</f>
        <v>1.3109999999999998E-2</v>
      </c>
      <c r="N508" s="54" cm="1">
        <f t="array" ref="N508">_xlfn.XLOOKUP(K508,LISTAS!$D$27:$D$47,_xlfn.XLOOKUP(J508,LISTAS!$E$26:$H$26,LISTAS!$E$27:$H$47))</f>
        <v>34472000</v>
      </c>
      <c r="O508" s="56" t="s">
        <v>1623</v>
      </c>
      <c r="P508" s="76" t="str">
        <f t="shared" ca="1" si="23"/>
        <v>Vencida</v>
      </c>
    </row>
    <row r="509" spans="1:16" x14ac:dyDescent="0.3">
      <c r="A509" s="58" t="s">
        <v>799</v>
      </c>
      <c r="B509" s="56" t="s">
        <v>66</v>
      </c>
      <c r="C509" s="50" t="str">
        <f>_xlfn.XLOOKUP(B509,CLIENTES!$A$2:$A$301,CLIENTES!$B$2:$B$301)</f>
        <v>Tomás Pérez</v>
      </c>
      <c r="D509" s="60">
        <v>45390</v>
      </c>
      <c r="E509" s="60">
        <f t="shared" si="21"/>
        <v>45755</v>
      </c>
      <c r="F509" s="50" t="s">
        <v>1597</v>
      </c>
      <c r="G509" s="56" t="s">
        <v>1604</v>
      </c>
      <c r="H509" s="47">
        <v>49</v>
      </c>
      <c r="I509" s="60">
        <v>28085</v>
      </c>
      <c r="J509" s="56" t="s">
        <v>1611</v>
      </c>
      <c r="K509" s="56">
        <v>2017</v>
      </c>
      <c r="L509" s="52">
        <f t="shared" si="22"/>
        <v>41167.448437499996</v>
      </c>
      <c r="M509" s="56">
        <f>LISTAS!$B$22*_xlfn.XLOOKUP(G509,LISTAS!$B$27:$B$36,LISTAS!$A$27:$A$36)*_xlfn.XLOOKUP(H509,LISTAS!$B$38:$B$47,LISTAS!$A$38:$A$47,,-1)*_xlfn.XLOOKUP(J509,LISTAS!$E$26:$H$26,LISTAS!$E$48:$H$48)*_xlfn.XLOOKUP(F509,LISTAS!$A$15:$A$18,LISTAS!$H$15:$H$18)</f>
        <v>2.5236749999999999E-2</v>
      </c>
      <c r="N509" s="54" cm="1">
        <f t="array" ref="N509">_xlfn.XLOOKUP(K509,LISTAS!$D$27:$D$47,_xlfn.XLOOKUP(J509,LISTAS!$E$26:$H$26,LISTAS!$E$27:$H$47))</f>
        <v>19575000</v>
      </c>
      <c r="O509" s="56" t="s">
        <v>1623</v>
      </c>
      <c r="P509" s="76" t="str">
        <f t="shared" ca="1" si="23"/>
        <v>Vencida</v>
      </c>
    </row>
    <row r="510" spans="1:16" x14ac:dyDescent="0.3">
      <c r="A510" s="58" t="s">
        <v>800</v>
      </c>
      <c r="B510" s="56" t="s">
        <v>21</v>
      </c>
      <c r="C510" s="50" t="str">
        <f>_xlfn.XLOOKUP(B510,CLIENTES!$A$2:$A$301,CLIENTES!$B$2:$B$301)</f>
        <v>Victoria Ferreyra</v>
      </c>
      <c r="D510" s="60">
        <v>46160</v>
      </c>
      <c r="E510" s="60">
        <f t="shared" si="21"/>
        <v>46525</v>
      </c>
      <c r="F510" s="50" t="s">
        <v>1598</v>
      </c>
      <c r="G510" s="56" t="s">
        <v>1607</v>
      </c>
      <c r="H510" s="47">
        <v>35</v>
      </c>
      <c r="I510" s="60">
        <v>33459</v>
      </c>
      <c r="J510" s="56" t="s">
        <v>1612</v>
      </c>
      <c r="K510" s="56">
        <v>2025</v>
      </c>
      <c r="L510" s="52">
        <f t="shared" si="22"/>
        <v>73673.60000000002</v>
      </c>
      <c r="M510" s="56">
        <f>LISTAS!$B$22*_xlfn.XLOOKUP(G510,LISTAS!$B$27:$B$36,LISTAS!$A$27:$A$36)*_xlfn.XLOOKUP(H510,LISTAS!$B$38:$B$47,LISTAS!$A$38:$A$47,,-1)*_xlfn.XLOOKUP(J510,LISTAS!$E$26:$H$26,LISTAS!$E$48:$H$48)*_xlfn.XLOOKUP(F510,LISTAS!$A$15:$A$18,LISTAS!$H$15:$H$18)</f>
        <v>3.0030000000000005E-2</v>
      </c>
      <c r="N510" s="54" cm="1">
        <f t="array" ref="N510">_xlfn.XLOOKUP(K510,LISTAS!$D$27:$D$47,_xlfn.XLOOKUP(J510,LISTAS!$E$26:$H$26,LISTAS!$E$27:$H$47))</f>
        <v>29440000</v>
      </c>
      <c r="O510" s="56" t="s">
        <v>1623</v>
      </c>
      <c r="P510" s="76" t="str">
        <f t="shared" ca="1" si="23"/>
        <v>Vigente</v>
      </c>
    </row>
    <row r="511" spans="1:16" x14ac:dyDescent="0.3">
      <c r="A511" s="58" t="s">
        <v>801</v>
      </c>
      <c r="B511" s="56" t="s">
        <v>224</v>
      </c>
      <c r="C511" s="50" t="str">
        <f>_xlfn.XLOOKUP(B511,CLIENTES!$A$2:$A$301,CLIENTES!$B$2:$B$301)</f>
        <v>Martín Gutiérrez</v>
      </c>
      <c r="D511" s="60">
        <v>46084</v>
      </c>
      <c r="E511" s="60">
        <f t="shared" si="21"/>
        <v>46449</v>
      </c>
      <c r="F511" s="50" t="s">
        <v>1597</v>
      </c>
      <c r="G511" s="56" t="s">
        <v>1601</v>
      </c>
      <c r="H511" s="47">
        <v>77</v>
      </c>
      <c r="I511" s="60">
        <v>18006</v>
      </c>
      <c r="J511" s="56" t="s">
        <v>1612</v>
      </c>
      <c r="K511" s="56">
        <v>2023</v>
      </c>
      <c r="L511" s="52">
        <f t="shared" si="22"/>
        <v>78685.197937500008</v>
      </c>
      <c r="M511" s="56">
        <f>LISTAS!$B$22*_xlfn.XLOOKUP(G511,LISTAS!$B$27:$B$36,LISTAS!$A$27:$A$36)*_xlfn.XLOOKUP(H511,LISTAS!$B$38:$B$47,LISTAS!$A$38:$A$47,,-1)*_xlfn.XLOOKUP(J511,LISTAS!$E$26:$H$26,LISTAS!$E$48:$H$48)*_xlfn.XLOOKUP(F511,LISTAS!$A$15:$A$18,LISTAS!$H$15:$H$18)</f>
        <v>3.8519250000000005E-2</v>
      </c>
      <c r="N511" s="54" cm="1">
        <f t="array" ref="N511">_xlfn.XLOOKUP(K511,LISTAS!$D$27:$D$47,_xlfn.XLOOKUP(J511,LISTAS!$E$26:$H$26,LISTAS!$E$27:$H$47))</f>
        <v>24513000</v>
      </c>
      <c r="O511" s="56" t="s">
        <v>1625</v>
      </c>
      <c r="P511" s="76" t="str">
        <f t="shared" ca="1" si="23"/>
        <v>Vigente</v>
      </c>
    </row>
    <row r="512" spans="1:16" x14ac:dyDescent="0.3">
      <c r="A512" s="58" t="s">
        <v>802</v>
      </c>
      <c r="B512" s="56" t="s">
        <v>204</v>
      </c>
      <c r="C512" s="50" t="str">
        <f>_xlfn.XLOOKUP(B512,CLIENTES!$A$2:$A$301,CLIENTES!$B$2:$B$301)</f>
        <v>Andrés Pereyra</v>
      </c>
      <c r="D512" s="60">
        <v>45651</v>
      </c>
      <c r="E512" s="60">
        <f t="shared" si="21"/>
        <v>46016</v>
      </c>
      <c r="F512" s="50" t="s">
        <v>1595</v>
      </c>
      <c r="G512" s="56" t="s">
        <v>1603</v>
      </c>
      <c r="H512" s="47">
        <v>64</v>
      </c>
      <c r="I512" s="60">
        <v>22664</v>
      </c>
      <c r="J512" s="56" t="s">
        <v>1611</v>
      </c>
      <c r="K512" s="56">
        <v>2019</v>
      </c>
      <c r="L512" s="52">
        <f t="shared" si="22"/>
        <v>27116.887874999997</v>
      </c>
      <c r="M512" s="56">
        <f>LISTAS!$B$22*_xlfn.XLOOKUP(G512,LISTAS!$B$27:$B$36,LISTAS!$A$27:$A$36)*_xlfn.XLOOKUP(H512,LISTAS!$B$38:$B$47,LISTAS!$A$38:$A$47,,-1)*_xlfn.XLOOKUP(J512,LISTAS!$E$26:$H$26,LISTAS!$E$48:$H$48)*_xlfn.XLOOKUP(F512,LISTAS!$A$15:$A$18,LISTAS!$H$15:$H$18)</f>
        <v>1.3765499999999998E-2</v>
      </c>
      <c r="N512" s="54" cm="1">
        <f t="array" ref="N512">_xlfn.XLOOKUP(K512,LISTAS!$D$27:$D$47,_xlfn.XLOOKUP(J512,LISTAS!$E$26:$H$26,LISTAS!$E$27:$H$47))</f>
        <v>23639000</v>
      </c>
      <c r="O512" s="56" t="s">
        <v>1623</v>
      </c>
      <c r="P512" s="76" t="str">
        <f t="shared" ca="1" si="23"/>
        <v>Vencida</v>
      </c>
    </row>
    <row r="513" spans="1:16" x14ac:dyDescent="0.3">
      <c r="A513" s="58" t="s">
        <v>803</v>
      </c>
      <c r="B513" s="56" t="s">
        <v>239</v>
      </c>
      <c r="C513" s="50" t="str">
        <f>_xlfn.XLOOKUP(B513,CLIENTES!$A$2:$A$301,CLIENTES!$B$2:$B$301)</f>
        <v>Matías Flores</v>
      </c>
      <c r="D513" s="60">
        <v>45148</v>
      </c>
      <c r="E513" s="60">
        <f t="shared" si="21"/>
        <v>45514</v>
      </c>
      <c r="F513" s="50" t="s">
        <v>1596</v>
      </c>
      <c r="G513" s="56" t="s">
        <v>1607</v>
      </c>
      <c r="H513" s="47">
        <v>49</v>
      </c>
      <c r="I513" s="60">
        <v>28247</v>
      </c>
      <c r="J513" s="56" t="s">
        <v>1611</v>
      </c>
      <c r="K513" s="56">
        <v>2013</v>
      </c>
      <c r="L513" s="52">
        <f t="shared" si="22"/>
        <v>23873.865354166668</v>
      </c>
      <c r="M513" s="56">
        <f>LISTAS!$B$22*_xlfn.XLOOKUP(G513,LISTAS!$B$27:$B$36,LISTAS!$A$27:$A$36)*_xlfn.XLOOKUP(H513,LISTAS!$B$38:$B$47,LISTAS!$A$38:$A$47,,-1)*_xlfn.XLOOKUP(J513,LISTAS!$E$26:$H$26,LISTAS!$E$48:$H$48)*_xlfn.XLOOKUP(F513,LISTAS!$A$15:$A$18,LISTAS!$H$15:$H$18)</f>
        <v>2.042975E-2</v>
      </c>
      <c r="N513" s="54" cm="1">
        <f t="array" ref="N513">_xlfn.XLOOKUP(K513,LISTAS!$D$27:$D$47,_xlfn.XLOOKUP(J513,LISTAS!$E$26:$H$26,LISTAS!$E$27:$H$47))</f>
        <v>14023000</v>
      </c>
      <c r="O513" s="56" t="s">
        <v>1624</v>
      </c>
      <c r="P513" s="76" t="str">
        <f t="shared" ca="1" si="23"/>
        <v>Vencida</v>
      </c>
    </row>
    <row r="514" spans="1:16" x14ac:dyDescent="0.3">
      <c r="A514" s="58" t="s">
        <v>804</v>
      </c>
      <c r="B514" s="56" t="s">
        <v>147</v>
      </c>
      <c r="C514" s="50" t="str">
        <f>_xlfn.XLOOKUP(B514,CLIENTES!$A$2:$A$301,CLIENTES!$B$2:$B$301)</f>
        <v>Facundo Benítez</v>
      </c>
      <c r="D514" s="60">
        <v>44900</v>
      </c>
      <c r="E514" s="60">
        <f t="shared" si="21"/>
        <v>45265</v>
      </c>
      <c r="F514" s="50" t="s">
        <v>1596</v>
      </c>
      <c r="G514" s="56" t="s">
        <v>1605</v>
      </c>
      <c r="H514" s="47">
        <v>38</v>
      </c>
      <c r="I514" s="60">
        <v>32236</v>
      </c>
      <c r="J514" s="56" t="s">
        <v>1609</v>
      </c>
      <c r="K514" s="56">
        <v>2021</v>
      </c>
      <c r="L514" s="52">
        <f t="shared" si="22"/>
        <v>20220.225000000002</v>
      </c>
      <c r="M514" s="56">
        <f>LISTAS!$B$22*_xlfn.XLOOKUP(G514,LISTAS!$B$27:$B$36,LISTAS!$A$27:$A$36)*_xlfn.XLOOKUP(H514,LISTAS!$B$38:$B$47,LISTAS!$A$38:$A$47,,-1)*_xlfn.XLOOKUP(J514,LISTAS!$E$26:$H$26,LISTAS!$E$48:$H$48)*_xlfn.XLOOKUP(F514,LISTAS!$A$15:$A$18,LISTAS!$H$15:$H$18)</f>
        <v>1.5300000000000001E-2</v>
      </c>
      <c r="N514" s="54" cm="1">
        <f t="array" ref="N514">_xlfn.XLOOKUP(K514,LISTAS!$D$27:$D$47,_xlfn.XLOOKUP(J514,LISTAS!$E$26:$H$26,LISTAS!$E$27:$H$47))</f>
        <v>15859000</v>
      </c>
      <c r="O514" s="56" t="s">
        <v>1624</v>
      </c>
      <c r="P514" s="76" t="str">
        <f t="shared" ca="1" si="23"/>
        <v>Vencida</v>
      </c>
    </row>
    <row r="515" spans="1:16" x14ac:dyDescent="0.3">
      <c r="A515" s="58" t="s">
        <v>805</v>
      </c>
      <c r="B515" s="56" t="s">
        <v>155</v>
      </c>
      <c r="C515" s="50" t="str">
        <f>_xlfn.XLOOKUP(B515,CLIENTES!$A$2:$A$301,CLIENTES!$B$2:$B$301)</f>
        <v>Maximiliano Flores</v>
      </c>
      <c r="D515" s="60">
        <v>44787</v>
      </c>
      <c r="E515" s="60">
        <f t="shared" ref="E515:E578" si="24">EDATE(D515,12)</f>
        <v>45152</v>
      </c>
      <c r="F515" s="50" t="s">
        <v>1596</v>
      </c>
      <c r="G515" s="56" t="s">
        <v>1603</v>
      </c>
      <c r="H515" s="47">
        <v>68</v>
      </c>
      <c r="I515" s="60">
        <v>21373</v>
      </c>
      <c r="J515" s="56" t="s">
        <v>1610</v>
      </c>
      <c r="K515" s="56">
        <v>2024</v>
      </c>
      <c r="L515" s="52">
        <f t="shared" ref="L515:L578" si="25">(N515*M515)/12</f>
        <v>57325.878499999999</v>
      </c>
      <c r="M515" s="56">
        <f>LISTAS!$B$22*_xlfn.XLOOKUP(G515,LISTAS!$B$27:$B$36,LISTAS!$A$27:$A$36)*_xlfn.XLOOKUP(H515,LISTAS!$B$38:$B$47,LISTAS!$A$38:$A$47,,-1)*_xlfn.XLOOKUP(J515,LISTAS!$E$26:$H$26,LISTAS!$E$48:$H$48)*_xlfn.XLOOKUP(F515,LISTAS!$A$15:$A$18,LISTAS!$H$15:$H$18)</f>
        <v>2.042975E-2</v>
      </c>
      <c r="N515" s="54" cm="1">
        <f t="array" ref="N515">_xlfn.XLOOKUP(K515,LISTAS!$D$27:$D$47,_xlfn.XLOOKUP(J515,LISTAS!$E$26:$H$26,LISTAS!$E$27:$H$47))</f>
        <v>33672000</v>
      </c>
      <c r="O515" s="56" t="s">
        <v>1623</v>
      </c>
      <c r="P515" s="76" t="str">
        <f t="shared" ref="P515:P578" ca="1" si="26">IF(TODAY()&lt;D515,"Pendiente",IF(TODAY()&gt;E515,"Vencida","Vigente"))</f>
        <v>Vencida</v>
      </c>
    </row>
    <row r="516" spans="1:16" x14ac:dyDescent="0.3">
      <c r="A516" s="58" t="s">
        <v>806</v>
      </c>
      <c r="B516" s="56" t="s">
        <v>73</v>
      </c>
      <c r="C516" s="50" t="str">
        <f>_xlfn.XLOOKUP(B516,CLIENTES!$A$2:$A$301,CLIENTES!$B$2:$B$301)</f>
        <v>Florencia Vázquez</v>
      </c>
      <c r="D516" s="60">
        <v>45193</v>
      </c>
      <c r="E516" s="60">
        <f t="shared" si="24"/>
        <v>45559</v>
      </c>
      <c r="F516" s="50" t="s">
        <v>1598</v>
      </c>
      <c r="G516" s="56" t="s">
        <v>1599</v>
      </c>
      <c r="H516" s="47">
        <v>31</v>
      </c>
      <c r="I516" s="60">
        <v>34813</v>
      </c>
      <c r="J516" s="56" t="s">
        <v>1610</v>
      </c>
      <c r="K516" s="56">
        <v>2018</v>
      </c>
      <c r="L516" s="52">
        <f t="shared" si="25"/>
        <v>54686.060000000005</v>
      </c>
      <c r="M516" s="56">
        <f>LISTAS!$B$22*_xlfn.XLOOKUP(G516,LISTAS!$B$27:$B$36,LISTAS!$A$27:$A$36)*_xlfn.XLOOKUP(H516,LISTAS!$B$38:$B$47,LISTAS!$A$38:$A$47,,-1)*_xlfn.XLOOKUP(J516,LISTAS!$E$26:$H$26,LISTAS!$E$48:$H$48)*_xlfn.XLOOKUP(F516,LISTAS!$A$15:$A$18,LISTAS!$H$15:$H$18)</f>
        <v>3.4320000000000003E-2</v>
      </c>
      <c r="N516" s="54" cm="1">
        <f t="array" ref="N516">_xlfn.XLOOKUP(K516,LISTAS!$D$27:$D$47,_xlfn.XLOOKUP(J516,LISTAS!$E$26:$H$26,LISTAS!$E$27:$H$47))</f>
        <v>19121000</v>
      </c>
      <c r="O516" s="56" t="s">
        <v>1626</v>
      </c>
      <c r="P516" s="76" t="str">
        <f t="shared" ca="1" si="26"/>
        <v>Vencida</v>
      </c>
    </row>
    <row r="517" spans="1:16" x14ac:dyDescent="0.3">
      <c r="A517" s="58" t="s">
        <v>807</v>
      </c>
      <c r="B517" s="56" t="s">
        <v>290</v>
      </c>
      <c r="C517" s="50" t="str">
        <f>_xlfn.XLOOKUP(B517,CLIENTES!$A$2:$A$301,CLIENTES!$B$2:$B$301)</f>
        <v>Agustina Campos</v>
      </c>
      <c r="D517" s="60">
        <v>45996</v>
      </c>
      <c r="E517" s="60">
        <f t="shared" si="24"/>
        <v>46361</v>
      </c>
      <c r="F517" s="50" t="s">
        <v>1595</v>
      </c>
      <c r="G517" s="56" t="s">
        <v>1602</v>
      </c>
      <c r="H517" s="47">
        <v>76</v>
      </c>
      <c r="I517" s="60">
        <v>18264</v>
      </c>
      <c r="J517" s="56" t="s">
        <v>1610</v>
      </c>
      <c r="K517" s="56">
        <v>2024</v>
      </c>
      <c r="L517" s="52">
        <f t="shared" si="25"/>
        <v>56392.182000000001</v>
      </c>
      <c r="M517" s="56">
        <f>LISTAS!$B$22*_xlfn.XLOOKUP(G517,LISTAS!$B$27:$B$36,LISTAS!$A$27:$A$36)*_xlfn.XLOOKUP(H517,LISTAS!$B$38:$B$47,LISTAS!$A$38:$A$47,,-1)*_xlfn.XLOOKUP(J517,LISTAS!$E$26:$H$26,LISTAS!$E$48:$H$48)*_xlfn.XLOOKUP(F517,LISTAS!$A$15:$A$18,LISTAS!$H$15:$H$18)</f>
        <v>2.0097E-2</v>
      </c>
      <c r="N517" s="54" cm="1">
        <f t="array" ref="N517">_xlfn.XLOOKUP(K517,LISTAS!$D$27:$D$47,_xlfn.XLOOKUP(J517,LISTAS!$E$26:$H$26,LISTAS!$E$27:$H$47))</f>
        <v>33672000</v>
      </c>
      <c r="O517" s="56" t="s">
        <v>1625</v>
      </c>
      <c r="P517" s="76" t="str">
        <f t="shared" ca="1" si="26"/>
        <v>Vigente</v>
      </c>
    </row>
    <row r="518" spans="1:16" x14ac:dyDescent="0.3">
      <c r="A518" s="58" t="s">
        <v>808</v>
      </c>
      <c r="B518" s="56" t="s">
        <v>83</v>
      </c>
      <c r="C518" s="50" t="str">
        <f>_xlfn.XLOOKUP(B518,CLIENTES!$A$2:$A$301,CLIENTES!$B$2:$B$301)</f>
        <v>Valentina Cabrera</v>
      </c>
      <c r="D518" s="60">
        <v>45042</v>
      </c>
      <c r="E518" s="60">
        <f t="shared" si="24"/>
        <v>45408</v>
      </c>
      <c r="F518" s="50" t="s">
        <v>1598</v>
      </c>
      <c r="G518" s="56" t="s">
        <v>1601</v>
      </c>
      <c r="H518" s="47">
        <v>31</v>
      </c>
      <c r="I518" s="60">
        <v>34657</v>
      </c>
      <c r="J518" s="56" t="s">
        <v>1611</v>
      </c>
      <c r="K518" s="56">
        <v>2024</v>
      </c>
      <c r="L518" s="52">
        <f t="shared" si="25"/>
        <v>108544.84875</v>
      </c>
      <c r="M518" s="56">
        <f>LISTAS!$B$22*_xlfn.XLOOKUP(G518,LISTAS!$B$27:$B$36,LISTAS!$A$27:$A$36)*_xlfn.XLOOKUP(H518,LISTAS!$B$38:$B$47,LISTAS!$A$38:$A$47,,-1)*_xlfn.XLOOKUP(J518,LISTAS!$E$26:$H$26,LISTAS!$E$48:$H$48)*_xlfn.XLOOKUP(F518,LISTAS!$A$15:$A$18,LISTAS!$H$15:$H$18)</f>
        <v>3.4384999999999999E-2</v>
      </c>
      <c r="N518" s="54" cm="1">
        <f t="array" ref="N518">_xlfn.XLOOKUP(K518,LISTAS!$D$27:$D$47,_xlfn.XLOOKUP(J518,LISTAS!$E$26:$H$26,LISTAS!$E$27:$H$47))</f>
        <v>37881000</v>
      </c>
      <c r="O518" s="56" t="s">
        <v>1625</v>
      </c>
      <c r="P518" s="76" t="str">
        <f t="shared" ca="1" si="26"/>
        <v>Vencida</v>
      </c>
    </row>
    <row r="519" spans="1:16" x14ac:dyDescent="0.3">
      <c r="A519" s="58" t="s">
        <v>809</v>
      </c>
      <c r="B519" s="56" t="s">
        <v>98</v>
      </c>
      <c r="C519" s="50" t="str">
        <f>_xlfn.XLOOKUP(B519,CLIENTES!$A$2:$A$301,CLIENTES!$B$2:$B$301)</f>
        <v>Carolina Roldán</v>
      </c>
      <c r="D519" s="60">
        <v>44541</v>
      </c>
      <c r="E519" s="60">
        <f t="shared" si="24"/>
        <v>44906</v>
      </c>
      <c r="F519" s="50" t="s">
        <v>1597</v>
      </c>
      <c r="G519" s="56" t="s">
        <v>1602</v>
      </c>
      <c r="H519" s="47">
        <v>70</v>
      </c>
      <c r="I519" s="60">
        <v>20384</v>
      </c>
      <c r="J519" s="56" t="s">
        <v>1612</v>
      </c>
      <c r="K519" s="56">
        <v>2024</v>
      </c>
      <c r="L519" s="52">
        <f t="shared" si="25"/>
        <v>76227.805500000002</v>
      </c>
      <c r="M519" s="56">
        <f>LISTAS!$B$22*_xlfn.XLOOKUP(G519,LISTAS!$B$27:$B$36,LISTAS!$A$27:$A$36)*_xlfn.XLOOKUP(H519,LISTAS!$B$38:$B$47,LISTAS!$A$38:$A$47,,-1)*_xlfn.XLOOKUP(J519,LISTAS!$E$26:$H$26,LISTAS!$E$48:$H$48)*_xlfn.XLOOKUP(F519,LISTAS!$A$15:$A$18,LISTAS!$H$15:$H$18)</f>
        <v>3.3957000000000001E-2</v>
      </c>
      <c r="N519" s="54" cm="1">
        <f t="array" ref="N519">_xlfn.XLOOKUP(K519,LISTAS!$D$27:$D$47,_xlfn.XLOOKUP(J519,LISTAS!$E$26:$H$26,LISTAS!$E$27:$H$47))</f>
        <v>26938000</v>
      </c>
      <c r="O519" s="56" t="s">
        <v>1625</v>
      </c>
      <c r="P519" s="76" t="str">
        <f t="shared" ca="1" si="26"/>
        <v>Vencida</v>
      </c>
    </row>
    <row r="520" spans="1:16" x14ac:dyDescent="0.3">
      <c r="A520" s="58" t="s">
        <v>810</v>
      </c>
      <c r="B520" s="56" t="s">
        <v>268</v>
      </c>
      <c r="C520" s="50" t="str">
        <f>_xlfn.XLOOKUP(B520,CLIENTES!$A$2:$A$301,CLIENTES!$B$2:$B$301)</f>
        <v>Natalia Quiroga</v>
      </c>
      <c r="D520" s="60">
        <v>44581</v>
      </c>
      <c r="E520" s="60">
        <f t="shared" si="24"/>
        <v>44946</v>
      </c>
      <c r="F520" s="50" t="s">
        <v>1596</v>
      </c>
      <c r="G520" s="56" t="s">
        <v>1606</v>
      </c>
      <c r="H520" s="47">
        <v>33</v>
      </c>
      <c r="I520" s="60">
        <v>33934</v>
      </c>
      <c r="J520" s="56" t="s">
        <v>1610</v>
      </c>
      <c r="K520" s="56">
        <v>2023</v>
      </c>
      <c r="L520" s="52">
        <f t="shared" si="25"/>
        <v>47750.450000000004</v>
      </c>
      <c r="M520" s="56">
        <f>LISTAS!$B$22*_xlfn.XLOOKUP(G520,LISTAS!$B$27:$B$36,LISTAS!$A$27:$A$36)*_xlfn.XLOOKUP(H520,LISTAS!$B$38:$B$47,LISTAS!$A$38:$A$47,,-1)*_xlfn.XLOOKUP(J520,LISTAS!$E$26:$H$26,LISTAS!$E$48:$H$48)*_xlfn.XLOOKUP(F520,LISTAS!$A$15:$A$18,LISTAS!$H$15:$H$18)</f>
        <v>1.8700000000000001E-2</v>
      </c>
      <c r="N520" s="54" cm="1">
        <f t="array" ref="N520">_xlfn.XLOOKUP(K520,LISTAS!$D$27:$D$47,_xlfn.XLOOKUP(J520,LISTAS!$E$26:$H$26,LISTAS!$E$27:$H$47))</f>
        <v>30642000</v>
      </c>
      <c r="O520" s="56" t="s">
        <v>1623</v>
      </c>
      <c r="P520" s="76" t="str">
        <f t="shared" ca="1" si="26"/>
        <v>Vencida</v>
      </c>
    </row>
    <row r="521" spans="1:16" x14ac:dyDescent="0.3">
      <c r="A521" s="58" t="s">
        <v>811</v>
      </c>
      <c r="B521" s="56" t="s">
        <v>91</v>
      </c>
      <c r="C521" s="50" t="str">
        <f>_xlfn.XLOOKUP(B521,CLIENTES!$A$2:$A$301,CLIENTES!$B$2:$B$301)</f>
        <v>Fernando Luna</v>
      </c>
      <c r="D521" s="60">
        <v>45672</v>
      </c>
      <c r="E521" s="60">
        <f t="shared" si="24"/>
        <v>46037</v>
      </c>
      <c r="F521" s="50" t="s">
        <v>1595</v>
      </c>
      <c r="G521" s="56" t="s">
        <v>1605</v>
      </c>
      <c r="H521" s="47">
        <v>21</v>
      </c>
      <c r="I521" s="60">
        <v>38355</v>
      </c>
      <c r="J521" s="56" t="s">
        <v>1611</v>
      </c>
      <c r="K521" s="56">
        <v>2020</v>
      </c>
      <c r="L521" s="52">
        <f t="shared" si="25"/>
        <v>36296.363250000002</v>
      </c>
      <c r="M521" s="56">
        <f>LISTAS!$B$22*_xlfn.XLOOKUP(G521,LISTAS!$B$27:$B$36,LISTAS!$A$27:$A$36)*_xlfn.XLOOKUP(H521,LISTAS!$B$38:$B$47,LISTAS!$A$38:$A$47,,-1)*_xlfn.XLOOKUP(J521,LISTAS!$E$26:$H$26,LISTAS!$E$48:$H$48)*_xlfn.XLOOKUP(F521,LISTAS!$A$15:$A$18,LISTAS!$H$15:$H$18)</f>
        <v>1.6767000000000001E-2</v>
      </c>
      <c r="N521" s="54" cm="1">
        <f t="array" ref="N521">_xlfn.XLOOKUP(K521,LISTAS!$D$27:$D$47,_xlfn.XLOOKUP(J521,LISTAS!$E$26:$H$26,LISTAS!$E$27:$H$47))</f>
        <v>25977000</v>
      </c>
      <c r="O521" s="56" t="s">
        <v>1623</v>
      </c>
      <c r="P521" s="76" t="str">
        <f t="shared" ca="1" si="26"/>
        <v>Vencida</v>
      </c>
    </row>
    <row r="522" spans="1:16" x14ac:dyDescent="0.3">
      <c r="A522" s="58" t="s">
        <v>812</v>
      </c>
      <c r="B522" s="56" t="s">
        <v>24</v>
      </c>
      <c r="C522" s="50" t="str">
        <f>_xlfn.XLOOKUP(B522,CLIENTES!$A$2:$A$301,CLIENTES!$B$2:$B$301)</f>
        <v>Pablo Álvarez</v>
      </c>
      <c r="D522" s="60">
        <v>44567</v>
      </c>
      <c r="E522" s="60">
        <f t="shared" si="24"/>
        <v>44932</v>
      </c>
      <c r="F522" s="50" t="s">
        <v>1597</v>
      </c>
      <c r="G522" s="56" t="s">
        <v>1606</v>
      </c>
      <c r="H522" s="47">
        <v>33</v>
      </c>
      <c r="I522" s="60">
        <v>34008</v>
      </c>
      <c r="J522" s="56" t="s">
        <v>1609</v>
      </c>
      <c r="K522" s="56">
        <v>2024</v>
      </c>
      <c r="L522" s="52">
        <f t="shared" si="25"/>
        <v>38582.500000000007</v>
      </c>
      <c r="M522" s="56">
        <f>LISTAS!$B$22*_xlfn.XLOOKUP(G522,LISTAS!$B$27:$B$36,LISTAS!$A$27:$A$36)*_xlfn.XLOOKUP(H522,LISTAS!$B$38:$B$47,LISTAS!$A$38:$A$47,,-1)*_xlfn.XLOOKUP(J522,LISTAS!$E$26:$H$26,LISTAS!$E$48:$H$48)*_xlfn.XLOOKUP(F522,LISTAS!$A$15:$A$18,LISTAS!$H$15:$H$18)</f>
        <v>2.2000000000000002E-2</v>
      </c>
      <c r="N522" s="54" cm="1">
        <f t="array" ref="N522">_xlfn.XLOOKUP(K522,LISTAS!$D$27:$D$47,_xlfn.XLOOKUP(J522,LISTAS!$E$26:$H$26,LISTAS!$E$27:$H$47))</f>
        <v>21045000</v>
      </c>
      <c r="O522" s="56" t="s">
        <v>1623</v>
      </c>
      <c r="P522" s="76" t="str">
        <f t="shared" ca="1" si="26"/>
        <v>Vencida</v>
      </c>
    </row>
    <row r="523" spans="1:16" x14ac:dyDescent="0.3">
      <c r="A523" s="58" t="s">
        <v>813</v>
      </c>
      <c r="B523" s="56" t="s">
        <v>126</v>
      </c>
      <c r="C523" s="50" t="str">
        <f>_xlfn.XLOOKUP(B523,CLIENTES!$A$2:$A$301,CLIENTES!$B$2:$B$301)</f>
        <v>Diego Álvarez</v>
      </c>
      <c r="D523" s="60">
        <v>45600</v>
      </c>
      <c r="E523" s="60">
        <f t="shared" si="24"/>
        <v>45965</v>
      </c>
      <c r="F523" s="50" t="s">
        <v>1596</v>
      </c>
      <c r="G523" s="56" t="s">
        <v>1608</v>
      </c>
      <c r="H523" s="47">
        <v>21</v>
      </c>
      <c r="I523" s="60">
        <v>38321</v>
      </c>
      <c r="J523" s="56" t="s">
        <v>1610</v>
      </c>
      <c r="K523" s="56">
        <v>2025</v>
      </c>
      <c r="L523" s="52">
        <f t="shared" si="25"/>
        <v>73547.10000000002</v>
      </c>
      <c r="M523" s="56">
        <f>LISTAS!$B$22*_xlfn.XLOOKUP(G523,LISTAS!$B$27:$B$36,LISTAS!$A$27:$A$36)*_xlfn.XLOOKUP(H523,LISTAS!$B$38:$B$47,LISTAS!$A$38:$A$47,,-1)*_xlfn.XLOOKUP(J523,LISTAS!$E$26:$H$26,LISTAS!$E$48:$H$48)*_xlfn.XLOOKUP(F523,LISTAS!$A$15:$A$18,LISTAS!$H$15:$H$18)</f>
        <v>2.3982750000000004E-2</v>
      </c>
      <c r="N523" s="54" cm="1">
        <f t="array" ref="N523">_xlfn.XLOOKUP(K523,LISTAS!$D$27:$D$47,_xlfn.XLOOKUP(J523,LISTAS!$E$26:$H$26,LISTAS!$E$27:$H$47))</f>
        <v>36800000</v>
      </c>
      <c r="O523" s="56" t="s">
        <v>1624</v>
      </c>
      <c r="P523" s="76" t="str">
        <f t="shared" ca="1" si="26"/>
        <v>Vencida</v>
      </c>
    </row>
    <row r="524" spans="1:16" x14ac:dyDescent="0.3">
      <c r="A524" s="58" t="s">
        <v>814</v>
      </c>
      <c r="B524" s="56" t="s">
        <v>286</v>
      </c>
      <c r="C524" s="50" t="str">
        <f>_xlfn.XLOOKUP(B524,CLIENTES!$A$2:$A$301,CLIENTES!$B$2:$B$301)</f>
        <v>Micaela Ferreyra</v>
      </c>
      <c r="D524" s="60">
        <v>45897</v>
      </c>
      <c r="E524" s="60">
        <f t="shared" si="24"/>
        <v>46262</v>
      </c>
      <c r="F524" s="50" t="s">
        <v>1595</v>
      </c>
      <c r="G524" s="56" t="s">
        <v>1600</v>
      </c>
      <c r="H524" s="47">
        <v>79</v>
      </c>
      <c r="I524" s="60">
        <v>17346</v>
      </c>
      <c r="J524" s="56" t="s">
        <v>1610</v>
      </c>
      <c r="K524" s="56">
        <v>2018</v>
      </c>
      <c r="L524" s="52">
        <f t="shared" si="25"/>
        <v>35072.69425</v>
      </c>
      <c r="M524" s="56">
        <f>LISTAS!$B$22*_xlfn.XLOOKUP(G524,LISTAS!$B$27:$B$36,LISTAS!$A$27:$A$36)*_xlfn.XLOOKUP(H524,LISTAS!$B$38:$B$47,LISTAS!$A$38:$A$47,,-1)*_xlfn.XLOOKUP(J524,LISTAS!$E$26:$H$26,LISTAS!$E$48:$H$48)*_xlfn.XLOOKUP(F524,LISTAS!$A$15:$A$18,LISTAS!$H$15:$H$18)</f>
        <v>2.2010999999999999E-2</v>
      </c>
      <c r="N524" s="54" cm="1">
        <f t="array" ref="N524">_xlfn.XLOOKUP(K524,LISTAS!$D$27:$D$47,_xlfn.XLOOKUP(J524,LISTAS!$E$26:$H$26,LISTAS!$E$27:$H$47))</f>
        <v>19121000</v>
      </c>
      <c r="O524" s="56" t="s">
        <v>1624</v>
      </c>
      <c r="P524" s="76" t="str">
        <f t="shared" ca="1" si="26"/>
        <v>Vencida</v>
      </c>
    </row>
    <row r="525" spans="1:16" x14ac:dyDescent="0.3">
      <c r="A525" s="58" t="s">
        <v>815</v>
      </c>
      <c r="B525" s="56" t="s">
        <v>165</v>
      </c>
      <c r="C525" s="50" t="str">
        <f>_xlfn.XLOOKUP(B525,CLIENTES!$A$2:$A$301,CLIENTES!$B$2:$B$301)</f>
        <v>Gabriela Quiroga</v>
      </c>
      <c r="D525" s="60">
        <v>46229</v>
      </c>
      <c r="E525" s="60">
        <f t="shared" si="24"/>
        <v>46594</v>
      </c>
      <c r="F525" s="50" t="s">
        <v>1596</v>
      </c>
      <c r="G525" s="56" t="s">
        <v>1599</v>
      </c>
      <c r="H525" s="47">
        <v>60</v>
      </c>
      <c r="I525" s="60">
        <v>24113</v>
      </c>
      <c r="J525" s="56" t="s">
        <v>1612</v>
      </c>
      <c r="K525" s="56">
        <v>2008</v>
      </c>
      <c r="L525" s="52">
        <f t="shared" si="25"/>
        <v>13072.893750000001</v>
      </c>
      <c r="M525" s="56">
        <f>LISTAS!$B$22*_xlfn.XLOOKUP(G525,LISTAS!$B$27:$B$36,LISTAS!$A$27:$A$36)*_xlfn.XLOOKUP(H525,LISTAS!$B$38:$B$47,LISTAS!$A$38:$A$47,,-1)*_xlfn.XLOOKUP(J525,LISTAS!$E$26:$H$26,LISTAS!$E$48:$H$48)*_xlfn.XLOOKUP(F525,LISTAS!$A$15:$A$18,LISTAS!$H$15:$H$18)</f>
        <v>2.2491000000000001E-2</v>
      </c>
      <c r="N525" s="54" cm="1">
        <f t="array" ref="N525">_xlfn.XLOOKUP(K525,LISTAS!$D$27:$D$47,_xlfn.XLOOKUP(J525,LISTAS!$E$26:$H$26,LISTAS!$E$27:$H$47))</f>
        <v>6975000</v>
      </c>
      <c r="O525" s="56" t="s">
        <v>1623</v>
      </c>
      <c r="P525" s="76" t="str">
        <f t="shared" ca="1" si="26"/>
        <v>Vigente</v>
      </c>
    </row>
    <row r="526" spans="1:16" x14ac:dyDescent="0.3">
      <c r="A526" s="58" t="s">
        <v>816</v>
      </c>
      <c r="B526" s="56" t="s">
        <v>217</v>
      </c>
      <c r="C526" s="50" t="str">
        <f>_xlfn.XLOOKUP(B526,CLIENTES!$A$2:$A$301,CLIENTES!$B$2:$B$301)</f>
        <v>Santiago López</v>
      </c>
      <c r="D526" s="60">
        <v>45628</v>
      </c>
      <c r="E526" s="60">
        <f t="shared" si="24"/>
        <v>45993</v>
      </c>
      <c r="F526" s="50" t="s">
        <v>1595</v>
      </c>
      <c r="G526" s="56" t="s">
        <v>1604</v>
      </c>
      <c r="H526" s="47">
        <v>21</v>
      </c>
      <c r="I526" s="60">
        <v>38517</v>
      </c>
      <c r="J526" s="56" t="s">
        <v>1609</v>
      </c>
      <c r="K526" s="56">
        <v>2021</v>
      </c>
      <c r="L526" s="52">
        <f t="shared" si="25"/>
        <v>22480.132500000003</v>
      </c>
      <c r="M526" s="56">
        <f>LISTAS!$B$22*_xlfn.XLOOKUP(G526,LISTAS!$B$27:$B$36,LISTAS!$A$27:$A$36)*_xlfn.XLOOKUP(H526,LISTAS!$B$38:$B$47,LISTAS!$A$38:$A$47,,-1)*_xlfn.XLOOKUP(J526,LISTAS!$E$26:$H$26,LISTAS!$E$48:$H$48)*_xlfn.XLOOKUP(F526,LISTAS!$A$15:$A$18,LISTAS!$H$15:$H$18)</f>
        <v>1.7010000000000001E-2</v>
      </c>
      <c r="N526" s="54" cm="1">
        <f t="array" ref="N526">_xlfn.XLOOKUP(K526,LISTAS!$D$27:$D$47,_xlfn.XLOOKUP(J526,LISTAS!$E$26:$H$26,LISTAS!$E$27:$H$47))</f>
        <v>15859000</v>
      </c>
      <c r="O526" s="56" t="s">
        <v>1626</v>
      </c>
      <c r="P526" s="76" t="str">
        <f t="shared" ca="1" si="26"/>
        <v>Vencida</v>
      </c>
    </row>
    <row r="527" spans="1:16" x14ac:dyDescent="0.3">
      <c r="A527" s="58" t="s">
        <v>817</v>
      </c>
      <c r="B527" s="56" t="s">
        <v>6</v>
      </c>
      <c r="C527" s="50" t="str">
        <f>_xlfn.XLOOKUP(B527,CLIENTES!$A$2:$A$301,CLIENTES!$B$2:$B$301)</f>
        <v>Gonzalo Flores</v>
      </c>
      <c r="D527" s="60">
        <v>44887</v>
      </c>
      <c r="E527" s="60">
        <f t="shared" si="24"/>
        <v>45252</v>
      </c>
      <c r="F527" s="50" t="s">
        <v>1595</v>
      </c>
      <c r="G527" s="56" t="s">
        <v>1608</v>
      </c>
      <c r="H527" s="47">
        <v>33</v>
      </c>
      <c r="I527" s="60">
        <v>34127</v>
      </c>
      <c r="J527" s="56" t="s">
        <v>1611</v>
      </c>
      <c r="K527" s="56">
        <v>2025</v>
      </c>
      <c r="L527" s="52">
        <f t="shared" si="25"/>
        <v>45229.499999999993</v>
      </c>
      <c r="M527" s="56">
        <f>LISTAS!$B$22*_xlfn.XLOOKUP(G527,LISTAS!$B$27:$B$36,LISTAS!$A$27:$A$36)*_xlfn.XLOOKUP(H527,LISTAS!$B$38:$B$47,LISTAS!$A$38:$A$47,,-1)*_xlfn.XLOOKUP(J527,LISTAS!$E$26:$H$26,LISTAS!$E$48:$H$48)*_xlfn.XLOOKUP(F527,LISTAS!$A$15:$A$18,LISTAS!$H$15:$H$18)</f>
        <v>1.3109999999999998E-2</v>
      </c>
      <c r="N527" s="54" cm="1">
        <f t="array" ref="N527">_xlfn.XLOOKUP(K527,LISTAS!$D$27:$D$47,_xlfn.XLOOKUP(J527,LISTAS!$E$26:$H$26,LISTAS!$E$27:$H$47))</f>
        <v>41400000</v>
      </c>
      <c r="O527" s="56" t="s">
        <v>1623</v>
      </c>
      <c r="P527" s="76" t="str">
        <f t="shared" ca="1" si="26"/>
        <v>Vencida</v>
      </c>
    </row>
    <row r="528" spans="1:16" x14ac:dyDescent="0.3">
      <c r="A528" s="58" t="s">
        <v>818</v>
      </c>
      <c r="B528" s="56" t="s">
        <v>63</v>
      </c>
      <c r="C528" s="50" t="str">
        <f>_xlfn.XLOOKUP(B528,CLIENTES!$A$2:$A$301,CLIENTES!$B$2:$B$301)</f>
        <v>Martina Correa</v>
      </c>
      <c r="D528" s="60">
        <v>44451</v>
      </c>
      <c r="E528" s="60">
        <f t="shared" si="24"/>
        <v>44816</v>
      </c>
      <c r="F528" s="50" t="s">
        <v>1595</v>
      </c>
      <c r="G528" s="56" t="s">
        <v>1606</v>
      </c>
      <c r="H528" s="47">
        <v>67</v>
      </c>
      <c r="I528" s="60">
        <v>21542</v>
      </c>
      <c r="J528" s="56" t="s">
        <v>1612</v>
      </c>
      <c r="K528" s="56">
        <v>2019</v>
      </c>
      <c r="L528" s="52">
        <f t="shared" si="25"/>
        <v>20298.075000000001</v>
      </c>
      <c r="M528" s="56">
        <f>LISTAS!$B$22*_xlfn.XLOOKUP(G528,LISTAS!$B$27:$B$36,LISTAS!$A$27:$A$36)*_xlfn.XLOOKUP(H528,LISTAS!$B$38:$B$47,LISTAS!$A$38:$A$47,,-1)*_xlfn.XLOOKUP(J528,LISTAS!$E$26:$H$26,LISTAS!$E$48:$H$48)*_xlfn.XLOOKUP(F528,LISTAS!$A$15:$A$18,LISTAS!$H$15:$H$18)</f>
        <v>1.4489999999999999E-2</v>
      </c>
      <c r="N528" s="54" cm="1">
        <f t="array" ref="N528">_xlfn.XLOOKUP(K528,LISTAS!$D$27:$D$47,_xlfn.XLOOKUP(J528,LISTAS!$E$26:$H$26,LISTAS!$E$27:$H$47))</f>
        <v>16810000</v>
      </c>
      <c r="O528" s="56" t="s">
        <v>1623</v>
      </c>
      <c r="P528" s="76" t="str">
        <f t="shared" ca="1" si="26"/>
        <v>Vencida</v>
      </c>
    </row>
    <row r="529" spans="1:16" x14ac:dyDescent="0.3">
      <c r="A529" s="58" t="s">
        <v>819</v>
      </c>
      <c r="B529" s="56" t="s">
        <v>171</v>
      </c>
      <c r="C529" s="50" t="str">
        <f>_xlfn.XLOOKUP(B529,CLIENTES!$A$2:$A$301,CLIENTES!$B$2:$B$301)</f>
        <v>Julieta Rojas</v>
      </c>
      <c r="D529" s="60">
        <v>44608</v>
      </c>
      <c r="E529" s="60">
        <f t="shared" si="24"/>
        <v>44973</v>
      </c>
      <c r="F529" s="50" t="s">
        <v>1596</v>
      </c>
      <c r="G529" s="56" t="s">
        <v>1600</v>
      </c>
      <c r="H529" s="47">
        <v>34</v>
      </c>
      <c r="I529" s="60">
        <v>33677</v>
      </c>
      <c r="J529" s="56" t="s">
        <v>1610</v>
      </c>
      <c r="K529" s="56">
        <v>2026</v>
      </c>
      <c r="L529" s="52">
        <f t="shared" si="25"/>
        <v>71683.333333333343</v>
      </c>
      <c r="M529" s="56">
        <f>LISTAS!$B$22*_xlfn.XLOOKUP(G529,LISTAS!$B$27:$B$36,LISTAS!$A$27:$A$36)*_xlfn.XLOOKUP(H529,LISTAS!$B$38:$B$47,LISTAS!$A$38:$A$47,,-1)*_xlfn.XLOOKUP(J529,LISTAS!$E$26:$H$26,LISTAS!$E$48:$H$48)*_xlfn.XLOOKUP(F529,LISTAS!$A$15:$A$18,LISTAS!$H$15:$H$18)</f>
        <v>2.1505000000000003E-2</v>
      </c>
      <c r="N529" s="54" cm="1">
        <f t="array" ref="N529">_xlfn.XLOOKUP(K529,LISTAS!$D$27:$D$47,_xlfn.XLOOKUP(J529,LISTAS!$E$26:$H$26,LISTAS!$E$27:$H$47))</f>
        <v>40000000</v>
      </c>
      <c r="O529" s="56" t="s">
        <v>1623</v>
      </c>
      <c r="P529" s="76" t="str">
        <f t="shared" ca="1" si="26"/>
        <v>Vencida</v>
      </c>
    </row>
    <row r="530" spans="1:16" x14ac:dyDescent="0.3">
      <c r="A530" s="58" t="s">
        <v>820</v>
      </c>
      <c r="B530" s="56" t="s">
        <v>209</v>
      </c>
      <c r="C530" s="50" t="str">
        <f>_xlfn.XLOOKUP(B530,CLIENTES!$A$2:$A$301,CLIENTES!$B$2:$B$301)</f>
        <v>Camila Domínguez</v>
      </c>
      <c r="D530" s="60">
        <v>44886</v>
      </c>
      <c r="E530" s="60">
        <f t="shared" si="24"/>
        <v>45251</v>
      </c>
      <c r="F530" s="50" t="s">
        <v>1598</v>
      </c>
      <c r="G530" s="56" t="s">
        <v>1601</v>
      </c>
      <c r="H530" s="47">
        <v>78</v>
      </c>
      <c r="I530" s="60">
        <v>17475</v>
      </c>
      <c r="J530" s="56" t="s">
        <v>1611</v>
      </c>
      <c r="K530" s="56">
        <v>2023</v>
      </c>
      <c r="L530" s="52">
        <f t="shared" si="25"/>
        <v>143226.13283333334</v>
      </c>
      <c r="M530" s="56">
        <f>LISTAS!$B$22*_xlfn.XLOOKUP(G530,LISTAS!$B$27:$B$36,LISTAS!$A$27:$A$36)*_xlfn.XLOOKUP(H530,LISTAS!$B$38:$B$47,LISTAS!$A$38:$A$47,,-1)*_xlfn.XLOOKUP(J530,LISTAS!$E$26:$H$26,LISTAS!$E$48:$H$48)*_xlfn.XLOOKUP(F530,LISTAS!$A$15:$A$18,LISTAS!$H$15:$H$18)</f>
        <v>4.985825E-2</v>
      </c>
      <c r="N530" s="54" cm="1">
        <f t="array" ref="N530">_xlfn.XLOOKUP(K530,LISTAS!$D$27:$D$47,_xlfn.XLOOKUP(J530,LISTAS!$E$26:$H$26,LISTAS!$E$27:$H$47))</f>
        <v>34472000</v>
      </c>
      <c r="O530" s="56" t="s">
        <v>1625</v>
      </c>
      <c r="P530" s="76" t="str">
        <f t="shared" ca="1" si="26"/>
        <v>Vencida</v>
      </c>
    </row>
    <row r="531" spans="1:16" x14ac:dyDescent="0.3">
      <c r="A531" s="58" t="s">
        <v>821</v>
      </c>
      <c r="B531" s="56" t="s">
        <v>91</v>
      </c>
      <c r="C531" s="50" t="str">
        <f>_xlfn.XLOOKUP(B531,CLIENTES!$A$2:$A$301,CLIENTES!$B$2:$B$301)</f>
        <v>Fernando Luna</v>
      </c>
      <c r="D531" s="60">
        <v>45093</v>
      </c>
      <c r="E531" s="60">
        <f t="shared" si="24"/>
        <v>45459</v>
      </c>
      <c r="F531" s="50" t="s">
        <v>1598</v>
      </c>
      <c r="G531" s="56" t="s">
        <v>1605</v>
      </c>
      <c r="H531" s="47">
        <v>62</v>
      </c>
      <c r="I531" s="60">
        <v>23491</v>
      </c>
      <c r="J531" s="56" t="s">
        <v>1612</v>
      </c>
      <c r="K531" s="56">
        <v>2015</v>
      </c>
      <c r="L531" s="52">
        <f t="shared" si="25"/>
        <v>25192.235250000009</v>
      </c>
      <c r="M531" s="56">
        <f>LISTAS!$B$22*_xlfn.XLOOKUP(G531,LISTAS!$B$27:$B$36,LISTAS!$A$27:$A$36)*_xlfn.XLOOKUP(H531,LISTAS!$B$38:$B$47,LISTAS!$A$38:$A$47,,-1)*_xlfn.XLOOKUP(J531,LISTAS!$E$26:$H$26,LISTAS!$E$48:$H$48)*_xlfn.XLOOKUP(F531,LISTAS!$A$15:$A$18,LISTAS!$H$15:$H$18)</f>
        <v>2.5798500000000009E-2</v>
      </c>
      <c r="N531" s="54" cm="1">
        <f t="array" ref="N531">_xlfn.XLOOKUP(K531,LISTAS!$D$27:$D$47,_xlfn.XLOOKUP(J531,LISTAS!$E$26:$H$26,LISTAS!$E$27:$H$47))</f>
        <v>11718000</v>
      </c>
      <c r="O531" s="56" t="s">
        <v>1623</v>
      </c>
      <c r="P531" s="76" t="str">
        <f t="shared" ca="1" si="26"/>
        <v>Vencida</v>
      </c>
    </row>
    <row r="532" spans="1:16" x14ac:dyDescent="0.3">
      <c r="A532" s="58" t="s">
        <v>822</v>
      </c>
      <c r="B532" s="56" t="s">
        <v>124</v>
      </c>
      <c r="C532" s="50" t="str">
        <f>_xlfn.XLOOKUP(B532,CLIENTES!$A$2:$A$301,CLIENTES!$B$2:$B$301)</f>
        <v>Daniel Silva</v>
      </c>
      <c r="D532" s="60">
        <v>44907</v>
      </c>
      <c r="E532" s="60">
        <f t="shared" si="24"/>
        <v>45272</v>
      </c>
      <c r="F532" s="50" t="s">
        <v>1597</v>
      </c>
      <c r="G532" s="56" t="s">
        <v>1607</v>
      </c>
      <c r="H532" s="47">
        <v>79</v>
      </c>
      <c r="I532" s="60">
        <v>17251</v>
      </c>
      <c r="J532" s="56" t="s">
        <v>1611</v>
      </c>
      <c r="K532" s="56">
        <v>2020</v>
      </c>
      <c r="L532" s="52">
        <f t="shared" si="25"/>
        <v>87355.239125000007</v>
      </c>
      <c r="M532" s="56">
        <f>LISTAS!$B$22*_xlfn.XLOOKUP(G532,LISTAS!$B$27:$B$36,LISTAS!$A$27:$A$36)*_xlfn.XLOOKUP(H532,LISTAS!$B$38:$B$47,LISTAS!$A$38:$A$47,,-1)*_xlfn.XLOOKUP(J532,LISTAS!$E$26:$H$26,LISTAS!$E$48:$H$48)*_xlfn.XLOOKUP(F532,LISTAS!$A$15:$A$18,LISTAS!$H$15:$H$18)</f>
        <v>4.0353500000000007E-2</v>
      </c>
      <c r="N532" s="54" cm="1">
        <f t="array" ref="N532">_xlfn.XLOOKUP(K532,LISTAS!$D$27:$D$47,_xlfn.XLOOKUP(J532,LISTAS!$E$26:$H$26,LISTAS!$E$27:$H$47))</f>
        <v>25977000</v>
      </c>
      <c r="O532" s="56" t="s">
        <v>1623</v>
      </c>
      <c r="P532" s="76" t="str">
        <f t="shared" ca="1" si="26"/>
        <v>Vencida</v>
      </c>
    </row>
    <row r="533" spans="1:16" x14ac:dyDescent="0.3">
      <c r="A533" s="58" t="s">
        <v>823</v>
      </c>
      <c r="B533" s="56" t="s">
        <v>89</v>
      </c>
      <c r="C533" s="50" t="str">
        <f>_xlfn.XLOOKUP(B533,CLIENTES!$A$2:$A$301,CLIENTES!$B$2:$B$301)</f>
        <v>Gonzalo Acosta</v>
      </c>
      <c r="D533" s="60">
        <v>45739</v>
      </c>
      <c r="E533" s="60">
        <f t="shared" si="24"/>
        <v>46104</v>
      </c>
      <c r="F533" s="50" t="s">
        <v>1596</v>
      </c>
      <c r="G533" s="56" t="s">
        <v>1607</v>
      </c>
      <c r="H533" s="47">
        <v>39</v>
      </c>
      <c r="I533" s="60">
        <v>31882</v>
      </c>
      <c r="J533" s="56" t="s">
        <v>1610</v>
      </c>
      <c r="K533" s="56">
        <v>2024</v>
      </c>
      <c r="L533" s="52">
        <f t="shared" si="25"/>
        <v>57719.420000000006</v>
      </c>
      <c r="M533" s="56">
        <f>LISTAS!$B$22*_xlfn.XLOOKUP(G533,LISTAS!$B$27:$B$36,LISTAS!$A$27:$A$36)*_xlfn.XLOOKUP(H533,LISTAS!$B$38:$B$47,LISTAS!$A$38:$A$47,,-1)*_xlfn.XLOOKUP(J533,LISTAS!$E$26:$H$26,LISTAS!$E$48:$H$48)*_xlfn.XLOOKUP(F533,LISTAS!$A$15:$A$18,LISTAS!$H$15:$H$18)</f>
        <v>2.0570000000000001E-2</v>
      </c>
      <c r="N533" s="54" cm="1">
        <f t="array" ref="N533">_xlfn.XLOOKUP(K533,LISTAS!$D$27:$D$47,_xlfn.XLOOKUP(J533,LISTAS!$E$26:$H$26,LISTAS!$E$27:$H$47))</f>
        <v>33672000</v>
      </c>
      <c r="O533" s="56" t="s">
        <v>1623</v>
      </c>
      <c r="P533" s="76" t="str">
        <f t="shared" ca="1" si="26"/>
        <v>Vencida</v>
      </c>
    </row>
    <row r="534" spans="1:16" x14ac:dyDescent="0.3">
      <c r="A534" s="58" t="s">
        <v>824</v>
      </c>
      <c r="B534" s="56" t="s">
        <v>141</v>
      </c>
      <c r="C534" s="50" t="str">
        <f>_xlfn.XLOOKUP(B534,CLIENTES!$A$2:$A$301,CLIENTES!$B$2:$B$301)</f>
        <v>Emiliano Navarro</v>
      </c>
      <c r="D534" s="60">
        <v>44840</v>
      </c>
      <c r="E534" s="60">
        <f t="shared" si="24"/>
        <v>45205</v>
      </c>
      <c r="F534" s="50" t="s">
        <v>1598</v>
      </c>
      <c r="G534" s="56" t="s">
        <v>1607</v>
      </c>
      <c r="H534" s="47">
        <v>34</v>
      </c>
      <c r="I534" s="60">
        <v>33758</v>
      </c>
      <c r="J534" s="56" t="s">
        <v>1612</v>
      </c>
      <c r="K534" s="56">
        <v>2022</v>
      </c>
      <c r="L534" s="52">
        <f t="shared" si="25"/>
        <v>55823.267500000009</v>
      </c>
      <c r="M534" s="56">
        <f>LISTAS!$B$22*_xlfn.XLOOKUP(G534,LISTAS!$B$27:$B$36,LISTAS!$A$27:$A$36)*_xlfn.XLOOKUP(H534,LISTAS!$B$38:$B$47,LISTAS!$A$38:$A$47,,-1)*_xlfn.XLOOKUP(J534,LISTAS!$E$26:$H$26,LISTAS!$E$48:$H$48)*_xlfn.XLOOKUP(F534,LISTAS!$A$15:$A$18,LISTAS!$H$15:$H$18)</f>
        <v>3.0030000000000005E-2</v>
      </c>
      <c r="N534" s="54" cm="1">
        <f t="array" ref="N534">_xlfn.XLOOKUP(K534,LISTAS!$D$27:$D$47,_xlfn.XLOOKUP(J534,LISTAS!$E$26:$H$26,LISTAS!$E$27:$H$47))</f>
        <v>22307000</v>
      </c>
      <c r="O534" s="56" t="s">
        <v>1623</v>
      </c>
      <c r="P534" s="76" t="str">
        <f t="shared" ca="1" si="26"/>
        <v>Vencida</v>
      </c>
    </row>
    <row r="535" spans="1:16" x14ac:dyDescent="0.3">
      <c r="A535" s="58" t="s">
        <v>825</v>
      </c>
      <c r="B535" s="56" t="s">
        <v>274</v>
      </c>
      <c r="C535" s="50" t="str">
        <f>_xlfn.XLOOKUP(B535,CLIENTES!$A$2:$A$301,CLIENTES!$B$2:$B$301)</f>
        <v>Lautaro Medina</v>
      </c>
      <c r="D535" s="60">
        <v>45480</v>
      </c>
      <c r="E535" s="60">
        <f t="shared" si="24"/>
        <v>45845</v>
      </c>
      <c r="F535" s="50" t="s">
        <v>1595</v>
      </c>
      <c r="G535" s="56" t="s">
        <v>1601</v>
      </c>
      <c r="H535" s="47">
        <v>58</v>
      </c>
      <c r="I535" s="60">
        <v>24782</v>
      </c>
      <c r="J535" s="56" t="s">
        <v>1611</v>
      </c>
      <c r="K535" s="56">
        <v>2023</v>
      </c>
      <c r="L535" s="52">
        <f t="shared" si="25"/>
        <v>45589.219999999994</v>
      </c>
      <c r="M535" s="56">
        <f>LISTAS!$B$22*_xlfn.XLOOKUP(G535,LISTAS!$B$27:$B$36,LISTAS!$A$27:$A$36)*_xlfn.XLOOKUP(H535,LISTAS!$B$38:$B$47,LISTAS!$A$38:$A$47,,-1)*_xlfn.XLOOKUP(J535,LISTAS!$E$26:$H$26,LISTAS!$E$48:$H$48)*_xlfn.XLOOKUP(F535,LISTAS!$A$15:$A$18,LISTAS!$H$15:$H$18)</f>
        <v>1.5869999999999999E-2</v>
      </c>
      <c r="N535" s="54" cm="1">
        <f t="array" ref="N535">_xlfn.XLOOKUP(K535,LISTAS!$D$27:$D$47,_xlfn.XLOOKUP(J535,LISTAS!$E$26:$H$26,LISTAS!$E$27:$H$47))</f>
        <v>34472000</v>
      </c>
      <c r="O535" s="56" t="s">
        <v>1623</v>
      </c>
      <c r="P535" s="76" t="str">
        <f t="shared" ca="1" si="26"/>
        <v>Vencida</v>
      </c>
    </row>
    <row r="536" spans="1:16" x14ac:dyDescent="0.3">
      <c r="A536" s="58" t="s">
        <v>826</v>
      </c>
      <c r="B536" s="56" t="s">
        <v>108</v>
      </c>
      <c r="C536" s="50" t="str">
        <f>_xlfn.XLOOKUP(B536,CLIENTES!$A$2:$A$301,CLIENTES!$B$2:$B$301)</f>
        <v>Paula Ponce</v>
      </c>
      <c r="D536" s="60">
        <v>45543</v>
      </c>
      <c r="E536" s="60">
        <f t="shared" si="24"/>
        <v>45908</v>
      </c>
      <c r="F536" s="50" t="s">
        <v>1598</v>
      </c>
      <c r="G536" s="56" t="s">
        <v>1604</v>
      </c>
      <c r="H536" s="47">
        <v>70</v>
      </c>
      <c r="I536" s="60">
        <v>20367</v>
      </c>
      <c r="J536" s="56" t="s">
        <v>1609</v>
      </c>
      <c r="K536" s="56">
        <v>2022</v>
      </c>
      <c r="L536" s="52">
        <f t="shared" si="25"/>
        <v>55504.994999999995</v>
      </c>
      <c r="M536" s="56">
        <f>LISTAS!$B$22*_xlfn.XLOOKUP(G536,LISTAS!$B$27:$B$36,LISTAS!$A$27:$A$36)*_xlfn.XLOOKUP(H536,LISTAS!$B$38:$B$47,LISTAS!$A$38:$A$47,,-1)*_xlfn.XLOOKUP(J536,LISTAS!$E$26:$H$26,LISTAS!$E$48:$H$48)*_xlfn.XLOOKUP(F536,LISTAS!$A$15:$A$18,LISTAS!$H$15:$H$18)</f>
        <v>3.8219999999999997E-2</v>
      </c>
      <c r="N536" s="54" cm="1">
        <f t="array" ref="N536">_xlfn.XLOOKUP(K536,LISTAS!$D$27:$D$47,_xlfn.XLOOKUP(J536,LISTAS!$E$26:$H$26,LISTAS!$E$27:$H$47))</f>
        <v>17427000</v>
      </c>
      <c r="O536" s="56" t="s">
        <v>1623</v>
      </c>
      <c r="P536" s="76" t="str">
        <f t="shared" ca="1" si="26"/>
        <v>Vencida</v>
      </c>
    </row>
    <row r="537" spans="1:16" x14ac:dyDescent="0.3">
      <c r="A537" s="58" t="s">
        <v>827</v>
      </c>
      <c r="B537" s="56" t="s">
        <v>20</v>
      </c>
      <c r="C537" s="50" t="str">
        <f>_xlfn.XLOOKUP(B537,CLIENTES!$A$2:$A$301,CLIENTES!$B$2:$B$301)</f>
        <v>Catalina Vera</v>
      </c>
      <c r="D537" s="60">
        <v>45732</v>
      </c>
      <c r="E537" s="60">
        <f t="shared" si="24"/>
        <v>46097</v>
      </c>
      <c r="F537" s="50" t="s">
        <v>1595</v>
      </c>
      <c r="G537" s="56" t="s">
        <v>1603</v>
      </c>
      <c r="H537" s="47">
        <v>58</v>
      </c>
      <c r="I537" s="60">
        <v>24898</v>
      </c>
      <c r="J537" s="56" t="s">
        <v>1609</v>
      </c>
      <c r="K537" s="56">
        <v>2019</v>
      </c>
      <c r="L537" s="52">
        <f t="shared" si="25"/>
        <v>12476.349999999999</v>
      </c>
      <c r="M537" s="56">
        <f>LISTAS!$B$22*_xlfn.XLOOKUP(G537,LISTAS!$B$27:$B$36,LISTAS!$A$27:$A$36)*_xlfn.XLOOKUP(H537,LISTAS!$B$38:$B$47,LISTAS!$A$38:$A$47,,-1)*_xlfn.XLOOKUP(J537,LISTAS!$E$26:$H$26,LISTAS!$E$48:$H$48)*_xlfn.XLOOKUP(F537,LISTAS!$A$15:$A$18,LISTAS!$H$15:$H$18)</f>
        <v>1.1399999999999999E-2</v>
      </c>
      <c r="N537" s="54" cm="1">
        <f t="array" ref="N537">_xlfn.XLOOKUP(K537,LISTAS!$D$27:$D$47,_xlfn.XLOOKUP(J537,LISTAS!$E$26:$H$26,LISTAS!$E$27:$H$47))</f>
        <v>13133000</v>
      </c>
      <c r="O537" s="56" t="s">
        <v>1624</v>
      </c>
      <c r="P537" s="76" t="str">
        <f t="shared" ca="1" si="26"/>
        <v>Vencida</v>
      </c>
    </row>
    <row r="538" spans="1:16" x14ac:dyDescent="0.3">
      <c r="A538" s="58" t="s">
        <v>828</v>
      </c>
      <c r="B538" s="56" t="s">
        <v>122</v>
      </c>
      <c r="C538" s="50" t="str">
        <f>_xlfn.XLOOKUP(B538,CLIENTES!$A$2:$A$301,CLIENTES!$B$2:$B$301)</f>
        <v>Lucía Ponce</v>
      </c>
      <c r="D538" s="60">
        <v>46240</v>
      </c>
      <c r="E538" s="60">
        <f t="shared" si="24"/>
        <v>46605</v>
      </c>
      <c r="F538" s="50" t="s">
        <v>1595</v>
      </c>
      <c r="G538" s="56" t="s">
        <v>1600</v>
      </c>
      <c r="H538" s="47">
        <v>57</v>
      </c>
      <c r="I538" s="60">
        <v>25351</v>
      </c>
      <c r="J538" s="56" t="s">
        <v>1611</v>
      </c>
      <c r="K538" s="56">
        <v>2026</v>
      </c>
      <c r="L538" s="52">
        <f t="shared" si="25"/>
        <v>59512.499999999993</v>
      </c>
      <c r="M538" s="56">
        <f>LISTAS!$B$22*_xlfn.XLOOKUP(G538,LISTAS!$B$27:$B$36,LISTAS!$A$27:$A$36)*_xlfn.XLOOKUP(H538,LISTAS!$B$38:$B$47,LISTAS!$A$38:$A$47,,-1)*_xlfn.XLOOKUP(J538,LISTAS!$E$26:$H$26,LISTAS!$E$48:$H$48)*_xlfn.XLOOKUP(F538,LISTAS!$A$15:$A$18,LISTAS!$H$15:$H$18)</f>
        <v>1.5869999999999999E-2</v>
      </c>
      <c r="N538" s="54" cm="1">
        <f t="array" ref="N538">_xlfn.XLOOKUP(K538,LISTAS!$D$27:$D$47,_xlfn.XLOOKUP(J538,LISTAS!$E$26:$H$26,LISTAS!$E$27:$H$47))</f>
        <v>45000000</v>
      </c>
      <c r="O538" s="56" t="s">
        <v>1624</v>
      </c>
      <c r="P538" s="76" t="str">
        <f t="shared" ca="1" si="26"/>
        <v>Vigente</v>
      </c>
    </row>
    <row r="539" spans="1:16" x14ac:dyDescent="0.3">
      <c r="A539" s="58" t="s">
        <v>829</v>
      </c>
      <c r="B539" s="56" t="s">
        <v>151</v>
      </c>
      <c r="C539" s="50" t="str">
        <f>_xlfn.XLOOKUP(B539,CLIENTES!$A$2:$A$301,CLIENTES!$B$2:$B$301)</f>
        <v>Alejandro Suárez</v>
      </c>
      <c r="D539" s="60">
        <v>45081</v>
      </c>
      <c r="E539" s="60">
        <f t="shared" si="24"/>
        <v>45447</v>
      </c>
      <c r="F539" s="50" t="s">
        <v>1596</v>
      </c>
      <c r="G539" s="56" t="s">
        <v>1603</v>
      </c>
      <c r="H539" s="47">
        <v>62</v>
      </c>
      <c r="I539" s="60">
        <v>23307</v>
      </c>
      <c r="J539" s="56" t="s">
        <v>1609</v>
      </c>
      <c r="K539" s="56">
        <v>2020</v>
      </c>
      <c r="L539" s="52">
        <f t="shared" si="25"/>
        <v>20394.22</v>
      </c>
      <c r="M539" s="56">
        <f>LISTAS!$B$22*_xlfn.XLOOKUP(G539,LISTAS!$B$27:$B$36,LISTAS!$A$27:$A$36)*_xlfn.XLOOKUP(H539,LISTAS!$B$38:$B$47,LISTAS!$A$38:$A$47,,-1)*_xlfn.XLOOKUP(J539,LISTAS!$E$26:$H$26,LISTAS!$E$48:$H$48)*_xlfn.XLOOKUP(F539,LISTAS!$A$15:$A$18,LISTAS!$H$15:$H$18)</f>
        <v>1.69575E-2</v>
      </c>
      <c r="N539" s="54" cm="1">
        <f t="array" ref="N539">_xlfn.XLOOKUP(K539,LISTAS!$D$27:$D$47,_xlfn.XLOOKUP(J539,LISTAS!$E$26:$H$26,LISTAS!$E$27:$H$47))</f>
        <v>14432000</v>
      </c>
      <c r="O539" s="56" t="s">
        <v>1623</v>
      </c>
      <c r="P539" s="76" t="str">
        <f t="shared" ca="1" si="26"/>
        <v>Vencida</v>
      </c>
    </row>
    <row r="540" spans="1:16" x14ac:dyDescent="0.3">
      <c r="A540" s="58" t="s">
        <v>830</v>
      </c>
      <c r="B540" s="56" t="s">
        <v>239</v>
      </c>
      <c r="C540" s="50" t="str">
        <f>_xlfn.XLOOKUP(B540,CLIENTES!$A$2:$A$301,CLIENTES!$B$2:$B$301)</f>
        <v>Matías Flores</v>
      </c>
      <c r="D540" s="60">
        <v>46125</v>
      </c>
      <c r="E540" s="60">
        <f t="shared" si="24"/>
        <v>46490</v>
      </c>
      <c r="F540" s="50" t="s">
        <v>1595</v>
      </c>
      <c r="G540" s="56" t="s">
        <v>1607</v>
      </c>
      <c r="H540" s="47">
        <v>18</v>
      </c>
      <c r="I540" s="60">
        <v>39452</v>
      </c>
      <c r="J540" s="56" t="s">
        <v>1609</v>
      </c>
      <c r="K540" s="56">
        <v>2022</v>
      </c>
      <c r="L540" s="52">
        <f t="shared" si="25"/>
        <v>28754.550000000003</v>
      </c>
      <c r="M540" s="56">
        <f>LISTAS!$B$22*_xlfn.XLOOKUP(G540,LISTAS!$B$27:$B$36,LISTAS!$A$27:$A$36)*_xlfn.XLOOKUP(H540,LISTAS!$B$38:$B$47,LISTAS!$A$38:$A$47,,-1)*_xlfn.XLOOKUP(J540,LISTAS!$E$26:$H$26,LISTAS!$E$48:$H$48)*_xlfn.XLOOKUP(F540,LISTAS!$A$15:$A$18,LISTAS!$H$15:$H$18)</f>
        <v>1.9800000000000002E-2</v>
      </c>
      <c r="N540" s="54" cm="1">
        <f t="array" ref="N540">_xlfn.XLOOKUP(K540,LISTAS!$D$27:$D$47,_xlfn.XLOOKUP(J540,LISTAS!$E$26:$H$26,LISTAS!$E$27:$H$47))</f>
        <v>17427000</v>
      </c>
      <c r="O540" s="56" t="s">
        <v>1624</v>
      </c>
      <c r="P540" s="76" t="str">
        <f t="shared" ca="1" si="26"/>
        <v>Vigente</v>
      </c>
    </row>
    <row r="541" spans="1:16" x14ac:dyDescent="0.3">
      <c r="A541" s="58" t="s">
        <v>831</v>
      </c>
      <c r="B541" s="56" t="s">
        <v>235</v>
      </c>
      <c r="C541" s="50" t="str">
        <f>_xlfn.XLOOKUP(B541,CLIENTES!$A$2:$A$301,CLIENTES!$B$2:$B$301)</f>
        <v>Rodrigo Cabrera</v>
      </c>
      <c r="D541" s="60">
        <v>45505</v>
      </c>
      <c r="E541" s="60">
        <f t="shared" si="24"/>
        <v>45870</v>
      </c>
      <c r="F541" s="50" t="s">
        <v>1596</v>
      </c>
      <c r="G541" s="56" t="s">
        <v>1602</v>
      </c>
      <c r="H541" s="47">
        <v>65</v>
      </c>
      <c r="I541" s="60">
        <v>22412</v>
      </c>
      <c r="J541" s="56" t="s">
        <v>1610</v>
      </c>
      <c r="K541" s="56">
        <v>2009</v>
      </c>
      <c r="L541" s="52">
        <f t="shared" si="25"/>
        <v>17544.85425</v>
      </c>
      <c r="M541" s="56">
        <f>LISTAS!$B$22*_xlfn.XLOOKUP(G541,LISTAS!$B$27:$B$36,LISTAS!$A$27:$A$36)*_xlfn.XLOOKUP(H541,LISTAS!$B$38:$B$47,LISTAS!$A$38:$A$47,,-1)*_xlfn.XLOOKUP(J541,LISTAS!$E$26:$H$26,LISTAS!$E$48:$H$48)*_xlfn.XLOOKUP(F541,LISTAS!$A$15:$A$18,LISTAS!$H$15:$H$18)</f>
        <v>2.2580250000000003E-2</v>
      </c>
      <c r="N541" s="54" cm="1">
        <f t="array" ref="N541">_xlfn.XLOOKUP(K541,LISTAS!$D$27:$D$47,_xlfn.XLOOKUP(J541,LISTAS!$E$26:$H$26,LISTAS!$E$27:$H$47))</f>
        <v>9324000</v>
      </c>
      <c r="O541" s="56" t="s">
        <v>1625</v>
      </c>
      <c r="P541" s="76" t="str">
        <f t="shared" ca="1" si="26"/>
        <v>Vencida</v>
      </c>
    </row>
    <row r="542" spans="1:16" x14ac:dyDescent="0.3">
      <c r="A542" s="58" t="s">
        <v>832</v>
      </c>
      <c r="B542" s="56" t="s">
        <v>137</v>
      </c>
      <c r="C542" s="50" t="str">
        <f>_xlfn.XLOOKUP(B542,CLIENTES!$A$2:$A$301,CLIENTES!$B$2:$B$301)</f>
        <v>Lucas Gómez</v>
      </c>
      <c r="D542" s="60">
        <v>44440</v>
      </c>
      <c r="E542" s="60">
        <f t="shared" si="24"/>
        <v>44805</v>
      </c>
      <c r="F542" s="50" t="s">
        <v>1596</v>
      </c>
      <c r="G542" s="56" t="s">
        <v>1607</v>
      </c>
      <c r="H542" s="47">
        <v>51</v>
      </c>
      <c r="I542" s="60">
        <v>27423</v>
      </c>
      <c r="J542" s="56" t="s">
        <v>1611</v>
      </c>
      <c r="K542" s="56">
        <v>2020</v>
      </c>
      <c r="L542" s="52">
        <f t="shared" si="25"/>
        <v>46552.948750000003</v>
      </c>
      <c r="M542" s="56">
        <f>LISTAS!$B$22*_xlfn.XLOOKUP(G542,LISTAS!$B$27:$B$36,LISTAS!$A$27:$A$36)*_xlfn.XLOOKUP(H542,LISTAS!$B$38:$B$47,LISTAS!$A$38:$A$47,,-1)*_xlfn.XLOOKUP(J542,LISTAS!$E$26:$H$26,LISTAS!$E$48:$H$48)*_xlfn.XLOOKUP(F542,LISTAS!$A$15:$A$18,LISTAS!$H$15:$H$18)</f>
        <v>2.1505E-2</v>
      </c>
      <c r="N542" s="54" cm="1">
        <f t="array" ref="N542">_xlfn.XLOOKUP(K542,LISTAS!$D$27:$D$47,_xlfn.XLOOKUP(J542,LISTAS!$E$26:$H$26,LISTAS!$E$27:$H$47))</f>
        <v>25977000</v>
      </c>
      <c r="O542" s="56" t="s">
        <v>1625</v>
      </c>
      <c r="P542" s="76" t="str">
        <f t="shared" ca="1" si="26"/>
        <v>Vencida</v>
      </c>
    </row>
    <row r="543" spans="1:16" x14ac:dyDescent="0.3">
      <c r="A543" s="58" t="s">
        <v>833</v>
      </c>
      <c r="B543" s="56" t="s">
        <v>210</v>
      </c>
      <c r="C543" s="50" t="str">
        <f>_xlfn.XLOOKUP(B543,CLIENTES!$A$2:$A$301,CLIENTES!$B$2:$B$301)</f>
        <v>Lucas Álvarez</v>
      </c>
      <c r="D543" s="60">
        <v>45464</v>
      </c>
      <c r="E543" s="60">
        <f t="shared" si="24"/>
        <v>45829</v>
      </c>
      <c r="F543" s="50" t="s">
        <v>1597</v>
      </c>
      <c r="G543" s="56" t="s">
        <v>1608</v>
      </c>
      <c r="H543" s="47">
        <v>36</v>
      </c>
      <c r="I543" s="60">
        <v>32854</v>
      </c>
      <c r="J543" s="56" t="s">
        <v>1612</v>
      </c>
      <c r="K543" s="56">
        <v>2023</v>
      </c>
      <c r="L543" s="52">
        <f t="shared" si="25"/>
        <v>44828.14875</v>
      </c>
      <c r="M543" s="56">
        <f>LISTAS!$B$22*_xlfn.XLOOKUP(G543,LISTAS!$B$27:$B$36,LISTAS!$A$27:$A$36)*_xlfn.XLOOKUP(H543,LISTAS!$B$38:$B$47,LISTAS!$A$38:$A$47,,-1)*_xlfn.XLOOKUP(J543,LISTAS!$E$26:$H$26,LISTAS!$E$48:$H$48)*_xlfn.XLOOKUP(F543,LISTAS!$A$15:$A$18,LISTAS!$H$15:$H$18)</f>
        <v>2.1944999999999999E-2</v>
      </c>
      <c r="N543" s="54" cm="1">
        <f t="array" ref="N543">_xlfn.XLOOKUP(K543,LISTAS!$D$27:$D$47,_xlfn.XLOOKUP(J543,LISTAS!$E$26:$H$26,LISTAS!$E$27:$H$47))</f>
        <v>24513000</v>
      </c>
      <c r="O543" s="56" t="s">
        <v>1625</v>
      </c>
      <c r="P543" s="76" t="str">
        <f t="shared" ca="1" si="26"/>
        <v>Vencida</v>
      </c>
    </row>
    <row r="544" spans="1:16" x14ac:dyDescent="0.3">
      <c r="A544" s="58" t="s">
        <v>834</v>
      </c>
      <c r="B544" s="56" t="s">
        <v>118</v>
      </c>
      <c r="C544" s="50" t="str">
        <f>_xlfn.XLOOKUP(B544,CLIENTES!$A$2:$A$301,CLIENTES!$B$2:$B$301)</f>
        <v>Joaquín Ramírez</v>
      </c>
      <c r="D544" s="60">
        <v>45888</v>
      </c>
      <c r="E544" s="60">
        <f t="shared" si="24"/>
        <v>46253</v>
      </c>
      <c r="F544" s="50" t="s">
        <v>1597</v>
      </c>
      <c r="G544" s="56" t="s">
        <v>1602</v>
      </c>
      <c r="H544" s="47">
        <v>66</v>
      </c>
      <c r="I544" s="60">
        <v>21860</v>
      </c>
      <c r="J544" s="56" t="s">
        <v>1610</v>
      </c>
      <c r="K544" s="56">
        <v>2019</v>
      </c>
      <c r="L544" s="52">
        <f t="shared" si="25"/>
        <v>51166.846500000014</v>
      </c>
      <c r="M544" s="56">
        <f>LISTAS!$B$22*_xlfn.XLOOKUP(G544,LISTAS!$B$27:$B$36,LISTAS!$A$27:$A$36)*_xlfn.XLOOKUP(H544,LISTAS!$B$38:$B$47,LISTAS!$A$38:$A$47,,-1)*_xlfn.XLOOKUP(J544,LISTAS!$E$26:$H$26,LISTAS!$E$48:$H$48)*_xlfn.XLOOKUP(F544,LISTAS!$A$15:$A$18,LISTAS!$H$15:$H$18)</f>
        <v>2.9221500000000008E-2</v>
      </c>
      <c r="N544" s="54" cm="1">
        <f t="array" ref="N544">_xlfn.XLOOKUP(K544,LISTAS!$D$27:$D$47,_xlfn.XLOOKUP(J544,LISTAS!$E$26:$H$26,LISTAS!$E$27:$H$47))</f>
        <v>21012000</v>
      </c>
      <c r="O544" s="56" t="s">
        <v>1623</v>
      </c>
      <c r="P544" s="76" t="str">
        <f t="shared" ca="1" si="26"/>
        <v>Vencida</v>
      </c>
    </row>
    <row r="545" spans="1:16" x14ac:dyDescent="0.3">
      <c r="A545" s="58" t="s">
        <v>835</v>
      </c>
      <c r="B545" s="56" t="s">
        <v>140</v>
      </c>
      <c r="C545" s="50" t="str">
        <f>_xlfn.XLOOKUP(B545,CLIENTES!$A$2:$A$301,CLIENTES!$B$2:$B$301)</f>
        <v>Micaela Vázquez</v>
      </c>
      <c r="D545" s="60">
        <v>45204</v>
      </c>
      <c r="E545" s="60">
        <f t="shared" si="24"/>
        <v>45570</v>
      </c>
      <c r="F545" s="50" t="s">
        <v>1598</v>
      </c>
      <c r="G545" s="56" t="s">
        <v>1606</v>
      </c>
      <c r="H545" s="47">
        <v>37</v>
      </c>
      <c r="I545" s="60">
        <v>32723</v>
      </c>
      <c r="J545" s="56" t="s">
        <v>1610</v>
      </c>
      <c r="K545" s="56">
        <v>2021</v>
      </c>
      <c r="L545" s="52">
        <f t="shared" si="25"/>
        <v>60474.700000000012</v>
      </c>
      <c r="M545" s="56">
        <f>LISTAS!$B$22*_xlfn.XLOOKUP(G545,LISTAS!$B$27:$B$36,LISTAS!$A$27:$A$36)*_xlfn.XLOOKUP(H545,LISTAS!$B$38:$B$47,LISTAS!$A$38:$A$47,,-1)*_xlfn.XLOOKUP(J545,LISTAS!$E$26:$H$26,LISTAS!$E$48:$H$48)*_xlfn.XLOOKUP(F545,LISTAS!$A$15:$A$18,LISTAS!$H$15:$H$18)</f>
        <v>2.8600000000000004E-2</v>
      </c>
      <c r="N545" s="54" cm="1">
        <f t="array" ref="N545">_xlfn.XLOOKUP(K545,LISTAS!$D$27:$D$47,_xlfn.XLOOKUP(J545,LISTAS!$E$26:$H$26,LISTAS!$E$27:$H$47))</f>
        <v>25374000</v>
      </c>
      <c r="O545" s="56" t="s">
        <v>1623</v>
      </c>
      <c r="P545" s="76" t="str">
        <f t="shared" ca="1" si="26"/>
        <v>Vencida</v>
      </c>
    </row>
    <row r="546" spans="1:16" x14ac:dyDescent="0.3">
      <c r="A546" s="58" t="s">
        <v>836</v>
      </c>
      <c r="B546" s="56" t="s">
        <v>109</v>
      </c>
      <c r="C546" s="50" t="str">
        <f>_xlfn.XLOOKUP(B546,CLIENTES!$A$2:$A$301,CLIENTES!$B$2:$B$301)</f>
        <v>Micaela Torres</v>
      </c>
      <c r="D546" s="60">
        <v>44971</v>
      </c>
      <c r="E546" s="60">
        <f t="shared" si="24"/>
        <v>45336</v>
      </c>
      <c r="F546" s="50" t="s">
        <v>1596</v>
      </c>
      <c r="G546" s="56" t="s">
        <v>1603</v>
      </c>
      <c r="H546" s="47">
        <v>49</v>
      </c>
      <c r="I546" s="60">
        <v>28055</v>
      </c>
      <c r="J546" s="56" t="s">
        <v>1610</v>
      </c>
      <c r="K546" s="56">
        <v>2024</v>
      </c>
      <c r="L546" s="52">
        <f t="shared" si="25"/>
        <v>47356.160499999998</v>
      </c>
      <c r="M546" s="56">
        <f>LISTAS!$B$22*_xlfn.XLOOKUP(G546,LISTAS!$B$27:$B$36,LISTAS!$A$27:$A$36)*_xlfn.XLOOKUP(H546,LISTAS!$B$38:$B$47,LISTAS!$A$38:$A$47,,-1)*_xlfn.XLOOKUP(J546,LISTAS!$E$26:$H$26,LISTAS!$E$48:$H$48)*_xlfn.XLOOKUP(F546,LISTAS!$A$15:$A$18,LISTAS!$H$15:$H$18)</f>
        <v>1.6876749999999999E-2</v>
      </c>
      <c r="N546" s="54" cm="1">
        <f t="array" ref="N546">_xlfn.XLOOKUP(K546,LISTAS!$D$27:$D$47,_xlfn.XLOOKUP(J546,LISTAS!$E$26:$H$26,LISTAS!$E$27:$H$47))</f>
        <v>33672000</v>
      </c>
      <c r="O546" s="56" t="s">
        <v>1623</v>
      </c>
      <c r="P546" s="76" t="str">
        <f t="shared" ca="1" si="26"/>
        <v>Vencida</v>
      </c>
    </row>
    <row r="547" spans="1:16" x14ac:dyDescent="0.3">
      <c r="A547" s="58" t="s">
        <v>837</v>
      </c>
      <c r="B547" s="56" t="s">
        <v>273</v>
      </c>
      <c r="C547" s="50" t="str">
        <f>_xlfn.XLOOKUP(B547,CLIENTES!$A$2:$A$301,CLIENTES!$B$2:$B$301)</f>
        <v>Nicolás Ramírez</v>
      </c>
      <c r="D547" s="60">
        <v>45660</v>
      </c>
      <c r="E547" s="60">
        <f t="shared" si="24"/>
        <v>46025</v>
      </c>
      <c r="F547" s="50" t="s">
        <v>1597</v>
      </c>
      <c r="G547" s="56" t="s">
        <v>1600</v>
      </c>
      <c r="H547" s="47">
        <v>58</v>
      </c>
      <c r="I547" s="60">
        <v>24773</v>
      </c>
      <c r="J547" s="56" t="s">
        <v>1610</v>
      </c>
      <c r="K547" s="56">
        <v>2022</v>
      </c>
      <c r="L547" s="52">
        <f t="shared" si="25"/>
        <v>64667.643333333341</v>
      </c>
      <c r="M547" s="56">
        <f>LISTAS!$B$22*_xlfn.XLOOKUP(G547,LISTAS!$B$27:$B$36,LISTAS!$A$27:$A$36)*_xlfn.XLOOKUP(H547,LISTAS!$B$38:$B$47,LISTAS!$A$38:$A$47,,-1)*_xlfn.XLOOKUP(J547,LISTAS!$E$26:$H$26,LISTAS!$E$48:$H$48)*_xlfn.XLOOKUP(F547,LISTAS!$A$15:$A$18,LISTAS!$H$15:$H$18)</f>
        <v>2.7830000000000004E-2</v>
      </c>
      <c r="N547" s="54" cm="1">
        <f t="array" ref="N547">_xlfn.XLOOKUP(K547,LISTAS!$D$27:$D$47,_xlfn.XLOOKUP(J547,LISTAS!$E$26:$H$26,LISTAS!$E$27:$H$47))</f>
        <v>27884000</v>
      </c>
      <c r="O547" s="56" t="s">
        <v>1623</v>
      </c>
      <c r="P547" s="76" t="str">
        <f t="shared" ca="1" si="26"/>
        <v>Vencida</v>
      </c>
    </row>
    <row r="548" spans="1:16" x14ac:dyDescent="0.3">
      <c r="A548" s="58" t="s">
        <v>838</v>
      </c>
      <c r="B548" s="56" t="s">
        <v>212</v>
      </c>
      <c r="C548" s="50" t="str">
        <f>_xlfn.XLOOKUP(B548,CLIENTES!$A$2:$A$301,CLIENTES!$B$2:$B$301)</f>
        <v>Matías Silva</v>
      </c>
      <c r="D548" s="60">
        <v>44483</v>
      </c>
      <c r="E548" s="60">
        <f t="shared" si="24"/>
        <v>44848</v>
      </c>
      <c r="F548" s="50" t="s">
        <v>1596</v>
      </c>
      <c r="G548" s="56" t="s">
        <v>1600</v>
      </c>
      <c r="H548" s="47">
        <v>75</v>
      </c>
      <c r="I548" s="60">
        <v>18678</v>
      </c>
      <c r="J548" s="56" t="s">
        <v>1610</v>
      </c>
      <c r="K548" s="56">
        <v>2026</v>
      </c>
      <c r="L548" s="52">
        <f t="shared" si="25"/>
        <v>103940.83333333333</v>
      </c>
      <c r="M548" s="56">
        <f>LISTAS!$B$22*_xlfn.XLOOKUP(G548,LISTAS!$B$27:$B$36,LISTAS!$A$27:$A$36)*_xlfn.XLOOKUP(H548,LISTAS!$B$38:$B$47,LISTAS!$A$38:$A$47,,-1)*_xlfn.XLOOKUP(J548,LISTAS!$E$26:$H$26,LISTAS!$E$48:$H$48)*_xlfn.XLOOKUP(F548,LISTAS!$A$15:$A$18,LISTAS!$H$15:$H$18)</f>
        <v>3.1182250000000002E-2</v>
      </c>
      <c r="N548" s="54" cm="1">
        <f t="array" ref="N548">_xlfn.XLOOKUP(K548,LISTAS!$D$27:$D$47,_xlfn.XLOOKUP(J548,LISTAS!$E$26:$H$26,LISTAS!$E$27:$H$47))</f>
        <v>40000000</v>
      </c>
      <c r="O548" s="56" t="s">
        <v>1623</v>
      </c>
      <c r="P548" s="76" t="str">
        <f t="shared" ca="1" si="26"/>
        <v>Vencida</v>
      </c>
    </row>
    <row r="549" spans="1:16" x14ac:dyDescent="0.3">
      <c r="A549" s="58" t="s">
        <v>839</v>
      </c>
      <c r="B549" s="56" t="s">
        <v>203</v>
      </c>
      <c r="C549" s="50" t="str">
        <f>_xlfn.XLOOKUP(B549,CLIENTES!$A$2:$A$301,CLIENTES!$B$2:$B$301)</f>
        <v>Mariano Molina</v>
      </c>
      <c r="D549" s="60">
        <v>45807</v>
      </c>
      <c r="E549" s="60">
        <f t="shared" si="24"/>
        <v>46172</v>
      </c>
      <c r="F549" s="50" t="s">
        <v>1598</v>
      </c>
      <c r="G549" s="56" t="s">
        <v>1599</v>
      </c>
      <c r="H549" s="47">
        <v>80</v>
      </c>
      <c r="I549" s="60">
        <v>16682</v>
      </c>
      <c r="J549" s="56" t="s">
        <v>1609</v>
      </c>
      <c r="K549" s="56">
        <v>2024</v>
      </c>
      <c r="L549" s="52">
        <f t="shared" si="25"/>
        <v>79339.649999999994</v>
      </c>
      <c r="M549" s="56">
        <f>LISTAS!$B$22*_xlfn.XLOOKUP(G549,LISTAS!$B$27:$B$36,LISTAS!$A$27:$A$36)*_xlfn.XLOOKUP(H549,LISTAS!$B$38:$B$47,LISTAS!$A$38:$A$47,,-1)*_xlfn.XLOOKUP(J549,LISTAS!$E$26:$H$26,LISTAS!$E$48:$H$48)*_xlfn.XLOOKUP(F549,LISTAS!$A$15:$A$18,LISTAS!$H$15:$H$18)</f>
        <v>4.5239999999999995E-2</v>
      </c>
      <c r="N549" s="54" cm="1">
        <f t="array" ref="N549">_xlfn.XLOOKUP(K549,LISTAS!$D$27:$D$47,_xlfn.XLOOKUP(J549,LISTAS!$E$26:$H$26,LISTAS!$E$27:$H$47))</f>
        <v>21045000</v>
      </c>
      <c r="O549" s="56" t="s">
        <v>1623</v>
      </c>
      <c r="P549" s="76" t="str">
        <f t="shared" ca="1" si="26"/>
        <v>Vencida</v>
      </c>
    </row>
    <row r="550" spans="1:16" x14ac:dyDescent="0.3">
      <c r="A550" s="58" t="s">
        <v>840</v>
      </c>
      <c r="B550" s="56" t="s">
        <v>234</v>
      </c>
      <c r="C550" s="50" t="str">
        <f>_xlfn.XLOOKUP(B550,CLIENTES!$A$2:$A$301,CLIENTES!$B$2:$B$301)</f>
        <v>Natalia Suárez</v>
      </c>
      <c r="D550" s="60">
        <v>46099</v>
      </c>
      <c r="E550" s="60">
        <f t="shared" si="24"/>
        <v>46464</v>
      </c>
      <c r="F550" s="50" t="s">
        <v>1595</v>
      </c>
      <c r="G550" s="56" t="s">
        <v>1604</v>
      </c>
      <c r="H550" s="47">
        <v>19</v>
      </c>
      <c r="I550" s="60">
        <v>38970</v>
      </c>
      <c r="J550" s="56" t="s">
        <v>1609</v>
      </c>
      <c r="K550" s="56">
        <v>2023</v>
      </c>
      <c r="L550" s="52">
        <f t="shared" si="25"/>
        <v>30162.825000000001</v>
      </c>
      <c r="M550" s="56">
        <f>LISTAS!$B$22*_xlfn.XLOOKUP(G550,LISTAS!$B$27:$B$36,LISTAS!$A$27:$A$36)*_xlfn.XLOOKUP(H550,LISTAS!$B$38:$B$47,LISTAS!$A$38:$A$47,,-1)*_xlfn.XLOOKUP(J550,LISTAS!$E$26:$H$26,LISTAS!$E$48:$H$48)*_xlfn.XLOOKUP(F550,LISTAS!$A$15:$A$18,LISTAS!$H$15:$H$18)</f>
        <v>1.89E-2</v>
      </c>
      <c r="N550" s="54" cm="1">
        <f t="array" ref="N550">_xlfn.XLOOKUP(K550,LISTAS!$D$27:$D$47,_xlfn.XLOOKUP(J550,LISTAS!$E$26:$H$26,LISTAS!$E$27:$H$47))</f>
        <v>19151000</v>
      </c>
      <c r="O550" s="56" t="s">
        <v>1623</v>
      </c>
      <c r="P550" s="76" t="str">
        <f t="shared" ca="1" si="26"/>
        <v>Vigente</v>
      </c>
    </row>
    <row r="551" spans="1:16" x14ac:dyDescent="0.3">
      <c r="A551" s="58" t="s">
        <v>841</v>
      </c>
      <c r="B551" s="56" t="s">
        <v>77</v>
      </c>
      <c r="C551" s="50" t="str">
        <f>_xlfn.XLOOKUP(B551,CLIENTES!$A$2:$A$301,CLIENTES!$B$2:$B$301)</f>
        <v>Matías Suárez</v>
      </c>
      <c r="D551" s="60">
        <v>45031</v>
      </c>
      <c r="E551" s="60">
        <f t="shared" si="24"/>
        <v>45397</v>
      </c>
      <c r="F551" s="50" t="s">
        <v>1597</v>
      </c>
      <c r="G551" s="56" t="s">
        <v>1605</v>
      </c>
      <c r="H551" s="47">
        <v>44</v>
      </c>
      <c r="I551" s="60">
        <v>29901</v>
      </c>
      <c r="J551" s="56" t="s">
        <v>1609</v>
      </c>
      <c r="K551" s="56">
        <v>2023</v>
      </c>
      <c r="L551" s="52">
        <f t="shared" si="25"/>
        <v>30019.192500000005</v>
      </c>
      <c r="M551" s="56">
        <f>LISTAS!$B$22*_xlfn.XLOOKUP(G551,LISTAS!$B$27:$B$36,LISTAS!$A$27:$A$36)*_xlfn.XLOOKUP(H551,LISTAS!$B$38:$B$47,LISTAS!$A$38:$A$47,,-1)*_xlfn.XLOOKUP(J551,LISTAS!$E$26:$H$26,LISTAS!$E$48:$H$48)*_xlfn.XLOOKUP(F551,LISTAS!$A$15:$A$18,LISTAS!$H$15:$H$18)</f>
        <v>1.8810000000000004E-2</v>
      </c>
      <c r="N551" s="54" cm="1">
        <f t="array" ref="N551">_xlfn.XLOOKUP(K551,LISTAS!$D$27:$D$47,_xlfn.XLOOKUP(J551,LISTAS!$E$26:$H$26,LISTAS!$E$27:$H$47))</f>
        <v>19151000</v>
      </c>
      <c r="O551" s="56" t="s">
        <v>1626</v>
      </c>
      <c r="P551" s="76" t="str">
        <f t="shared" ca="1" si="26"/>
        <v>Vencida</v>
      </c>
    </row>
    <row r="552" spans="1:16" x14ac:dyDescent="0.3">
      <c r="A552" s="58" t="s">
        <v>842</v>
      </c>
      <c r="B552" s="56" t="s">
        <v>10</v>
      </c>
      <c r="C552" s="50" t="str">
        <f>_xlfn.XLOOKUP(B552,CLIENTES!$A$2:$A$301,CLIENTES!$B$2:$B$301)</f>
        <v>Gabriel Aguirre</v>
      </c>
      <c r="D552" s="60">
        <v>45041</v>
      </c>
      <c r="E552" s="60">
        <f t="shared" si="24"/>
        <v>45407</v>
      </c>
      <c r="F552" s="50" t="s">
        <v>1596</v>
      </c>
      <c r="G552" s="56" t="s">
        <v>1601</v>
      </c>
      <c r="H552" s="47">
        <v>77</v>
      </c>
      <c r="I552" s="60">
        <v>18067</v>
      </c>
      <c r="J552" s="56" t="s">
        <v>1610</v>
      </c>
      <c r="K552" s="56">
        <v>2024</v>
      </c>
      <c r="L552" s="52">
        <f t="shared" si="25"/>
        <v>87497.393500000006</v>
      </c>
      <c r="M552" s="56">
        <f>LISTAS!$B$22*_xlfn.XLOOKUP(G552,LISTAS!$B$27:$B$36,LISTAS!$A$27:$A$36)*_xlfn.XLOOKUP(H552,LISTAS!$B$38:$B$47,LISTAS!$A$38:$A$47,,-1)*_xlfn.XLOOKUP(J552,LISTAS!$E$26:$H$26,LISTAS!$E$48:$H$48)*_xlfn.XLOOKUP(F552,LISTAS!$A$15:$A$18,LISTAS!$H$15:$H$18)</f>
        <v>3.1182250000000002E-2</v>
      </c>
      <c r="N552" s="54" cm="1">
        <f t="array" ref="N552">_xlfn.XLOOKUP(K552,LISTAS!$D$27:$D$47,_xlfn.XLOOKUP(J552,LISTAS!$E$26:$H$26,LISTAS!$E$27:$H$47))</f>
        <v>33672000</v>
      </c>
      <c r="O552" s="56" t="s">
        <v>1625</v>
      </c>
      <c r="P552" s="76" t="str">
        <f t="shared" ca="1" si="26"/>
        <v>Vencida</v>
      </c>
    </row>
    <row r="553" spans="1:16" x14ac:dyDescent="0.3">
      <c r="A553" s="58" t="s">
        <v>843</v>
      </c>
      <c r="B553" s="56" t="s">
        <v>102</v>
      </c>
      <c r="C553" s="50" t="str">
        <f>_xlfn.XLOOKUP(B553,CLIENTES!$A$2:$A$301,CLIENTES!$B$2:$B$301)</f>
        <v>Lucas Romero</v>
      </c>
      <c r="D553" s="60">
        <v>45149</v>
      </c>
      <c r="E553" s="60">
        <f t="shared" si="24"/>
        <v>45515</v>
      </c>
      <c r="F553" s="50" t="s">
        <v>1598</v>
      </c>
      <c r="G553" s="56" t="s">
        <v>1608</v>
      </c>
      <c r="H553" s="47">
        <v>73</v>
      </c>
      <c r="I553" s="60">
        <v>19519</v>
      </c>
      <c r="J553" s="56" t="s">
        <v>1611</v>
      </c>
      <c r="K553" s="56">
        <v>2020</v>
      </c>
      <c r="L553" s="52">
        <f t="shared" si="25"/>
        <v>86085.613249999995</v>
      </c>
      <c r="M553" s="56">
        <f>LISTAS!$B$22*_xlfn.XLOOKUP(G553,LISTAS!$B$27:$B$36,LISTAS!$A$27:$A$36)*_xlfn.XLOOKUP(H553,LISTAS!$B$38:$B$47,LISTAS!$A$38:$A$47,,-1)*_xlfn.XLOOKUP(J553,LISTAS!$E$26:$H$26,LISTAS!$E$48:$H$48)*_xlfn.XLOOKUP(F553,LISTAS!$A$15:$A$18,LISTAS!$H$15:$H$18)</f>
        <v>3.9766999999999997E-2</v>
      </c>
      <c r="N553" s="54" cm="1">
        <f t="array" ref="N553">_xlfn.XLOOKUP(K553,LISTAS!$D$27:$D$47,_xlfn.XLOOKUP(J553,LISTAS!$E$26:$H$26,LISTAS!$E$27:$H$47))</f>
        <v>25977000</v>
      </c>
      <c r="O553" s="56" t="s">
        <v>1623</v>
      </c>
      <c r="P553" s="76" t="str">
        <f t="shared" ca="1" si="26"/>
        <v>Vencida</v>
      </c>
    </row>
    <row r="554" spans="1:16" x14ac:dyDescent="0.3">
      <c r="A554" s="58" t="s">
        <v>844</v>
      </c>
      <c r="B554" s="56" t="s">
        <v>121</v>
      </c>
      <c r="C554" s="50" t="str">
        <f>_xlfn.XLOOKUP(B554,CLIENTES!$A$2:$A$301,CLIENTES!$B$2:$B$301)</f>
        <v>Camila Ponce</v>
      </c>
      <c r="D554" s="60">
        <v>44499</v>
      </c>
      <c r="E554" s="60">
        <f t="shared" si="24"/>
        <v>44864</v>
      </c>
      <c r="F554" s="50" t="s">
        <v>1597</v>
      </c>
      <c r="G554" s="56" t="s">
        <v>1600</v>
      </c>
      <c r="H554" s="47">
        <v>42</v>
      </c>
      <c r="I554" s="60">
        <v>30871</v>
      </c>
      <c r="J554" s="56" t="s">
        <v>1610</v>
      </c>
      <c r="K554" s="56">
        <v>2024</v>
      </c>
      <c r="L554" s="52">
        <f t="shared" si="25"/>
        <v>74186.431000000011</v>
      </c>
      <c r="M554" s="56">
        <f>LISTAS!$B$22*_xlfn.XLOOKUP(G554,LISTAS!$B$27:$B$36,LISTAS!$A$27:$A$36)*_xlfn.XLOOKUP(H554,LISTAS!$B$38:$B$47,LISTAS!$A$38:$A$47,,-1)*_xlfn.XLOOKUP(J554,LISTAS!$E$26:$H$26,LISTAS!$E$48:$H$48)*_xlfn.XLOOKUP(F554,LISTAS!$A$15:$A$18,LISTAS!$H$15:$H$18)</f>
        <v>2.6438500000000004E-2</v>
      </c>
      <c r="N554" s="54" cm="1">
        <f t="array" ref="N554">_xlfn.XLOOKUP(K554,LISTAS!$D$27:$D$47,_xlfn.XLOOKUP(J554,LISTAS!$E$26:$H$26,LISTAS!$E$27:$H$47))</f>
        <v>33672000</v>
      </c>
      <c r="O554" s="56" t="s">
        <v>1626</v>
      </c>
      <c r="P554" s="76" t="str">
        <f t="shared" ca="1" si="26"/>
        <v>Vencida</v>
      </c>
    </row>
    <row r="555" spans="1:16" x14ac:dyDescent="0.3">
      <c r="A555" s="58" t="s">
        <v>845</v>
      </c>
      <c r="B555" s="56" t="s">
        <v>127</v>
      </c>
      <c r="C555" s="50" t="str">
        <f>_xlfn.XLOOKUP(B555,CLIENTES!$A$2:$A$301,CLIENTES!$B$2:$B$301)</f>
        <v>Franco Díaz</v>
      </c>
      <c r="D555" s="60">
        <v>45360</v>
      </c>
      <c r="E555" s="60">
        <f t="shared" si="24"/>
        <v>45725</v>
      </c>
      <c r="F555" s="50" t="s">
        <v>1596</v>
      </c>
      <c r="G555" s="56" t="s">
        <v>1602</v>
      </c>
      <c r="H555" s="47">
        <v>74</v>
      </c>
      <c r="I555" s="60">
        <v>19156</v>
      </c>
      <c r="J555" s="56" t="s">
        <v>1612</v>
      </c>
      <c r="K555" s="56">
        <v>2025</v>
      </c>
      <c r="L555" s="52">
        <f t="shared" si="25"/>
        <v>64374.240000000013</v>
      </c>
      <c r="M555" s="56">
        <f>LISTAS!$B$22*_xlfn.XLOOKUP(G555,LISTAS!$B$27:$B$36,LISTAS!$A$27:$A$36)*_xlfn.XLOOKUP(H555,LISTAS!$B$38:$B$47,LISTAS!$A$38:$A$47,,-1)*_xlfn.XLOOKUP(J555,LISTAS!$E$26:$H$26,LISTAS!$E$48:$H$48)*_xlfn.XLOOKUP(F555,LISTAS!$A$15:$A$18,LISTAS!$H$15:$H$18)</f>
        <v>2.6239500000000002E-2</v>
      </c>
      <c r="N555" s="54" cm="1">
        <f t="array" ref="N555">_xlfn.XLOOKUP(K555,LISTAS!$D$27:$D$47,_xlfn.XLOOKUP(J555,LISTAS!$E$26:$H$26,LISTAS!$E$27:$H$47))</f>
        <v>29440000</v>
      </c>
      <c r="O555" s="56" t="s">
        <v>1623</v>
      </c>
      <c r="P555" s="76" t="str">
        <f t="shared" ca="1" si="26"/>
        <v>Vencida</v>
      </c>
    </row>
    <row r="556" spans="1:16" x14ac:dyDescent="0.3">
      <c r="A556" s="58" t="s">
        <v>846</v>
      </c>
      <c r="B556" s="56" t="s">
        <v>269</v>
      </c>
      <c r="C556" s="50" t="str">
        <f>_xlfn.XLOOKUP(B556,CLIENTES!$A$2:$A$301,CLIENTES!$B$2:$B$301)</f>
        <v>Agustina Quiroga</v>
      </c>
      <c r="D556" s="60">
        <v>46171</v>
      </c>
      <c r="E556" s="60">
        <f t="shared" si="24"/>
        <v>46536</v>
      </c>
      <c r="F556" s="50" t="s">
        <v>1595</v>
      </c>
      <c r="G556" s="56" t="s">
        <v>1599</v>
      </c>
      <c r="H556" s="47">
        <v>29</v>
      </c>
      <c r="I556" s="60">
        <v>35321</v>
      </c>
      <c r="J556" s="56" t="s">
        <v>1611</v>
      </c>
      <c r="K556" s="56">
        <v>2023</v>
      </c>
      <c r="L556" s="52">
        <f t="shared" si="25"/>
        <v>57085.631999999991</v>
      </c>
      <c r="M556" s="56">
        <f>LISTAS!$B$22*_xlfn.XLOOKUP(G556,LISTAS!$B$27:$B$36,LISTAS!$A$27:$A$36)*_xlfn.XLOOKUP(H556,LISTAS!$B$38:$B$47,LISTAS!$A$38:$A$47,,-1)*_xlfn.XLOOKUP(J556,LISTAS!$E$26:$H$26,LISTAS!$E$48:$H$48)*_xlfn.XLOOKUP(F556,LISTAS!$A$15:$A$18,LISTAS!$H$15:$H$18)</f>
        <v>1.9871999999999997E-2</v>
      </c>
      <c r="N556" s="54" cm="1">
        <f t="array" ref="N556">_xlfn.XLOOKUP(K556,LISTAS!$D$27:$D$47,_xlfn.XLOOKUP(J556,LISTAS!$E$26:$H$26,LISTAS!$E$27:$H$47))</f>
        <v>34472000</v>
      </c>
      <c r="O556" s="56" t="s">
        <v>1623</v>
      </c>
      <c r="P556" s="76" t="str">
        <f t="shared" ca="1" si="26"/>
        <v>Vigente</v>
      </c>
    </row>
    <row r="557" spans="1:16" x14ac:dyDescent="0.3">
      <c r="A557" s="58" t="s">
        <v>847</v>
      </c>
      <c r="B557" s="56" t="s">
        <v>188</v>
      </c>
      <c r="C557" s="50" t="str">
        <f>_xlfn.XLOOKUP(B557,CLIENTES!$A$2:$A$301,CLIENTES!$B$2:$B$301)</f>
        <v>Diego Torres</v>
      </c>
      <c r="D557" s="60">
        <v>45084</v>
      </c>
      <c r="E557" s="60">
        <f t="shared" si="24"/>
        <v>45450</v>
      </c>
      <c r="F557" s="50" t="s">
        <v>1595</v>
      </c>
      <c r="G557" s="56" t="s">
        <v>1606</v>
      </c>
      <c r="H557" s="47">
        <v>27</v>
      </c>
      <c r="I557" s="60">
        <v>36214</v>
      </c>
      <c r="J557" s="56" t="s">
        <v>1611</v>
      </c>
      <c r="K557" s="56">
        <v>2026</v>
      </c>
      <c r="L557" s="52">
        <f t="shared" si="25"/>
        <v>62099.999999999993</v>
      </c>
      <c r="M557" s="56">
        <f>LISTAS!$B$22*_xlfn.XLOOKUP(G557,LISTAS!$B$27:$B$36,LISTAS!$A$27:$A$36)*_xlfn.XLOOKUP(H557,LISTAS!$B$38:$B$47,LISTAS!$A$38:$A$47,,-1)*_xlfn.XLOOKUP(J557,LISTAS!$E$26:$H$26,LISTAS!$E$48:$H$48)*_xlfn.XLOOKUP(F557,LISTAS!$A$15:$A$18,LISTAS!$H$15:$H$18)</f>
        <v>1.6559999999999998E-2</v>
      </c>
      <c r="N557" s="54" cm="1">
        <f t="array" ref="N557">_xlfn.XLOOKUP(K557,LISTAS!$D$27:$D$47,_xlfn.XLOOKUP(J557,LISTAS!$E$26:$H$26,LISTAS!$E$27:$H$47))</f>
        <v>45000000</v>
      </c>
      <c r="O557" s="56" t="s">
        <v>1623</v>
      </c>
      <c r="P557" s="76" t="str">
        <f t="shared" ca="1" si="26"/>
        <v>Vencida</v>
      </c>
    </row>
    <row r="558" spans="1:16" x14ac:dyDescent="0.3">
      <c r="A558" s="58" t="s">
        <v>848</v>
      </c>
      <c r="B558" s="56" t="s">
        <v>219</v>
      </c>
      <c r="C558" s="50" t="str">
        <f>_xlfn.XLOOKUP(B558,CLIENTES!$A$2:$A$301,CLIENTES!$B$2:$B$301)</f>
        <v>Joaquín Pereyra</v>
      </c>
      <c r="D558" s="60">
        <v>45308</v>
      </c>
      <c r="E558" s="60">
        <f t="shared" si="24"/>
        <v>45674</v>
      </c>
      <c r="F558" s="50" t="s">
        <v>1597</v>
      </c>
      <c r="G558" s="56" t="s">
        <v>1600</v>
      </c>
      <c r="H558" s="47">
        <v>24</v>
      </c>
      <c r="I558" s="60">
        <v>37186</v>
      </c>
      <c r="J558" s="56" t="s">
        <v>1609</v>
      </c>
      <c r="K558" s="56">
        <v>2023</v>
      </c>
      <c r="L558" s="52">
        <f t="shared" si="25"/>
        <v>54508.53375000001</v>
      </c>
      <c r="M558" s="56">
        <f>LISTAS!$B$22*_xlfn.XLOOKUP(G558,LISTAS!$B$27:$B$36,LISTAS!$A$27:$A$36)*_xlfn.XLOOKUP(H558,LISTAS!$B$38:$B$47,LISTAS!$A$38:$A$47,,-1)*_xlfn.XLOOKUP(J558,LISTAS!$E$26:$H$26,LISTAS!$E$48:$H$48)*_xlfn.XLOOKUP(F558,LISTAS!$A$15:$A$18,LISTAS!$H$15:$H$18)</f>
        <v>3.4155000000000005E-2</v>
      </c>
      <c r="N558" s="54" cm="1">
        <f t="array" ref="N558">_xlfn.XLOOKUP(K558,LISTAS!$D$27:$D$47,_xlfn.XLOOKUP(J558,LISTAS!$E$26:$H$26,LISTAS!$E$27:$H$47))</f>
        <v>19151000</v>
      </c>
      <c r="O558" s="56" t="s">
        <v>1624</v>
      </c>
      <c r="P558" s="76" t="str">
        <f t="shared" ca="1" si="26"/>
        <v>Vencida</v>
      </c>
    </row>
    <row r="559" spans="1:16" x14ac:dyDescent="0.3">
      <c r="A559" s="58" t="s">
        <v>849</v>
      </c>
      <c r="B559" s="56" t="s">
        <v>81</v>
      </c>
      <c r="C559" s="50" t="str">
        <f>_xlfn.XLOOKUP(B559,CLIENTES!$A$2:$A$301,CLIENTES!$B$2:$B$301)</f>
        <v>Alejandro Rojas</v>
      </c>
      <c r="D559" s="60">
        <v>45268</v>
      </c>
      <c r="E559" s="60">
        <f t="shared" si="24"/>
        <v>45634</v>
      </c>
      <c r="F559" s="50" t="s">
        <v>1598</v>
      </c>
      <c r="G559" s="56" t="s">
        <v>1604</v>
      </c>
      <c r="H559" s="47">
        <v>80</v>
      </c>
      <c r="I559" s="60">
        <v>16673</v>
      </c>
      <c r="J559" s="56" t="s">
        <v>1610</v>
      </c>
      <c r="K559" s="56">
        <v>2022</v>
      </c>
      <c r="L559" s="52">
        <f t="shared" si="25"/>
        <v>101180.57950000001</v>
      </c>
      <c r="M559" s="56">
        <f>LISTAS!$B$22*_xlfn.XLOOKUP(G559,LISTAS!$B$27:$B$36,LISTAS!$A$27:$A$36)*_xlfn.XLOOKUP(H559,LISTAS!$B$38:$B$47,LISTAS!$A$38:$A$47,,-1)*_xlfn.XLOOKUP(J559,LISTAS!$E$26:$H$26,LISTAS!$E$48:$H$48)*_xlfn.XLOOKUP(F559,LISTAS!$A$15:$A$18,LISTAS!$H$15:$H$18)</f>
        <v>4.3543500000000006E-2</v>
      </c>
      <c r="N559" s="54" cm="1">
        <f t="array" ref="N559">_xlfn.XLOOKUP(K559,LISTAS!$D$27:$D$47,_xlfn.XLOOKUP(J559,LISTAS!$E$26:$H$26,LISTAS!$E$27:$H$47))</f>
        <v>27884000</v>
      </c>
      <c r="O559" s="56" t="s">
        <v>1624</v>
      </c>
      <c r="P559" s="76" t="str">
        <f t="shared" ca="1" si="26"/>
        <v>Vencida</v>
      </c>
    </row>
    <row r="560" spans="1:16" x14ac:dyDescent="0.3">
      <c r="A560" s="58" t="s">
        <v>850</v>
      </c>
      <c r="B560" s="56" t="s">
        <v>12</v>
      </c>
      <c r="C560" s="50" t="str">
        <f>_xlfn.XLOOKUP(B560,CLIENTES!$A$2:$A$301,CLIENTES!$B$2:$B$301)</f>
        <v>Maximiliano Castro</v>
      </c>
      <c r="D560" s="60">
        <v>44820</v>
      </c>
      <c r="E560" s="60">
        <f t="shared" si="24"/>
        <v>45185</v>
      </c>
      <c r="F560" s="50" t="s">
        <v>1597</v>
      </c>
      <c r="G560" s="56" t="s">
        <v>1605</v>
      </c>
      <c r="H560" s="47">
        <v>70</v>
      </c>
      <c r="I560" s="60">
        <v>20571</v>
      </c>
      <c r="J560" s="56" t="s">
        <v>1610</v>
      </c>
      <c r="K560" s="56">
        <v>2017</v>
      </c>
      <c r="L560" s="52">
        <f t="shared" si="25"/>
        <v>44213.4</v>
      </c>
      <c r="M560" s="56">
        <f>LISTAS!$B$22*_xlfn.XLOOKUP(G560,LISTAS!$B$27:$B$36,LISTAS!$A$27:$A$36)*_xlfn.XLOOKUP(H560,LISTAS!$B$38:$B$47,LISTAS!$A$38:$A$47,,-1)*_xlfn.XLOOKUP(J560,LISTAS!$E$26:$H$26,LISTAS!$E$48:$H$48)*_xlfn.XLOOKUP(F560,LISTAS!$A$15:$A$18,LISTAS!$H$15:$H$18)</f>
        <v>3.0492000000000005E-2</v>
      </c>
      <c r="N560" s="54" cm="1">
        <f t="array" ref="N560">_xlfn.XLOOKUP(K560,LISTAS!$D$27:$D$47,_xlfn.XLOOKUP(J560,LISTAS!$E$26:$H$26,LISTAS!$E$27:$H$47))</f>
        <v>17400000</v>
      </c>
      <c r="O560" s="56" t="s">
        <v>1625</v>
      </c>
      <c r="P560" s="76" t="str">
        <f t="shared" ca="1" si="26"/>
        <v>Vencida</v>
      </c>
    </row>
    <row r="561" spans="1:16" x14ac:dyDescent="0.3">
      <c r="A561" s="58" t="s">
        <v>851</v>
      </c>
      <c r="B561" s="56" t="s">
        <v>291</v>
      </c>
      <c r="C561" s="50" t="str">
        <f>_xlfn.XLOOKUP(B561,CLIENTES!$A$2:$A$301,CLIENTES!$B$2:$B$301)</f>
        <v>Martina Domínguez</v>
      </c>
      <c r="D561" s="60">
        <v>44838</v>
      </c>
      <c r="E561" s="60">
        <f t="shared" si="24"/>
        <v>45203</v>
      </c>
      <c r="F561" s="50" t="s">
        <v>1596</v>
      </c>
      <c r="G561" s="56" t="s">
        <v>1608</v>
      </c>
      <c r="H561" s="47">
        <v>75</v>
      </c>
      <c r="I561" s="60">
        <v>18539</v>
      </c>
      <c r="J561" s="56" t="s">
        <v>1609</v>
      </c>
      <c r="K561" s="56">
        <v>2022</v>
      </c>
      <c r="L561" s="52">
        <f t="shared" si="25"/>
        <v>34008.064374999994</v>
      </c>
      <c r="M561" s="56">
        <f>LISTAS!$B$22*_xlfn.XLOOKUP(G561,LISTAS!$B$27:$B$36,LISTAS!$A$27:$A$36)*_xlfn.XLOOKUP(H561,LISTAS!$B$38:$B$47,LISTAS!$A$38:$A$47,,-1)*_xlfn.XLOOKUP(J561,LISTAS!$E$26:$H$26,LISTAS!$E$48:$H$48)*_xlfn.XLOOKUP(F561,LISTAS!$A$15:$A$18,LISTAS!$H$15:$H$18)</f>
        <v>2.3417499999999997E-2</v>
      </c>
      <c r="N561" s="54" cm="1">
        <f t="array" ref="N561">_xlfn.XLOOKUP(K561,LISTAS!$D$27:$D$47,_xlfn.XLOOKUP(J561,LISTAS!$E$26:$H$26,LISTAS!$E$27:$H$47))</f>
        <v>17427000</v>
      </c>
      <c r="O561" s="56" t="s">
        <v>1623</v>
      </c>
      <c r="P561" s="76" t="str">
        <f t="shared" ca="1" si="26"/>
        <v>Vencida</v>
      </c>
    </row>
    <row r="562" spans="1:16" x14ac:dyDescent="0.3">
      <c r="A562" s="58" t="s">
        <v>852</v>
      </c>
      <c r="B562" s="56" t="s">
        <v>230</v>
      </c>
      <c r="C562" s="50" t="str">
        <f>_xlfn.XLOOKUP(B562,CLIENTES!$A$2:$A$301,CLIENTES!$B$2:$B$301)</f>
        <v>Clara Roldán</v>
      </c>
      <c r="D562" s="60">
        <v>45209</v>
      </c>
      <c r="E562" s="60">
        <f t="shared" si="24"/>
        <v>45575</v>
      </c>
      <c r="F562" s="50" t="s">
        <v>1598</v>
      </c>
      <c r="G562" s="56" t="s">
        <v>1604</v>
      </c>
      <c r="H562" s="47">
        <v>38</v>
      </c>
      <c r="I562" s="60">
        <v>32074</v>
      </c>
      <c r="J562" s="56" t="s">
        <v>1612</v>
      </c>
      <c r="K562" s="56">
        <v>2025</v>
      </c>
      <c r="L562" s="52">
        <f t="shared" si="25"/>
        <v>70324.800000000017</v>
      </c>
      <c r="M562" s="56">
        <f>LISTAS!$B$22*_xlfn.XLOOKUP(G562,LISTAS!$B$27:$B$36,LISTAS!$A$27:$A$36)*_xlfn.XLOOKUP(H562,LISTAS!$B$38:$B$47,LISTAS!$A$38:$A$47,,-1)*_xlfn.XLOOKUP(J562,LISTAS!$E$26:$H$26,LISTAS!$E$48:$H$48)*_xlfn.XLOOKUP(F562,LISTAS!$A$15:$A$18,LISTAS!$H$15:$H$18)</f>
        <v>2.8665000000000006E-2</v>
      </c>
      <c r="N562" s="54" cm="1">
        <f t="array" ref="N562">_xlfn.XLOOKUP(K562,LISTAS!$D$27:$D$47,_xlfn.XLOOKUP(J562,LISTAS!$E$26:$H$26,LISTAS!$E$27:$H$47))</f>
        <v>29440000</v>
      </c>
      <c r="O562" s="56" t="s">
        <v>1626</v>
      </c>
      <c r="P562" s="76" t="str">
        <f t="shared" ca="1" si="26"/>
        <v>Vencida</v>
      </c>
    </row>
    <row r="563" spans="1:16" x14ac:dyDescent="0.3">
      <c r="A563" s="58" t="s">
        <v>853</v>
      </c>
      <c r="B563" s="56" t="s">
        <v>71</v>
      </c>
      <c r="C563" s="50" t="str">
        <f>_xlfn.XLOOKUP(B563,CLIENTES!$A$2:$A$301,CLIENTES!$B$2:$B$301)</f>
        <v>Fernando Molina</v>
      </c>
      <c r="D563" s="60">
        <v>44494</v>
      </c>
      <c r="E563" s="60">
        <f t="shared" si="24"/>
        <v>44859</v>
      </c>
      <c r="F563" s="50" t="s">
        <v>1597</v>
      </c>
      <c r="G563" s="56" t="s">
        <v>1603</v>
      </c>
      <c r="H563" s="47">
        <v>44</v>
      </c>
      <c r="I563" s="60">
        <v>30055</v>
      </c>
      <c r="J563" s="56" t="s">
        <v>1609</v>
      </c>
      <c r="K563" s="56">
        <v>2021</v>
      </c>
      <c r="L563" s="52">
        <f t="shared" si="25"/>
        <v>26240.037083333333</v>
      </c>
      <c r="M563" s="56">
        <f>LISTAS!$B$22*_xlfn.XLOOKUP(G563,LISTAS!$B$27:$B$36,LISTAS!$A$27:$A$36)*_xlfn.XLOOKUP(H563,LISTAS!$B$38:$B$47,LISTAS!$A$38:$A$47,,-1)*_xlfn.XLOOKUP(J563,LISTAS!$E$26:$H$26,LISTAS!$E$48:$H$48)*_xlfn.XLOOKUP(F563,LISTAS!$A$15:$A$18,LISTAS!$H$15:$H$18)</f>
        <v>1.9855000000000001E-2</v>
      </c>
      <c r="N563" s="54" cm="1">
        <f t="array" ref="N563">_xlfn.XLOOKUP(K563,LISTAS!$D$27:$D$47,_xlfn.XLOOKUP(J563,LISTAS!$E$26:$H$26,LISTAS!$E$27:$H$47))</f>
        <v>15859000</v>
      </c>
      <c r="O563" s="56" t="s">
        <v>1623</v>
      </c>
      <c r="P563" s="76" t="str">
        <f t="shared" ca="1" si="26"/>
        <v>Vencida</v>
      </c>
    </row>
    <row r="564" spans="1:16" x14ac:dyDescent="0.3">
      <c r="A564" s="58" t="s">
        <v>854</v>
      </c>
      <c r="B564" s="56" t="s">
        <v>85</v>
      </c>
      <c r="C564" s="50" t="str">
        <f>_xlfn.XLOOKUP(B564,CLIENTES!$A$2:$A$301,CLIENTES!$B$2:$B$301)</f>
        <v>Nicolás Bravo</v>
      </c>
      <c r="D564" s="60">
        <v>44957</v>
      </c>
      <c r="E564" s="60">
        <f t="shared" si="24"/>
        <v>45322</v>
      </c>
      <c r="F564" s="50" t="s">
        <v>1598</v>
      </c>
      <c r="G564" s="56" t="s">
        <v>1606</v>
      </c>
      <c r="H564" s="47">
        <v>45</v>
      </c>
      <c r="I564" s="60">
        <v>29536</v>
      </c>
      <c r="J564" s="56" t="s">
        <v>1612</v>
      </c>
      <c r="K564" s="56">
        <v>2024</v>
      </c>
      <c r="L564" s="52">
        <f t="shared" si="25"/>
        <v>58219.752500000002</v>
      </c>
      <c r="M564" s="56">
        <f>LISTAS!$B$22*_xlfn.XLOOKUP(G564,LISTAS!$B$27:$B$36,LISTAS!$A$27:$A$36)*_xlfn.XLOOKUP(H564,LISTAS!$B$38:$B$47,LISTAS!$A$38:$A$47,,-1)*_xlfn.XLOOKUP(J564,LISTAS!$E$26:$H$26,LISTAS!$E$48:$H$48)*_xlfn.XLOOKUP(F564,LISTAS!$A$15:$A$18,LISTAS!$H$15:$H$18)</f>
        <v>2.5935E-2</v>
      </c>
      <c r="N564" s="54" cm="1">
        <f t="array" ref="N564">_xlfn.XLOOKUP(K564,LISTAS!$D$27:$D$47,_xlfn.XLOOKUP(J564,LISTAS!$E$26:$H$26,LISTAS!$E$27:$H$47))</f>
        <v>26938000</v>
      </c>
      <c r="O564" s="56" t="s">
        <v>1623</v>
      </c>
      <c r="P564" s="76" t="str">
        <f t="shared" ca="1" si="26"/>
        <v>Vencida</v>
      </c>
    </row>
    <row r="565" spans="1:16" x14ac:dyDescent="0.3">
      <c r="A565" s="58" t="s">
        <v>855</v>
      </c>
      <c r="B565" s="56" t="s">
        <v>90</v>
      </c>
      <c r="C565" s="50" t="str">
        <f>_xlfn.XLOOKUP(B565,CLIENTES!$A$2:$A$301,CLIENTES!$B$2:$B$301)</f>
        <v>Franco Suárez</v>
      </c>
      <c r="D565" s="60">
        <v>45668</v>
      </c>
      <c r="E565" s="60">
        <f t="shared" si="24"/>
        <v>46033</v>
      </c>
      <c r="F565" s="50" t="s">
        <v>1596</v>
      </c>
      <c r="G565" s="56" t="s">
        <v>1603</v>
      </c>
      <c r="H565" s="47">
        <v>47</v>
      </c>
      <c r="I565" s="60">
        <v>28738</v>
      </c>
      <c r="J565" s="56" t="s">
        <v>1610</v>
      </c>
      <c r="K565" s="56">
        <v>2023</v>
      </c>
      <c r="L565" s="52">
        <f t="shared" si="25"/>
        <v>43094.781125000001</v>
      </c>
      <c r="M565" s="56">
        <f>LISTAS!$B$22*_xlfn.XLOOKUP(G565,LISTAS!$B$27:$B$36,LISTAS!$A$27:$A$36)*_xlfn.XLOOKUP(H565,LISTAS!$B$38:$B$47,LISTAS!$A$38:$A$47,,-1)*_xlfn.XLOOKUP(J565,LISTAS!$E$26:$H$26,LISTAS!$E$48:$H$48)*_xlfn.XLOOKUP(F565,LISTAS!$A$15:$A$18,LISTAS!$H$15:$H$18)</f>
        <v>1.6876749999999999E-2</v>
      </c>
      <c r="N565" s="54" cm="1">
        <f t="array" ref="N565">_xlfn.XLOOKUP(K565,LISTAS!$D$27:$D$47,_xlfn.XLOOKUP(J565,LISTAS!$E$26:$H$26,LISTAS!$E$27:$H$47))</f>
        <v>30642000</v>
      </c>
      <c r="O565" s="56" t="s">
        <v>1624</v>
      </c>
      <c r="P565" s="76" t="str">
        <f t="shared" ca="1" si="26"/>
        <v>Vencida</v>
      </c>
    </row>
    <row r="566" spans="1:16" x14ac:dyDescent="0.3">
      <c r="A566" s="58" t="s">
        <v>856</v>
      </c>
      <c r="B566" s="56" t="s">
        <v>194</v>
      </c>
      <c r="C566" s="50" t="str">
        <f>_xlfn.XLOOKUP(B566,CLIENTES!$A$2:$A$301,CLIENTES!$B$2:$B$301)</f>
        <v>Juan Pérez</v>
      </c>
      <c r="D566" s="60">
        <v>45297</v>
      </c>
      <c r="E566" s="60">
        <f t="shared" si="24"/>
        <v>45663</v>
      </c>
      <c r="F566" s="50" t="s">
        <v>1596</v>
      </c>
      <c r="G566" s="56" t="s">
        <v>1602</v>
      </c>
      <c r="H566" s="47">
        <v>57</v>
      </c>
      <c r="I566" s="60">
        <v>25342</v>
      </c>
      <c r="J566" s="56" t="s">
        <v>1611</v>
      </c>
      <c r="K566" s="56">
        <v>2019</v>
      </c>
      <c r="L566" s="52">
        <f t="shared" si="25"/>
        <v>40437.464375000003</v>
      </c>
      <c r="M566" s="56">
        <f>LISTAS!$B$22*_xlfn.XLOOKUP(G566,LISTAS!$B$27:$B$36,LISTAS!$A$27:$A$36)*_xlfn.XLOOKUP(H566,LISTAS!$B$38:$B$47,LISTAS!$A$38:$A$47,,-1)*_xlfn.XLOOKUP(J566,LISTAS!$E$26:$H$26,LISTAS!$E$48:$H$48)*_xlfn.XLOOKUP(F566,LISTAS!$A$15:$A$18,LISTAS!$H$15:$H$18)</f>
        <v>2.0527500000000001E-2</v>
      </c>
      <c r="N566" s="54" cm="1">
        <f t="array" ref="N566">_xlfn.XLOOKUP(K566,LISTAS!$D$27:$D$47,_xlfn.XLOOKUP(J566,LISTAS!$E$26:$H$26,LISTAS!$E$27:$H$47))</f>
        <v>23639000</v>
      </c>
      <c r="O566" s="56" t="s">
        <v>1624</v>
      </c>
      <c r="P566" s="76" t="str">
        <f t="shared" ca="1" si="26"/>
        <v>Vencida</v>
      </c>
    </row>
    <row r="567" spans="1:16" x14ac:dyDescent="0.3">
      <c r="A567" s="58" t="s">
        <v>857</v>
      </c>
      <c r="B567" s="56" t="s">
        <v>230</v>
      </c>
      <c r="C567" s="50" t="str">
        <f>_xlfn.XLOOKUP(B567,CLIENTES!$A$2:$A$301,CLIENTES!$B$2:$B$301)</f>
        <v>Clara Roldán</v>
      </c>
      <c r="D567" s="60">
        <v>44691</v>
      </c>
      <c r="E567" s="60">
        <f t="shared" si="24"/>
        <v>45056</v>
      </c>
      <c r="F567" s="50" t="s">
        <v>1596</v>
      </c>
      <c r="G567" s="56" t="s">
        <v>1600</v>
      </c>
      <c r="H567" s="47">
        <v>54</v>
      </c>
      <c r="I567" s="60">
        <v>26383</v>
      </c>
      <c r="J567" s="56" t="s">
        <v>1611</v>
      </c>
      <c r="K567" s="56">
        <v>2008</v>
      </c>
      <c r="L567" s="52">
        <f t="shared" si="25"/>
        <v>18375.696666666667</v>
      </c>
      <c r="M567" s="56">
        <f>LISTAS!$B$22*_xlfn.XLOOKUP(G567,LISTAS!$B$27:$B$36,LISTAS!$A$27:$A$36)*_xlfn.XLOOKUP(H567,LISTAS!$B$38:$B$47,LISTAS!$A$38:$A$47,,-1)*_xlfn.XLOOKUP(J567,LISTAS!$E$26:$H$26,LISTAS!$E$48:$H$48)*_xlfn.XLOOKUP(F567,LISTAS!$A$15:$A$18,LISTAS!$H$15:$H$18)</f>
        <v>2.2482499999999999E-2</v>
      </c>
      <c r="N567" s="54" cm="1">
        <f t="array" ref="N567">_xlfn.XLOOKUP(K567,LISTAS!$D$27:$D$47,_xlfn.XLOOKUP(J567,LISTAS!$E$26:$H$26,LISTAS!$E$27:$H$47))</f>
        <v>9808000</v>
      </c>
      <c r="O567" s="56" t="s">
        <v>1623</v>
      </c>
      <c r="P567" s="76" t="str">
        <f t="shared" ca="1" si="26"/>
        <v>Vencida</v>
      </c>
    </row>
    <row r="568" spans="1:16" x14ac:dyDescent="0.3">
      <c r="A568" s="58" t="s">
        <v>858</v>
      </c>
      <c r="B568" s="56" t="s">
        <v>201</v>
      </c>
      <c r="C568" s="50" t="str">
        <f>_xlfn.XLOOKUP(B568,CLIENTES!$A$2:$A$301,CLIENTES!$B$2:$B$301)</f>
        <v>Gabriel Luna</v>
      </c>
      <c r="D568" s="60">
        <v>44759</v>
      </c>
      <c r="E568" s="60">
        <f t="shared" si="24"/>
        <v>45124</v>
      </c>
      <c r="F568" s="50" t="s">
        <v>1597</v>
      </c>
      <c r="G568" s="56" t="s">
        <v>1604</v>
      </c>
      <c r="H568" s="47">
        <v>58</v>
      </c>
      <c r="I568" s="60">
        <v>24911</v>
      </c>
      <c r="J568" s="56" t="s">
        <v>1611</v>
      </c>
      <c r="K568" s="56">
        <v>2018</v>
      </c>
      <c r="L568" s="52">
        <f t="shared" si="25"/>
        <v>47619.976250000007</v>
      </c>
      <c r="M568" s="56">
        <f>LISTAS!$B$22*_xlfn.XLOOKUP(G568,LISTAS!$B$27:$B$36,LISTAS!$A$27:$A$36)*_xlfn.XLOOKUP(H568,LISTAS!$B$38:$B$47,LISTAS!$A$38:$A$47,,-1)*_xlfn.XLOOKUP(J568,LISTAS!$E$26:$H$26,LISTAS!$E$48:$H$48)*_xlfn.XLOOKUP(F568,LISTAS!$A$15:$A$18,LISTAS!$H$15:$H$18)</f>
        <v>2.6565000000000005E-2</v>
      </c>
      <c r="N568" s="54" cm="1">
        <f t="array" ref="N568">_xlfn.XLOOKUP(K568,LISTAS!$D$27:$D$47,_xlfn.XLOOKUP(J568,LISTAS!$E$26:$H$26,LISTAS!$E$27:$H$47))</f>
        <v>21511000</v>
      </c>
      <c r="O568" s="56" t="s">
        <v>1625</v>
      </c>
      <c r="P568" s="76" t="str">
        <f t="shared" ca="1" si="26"/>
        <v>Vencida</v>
      </c>
    </row>
    <row r="569" spans="1:16" x14ac:dyDescent="0.3">
      <c r="A569" s="58" t="s">
        <v>859</v>
      </c>
      <c r="B569" s="56" t="s">
        <v>17</v>
      </c>
      <c r="C569" s="50" t="str">
        <f>_xlfn.XLOOKUP(B569,CLIENTES!$A$2:$A$301,CLIENTES!$B$2:$B$301)</f>
        <v>Mariano Miranda</v>
      </c>
      <c r="D569" s="60">
        <v>45762</v>
      </c>
      <c r="E569" s="60">
        <f t="shared" si="24"/>
        <v>46127</v>
      </c>
      <c r="F569" s="50" t="s">
        <v>1598</v>
      </c>
      <c r="G569" s="56" t="s">
        <v>1601</v>
      </c>
      <c r="H569" s="47">
        <v>49</v>
      </c>
      <c r="I569" s="60">
        <v>28262</v>
      </c>
      <c r="J569" s="56" t="s">
        <v>1610</v>
      </c>
      <c r="K569" s="56">
        <v>2022</v>
      </c>
      <c r="L569" s="52">
        <f t="shared" si="25"/>
        <v>72604.126833333343</v>
      </c>
      <c r="M569" s="56">
        <f>LISTAS!$B$22*_xlfn.XLOOKUP(G569,LISTAS!$B$27:$B$36,LISTAS!$A$27:$A$36)*_xlfn.XLOOKUP(H569,LISTAS!$B$38:$B$47,LISTAS!$A$38:$A$47,,-1)*_xlfn.XLOOKUP(J569,LISTAS!$E$26:$H$26,LISTAS!$E$48:$H$48)*_xlfn.XLOOKUP(F569,LISTAS!$A$15:$A$18,LISTAS!$H$15:$H$18)</f>
        <v>3.1245500000000002E-2</v>
      </c>
      <c r="N569" s="54" cm="1">
        <f t="array" ref="N569">_xlfn.XLOOKUP(K569,LISTAS!$D$27:$D$47,_xlfn.XLOOKUP(J569,LISTAS!$E$26:$H$26,LISTAS!$E$27:$H$47))</f>
        <v>27884000</v>
      </c>
      <c r="O569" s="56" t="s">
        <v>1623</v>
      </c>
      <c r="P569" s="76" t="str">
        <f t="shared" ca="1" si="26"/>
        <v>Vencida</v>
      </c>
    </row>
    <row r="570" spans="1:16" x14ac:dyDescent="0.3">
      <c r="A570" s="58" t="s">
        <v>860</v>
      </c>
      <c r="B570" s="56" t="s">
        <v>259</v>
      </c>
      <c r="C570" s="50" t="str">
        <f>_xlfn.XLOOKUP(B570,CLIENTES!$A$2:$A$301,CLIENTES!$B$2:$B$301)</f>
        <v>Sebastián Benítez</v>
      </c>
      <c r="D570" s="60">
        <v>46144</v>
      </c>
      <c r="E570" s="60">
        <f t="shared" si="24"/>
        <v>46509</v>
      </c>
      <c r="F570" s="50" t="s">
        <v>1596</v>
      </c>
      <c r="G570" s="56" t="s">
        <v>1608</v>
      </c>
      <c r="H570" s="47">
        <v>20</v>
      </c>
      <c r="I570" s="60">
        <v>38620</v>
      </c>
      <c r="J570" s="56" t="s">
        <v>1610</v>
      </c>
      <c r="K570" s="56">
        <v>2022</v>
      </c>
      <c r="L570" s="52">
        <f t="shared" si="25"/>
        <v>61919.907500000001</v>
      </c>
      <c r="M570" s="56">
        <f>LISTAS!$B$22*_xlfn.XLOOKUP(G570,LISTAS!$B$27:$B$36,LISTAS!$A$27:$A$36)*_xlfn.XLOOKUP(H570,LISTAS!$B$38:$B$47,LISTAS!$A$38:$A$47,,-1)*_xlfn.XLOOKUP(J570,LISTAS!$E$26:$H$26,LISTAS!$E$48:$H$48)*_xlfn.XLOOKUP(F570,LISTAS!$A$15:$A$18,LISTAS!$H$15:$H$18)</f>
        <v>2.6647500000000001E-2</v>
      </c>
      <c r="N570" s="54" cm="1">
        <f t="array" ref="N570">_xlfn.XLOOKUP(K570,LISTAS!$D$27:$D$47,_xlfn.XLOOKUP(J570,LISTAS!$E$26:$H$26,LISTAS!$E$27:$H$47))</f>
        <v>27884000</v>
      </c>
      <c r="O570" s="56" t="s">
        <v>1624</v>
      </c>
      <c r="P570" s="76" t="str">
        <f t="shared" ca="1" si="26"/>
        <v>Vigente</v>
      </c>
    </row>
    <row r="571" spans="1:16" x14ac:dyDescent="0.3">
      <c r="A571" s="58" t="s">
        <v>861</v>
      </c>
      <c r="B571" s="56" t="s">
        <v>209</v>
      </c>
      <c r="C571" s="50" t="str">
        <f>_xlfn.XLOOKUP(B571,CLIENTES!$A$2:$A$301,CLIENTES!$B$2:$B$301)</f>
        <v>Camila Domínguez</v>
      </c>
      <c r="D571" s="60">
        <v>45923</v>
      </c>
      <c r="E571" s="60">
        <f t="shared" si="24"/>
        <v>46288</v>
      </c>
      <c r="F571" s="50" t="s">
        <v>1598</v>
      </c>
      <c r="G571" s="56" t="s">
        <v>1600</v>
      </c>
      <c r="H571" s="47">
        <v>40</v>
      </c>
      <c r="I571" s="60">
        <v>31324</v>
      </c>
      <c r="J571" s="56" t="s">
        <v>1610</v>
      </c>
      <c r="K571" s="56">
        <v>2026</v>
      </c>
      <c r="L571" s="52">
        <f t="shared" si="25"/>
        <v>104151.66666666667</v>
      </c>
      <c r="M571" s="56">
        <f>LISTAS!$B$22*_xlfn.XLOOKUP(G571,LISTAS!$B$27:$B$36,LISTAS!$A$27:$A$36)*_xlfn.XLOOKUP(H571,LISTAS!$B$38:$B$47,LISTAS!$A$38:$A$47,,-1)*_xlfn.XLOOKUP(J571,LISTAS!$E$26:$H$26,LISTAS!$E$48:$H$48)*_xlfn.XLOOKUP(F571,LISTAS!$A$15:$A$18,LISTAS!$H$15:$H$18)</f>
        <v>3.1245500000000002E-2</v>
      </c>
      <c r="N571" s="54" cm="1">
        <f t="array" ref="N571">_xlfn.XLOOKUP(K571,LISTAS!$D$27:$D$47,_xlfn.XLOOKUP(J571,LISTAS!$E$26:$H$26,LISTAS!$E$27:$H$47))</f>
        <v>40000000</v>
      </c>
      <c r="O571" s="56" t="s">
        <v>1625</v>
      </c>
      <c r="P571" s="76" t="str">
        <f t="shared" ca="1" si="26"/>
        <v>Vigente</v>
      </c>
    </row>
    <row r="572" spans="1:16" x14ac:dyDescent="0.3">
      <c r="A572" s="58" t="s">
        <v>862</v>
      </c>
      <c r="B572" s="56" t="s">
        <v>107</v>
      </c>
      <c r="C572" s="50" t="str">
        <f>_xlfn.XLOOKUP(B572,CLIENTES!$A$2:$A$301,CLIENTES!$B$2:$B$301)</f>
        <v>Emiliano Rojas</v>
      </c>
      <c r="D572" s="60">
        <v>44475</v>
      </c>
      <c r="E572" s="60">
        <f t="shared" si="24"/>
        <v>44840</v>
      </c>
      <c r="F572" s="50" t="s">
        <v>1595</v>
      </c>
      <c r="G572" s="56" t="s">
        <v>1602</v>
      </c>
      <c r="H572" s="47">
        <v>44</v>
      </c>
      <c r="I572" s="60">
        <v>29824</v>
      </c>
      <c r="J572" s="56" t="s">
        <v>1612</v>
      </c>
      <c r="K572" s="56">
        <v>2021</v>
      </c>
      <c r="L572" s="52">
        <f t="shared" si="25"/>
        <v>21260.665125</v>
      </c>
      <c r="M572" s="56">
        <f>LISTAS!$B$22*_xlfn.XLOOKUP(G572,LISTAS!$B$27:$B$36,LISTAS!$A$27:$A$36)*_xlfn.XLOOKUP(H572,LISTAS!$B$38:$B$47,LISTAS!$A$38:$A$47,,-1)*_xlfn.XLOOKUP(J572,LISTAS!$E$26:$H$26,LISTAS!$E$48:$H$48)*_xlfn.XLOOKUP(F572,LISTAS!$A$15:$A$18,LISTAS!$H$15:$H$18)</f>
        <v>1.25685E-2</v>
      </c>
      <c r="N572" s="54" cm="1">
        <f t="array" ref="N572">_xlfn.XLOOKUP(K572,LISTAS!$D$27:$D$47,_xlfn.XLOOKUP(J572,LISTAS!$E$26:$H$26,LISTAS!$E$27:$H$47))</f>
        <v>20299000</v>
      </c>
      <c r="O572" s="56" t="s">
        <v>1626</v>
      </c>
      <c r="P572" s="76" t="str">
        <f t="shared" ca="1" si="26"/>
        <v>Vencida</v>
      </c>
    </row>
    <row r="573" spans="1:16" x14ac:dyDescent="0.3">
      <c r="A573" s="58" t="s">
        <v>863</v>
      </c>
      <c r="B573" s="56" t="s">
        <v>255</v>
      </c>
      <c r="C573" s="50" t="str">
        <f>_xlfn.XLOOKUP(B573,CLIENTES!$A$2:$A$301,CLIENTES!$B$2:$B$301)</f>
        <v>Julieta Vera</v>
      </c>
      <c r="D573" s="60">
        <v>44988</v>
      </c>
      <c r="E573" s="60">
        <f t="shared" si="24"/>
        <v>45354</v>
      </c>
      <c r="F573" s="50" t="s">
        <v>1595</v>
      </c>
      <c r="G573" s="56" t="s">
        <v>1603</v>
      </c>
      <c r="H573" s="47">
        <v>70</v>
      </c>
      <c r="I573" s="60">
        <v>20415</v>
      </c>
      <c r="J573" s="56" t="s">
        <v>1610</v>
      </c>
      <c r="K573" s="56">
        <v>2022</v>
      </c>
      <c r="L573" s="52">
        <f t="shared" si="25"/>
        <v>40794.291999999994</v>
      </c>
      <c r="M573" s="56">
        <f>LISTAS!$B$22*_xlfn.XLOOKUP(G573,LISTAS!$B$27:$B$36,LISTAS!$A$27:$A$36)*_xlfn.XLOOKUP(H573,LISTAS!$B$38:$B$47,LISTAS!$A$38:$A$47,,-1)*_xlfn.XLOOKUP(J573,LISTAS!$E$26:$H$26,LISTAS!$E$48:$H$48)*_xlfn.XLOOKUP(F573,LISTAS!$A$15:$A$18,LISTAS!$H$15:$H$18)</f>
        <v>1.7555999999999999E-2</v>
      </c>
      <c r="N573" s="54" cm="1">
        <f t="array" ref="N573">_xlfn.XLOOKUP(K573,LISTAS!$D$27:$D$47,_xlfn.XLOOKUP(J573,LISTAS!$E$26:$H$26,LISTAS!$E$27:$H$47))</f>
        <v>27884000</v>
      </c>
      <c r="O573" s="56" t="s">
        <v>1625</v>
      </c>
      <c r="P573" s="76" t="str">
        <f t="shared" ca="1" si="26"/>
        <v>Vencida</v>
      </c>
    </row>
    <row r="574" spans="1:16" x14ac:dyDescent="0.3">
      <c r="A574" s="58" t="s">
        <v>864</v>
      </c>
      <c r="B574" s="56" t="s">
        <v>113</v>
      </c>
      <c r="C574" s="50" t="str">
        <f>_xlfn.XLOOKUP(B574,CLIENTES!$A$2:$A$301,CLIENTES!$B$2:$B$301)</f>
        <v>Federico Ruiz</v>
      </c>
      <c r="D574" s="60">
        <v>45204</v>
      </c>
      <c r="E574" s="60">
        <f t="shared" si="24"/>
        <v>45570</v>
      </c>
      <c r="F574" s="50" t="s">
        <v>1595</v>
      </c>
      <c r="G574" s="56" t="s">
        <v>1603</v>
      </c>
      <c r="H574" s="47">
        <v>37</v>
      </c>
      <c r="I574" s="60">
        <v>32617</v>
      </c>
      <c r="J574" s="56" t="s">
        <v>1611</v>
      </c>
      <c r="K574" s="56">
        <v>2024</v>
      </c>
      <c r="L574" s="52">
        <f t="shared" si="25"/>
        <v>41384.992499999993</v>
      </c>
      <c r="M574" s="56">
        <f>LISTAS!$B$22*_xlfn.XLOOKUP(G574,LISTAS!$B$27:$B$36,LISTAS!$A$27:$A$36)*_xlfn.XLOOKUP(H574,LISTAS!$B$38:$B$47,LISTAS!$A$38:$A$47,,-1)*_xlfn.XLOOKUP(J574,LISTAS!$E$26:$H$26,LISTAS!$E$48:$H$48)*_xlfn.XLOOKUP(F574,LISTAS!$A$15:$A$18,LISTAS!$H$15:$H$18)</f>
        <v>1.3109999999999998E-2</v>
      </c>
      <c r="N574" s="54" cm="1">
        <f t="array" ref="N574">_xlfn.XLOOKUP(K574,LISTAS!$D$27:$D$47,_xlfn.XLOOKUP(J574,LISTAS!$E$26:$H$26,LISTAS!$E$27:$H$47))</f>
        <v>37881000</v>
      </c>
      <c r="O574" s="56" t="s">
        <v>1624</v>
      </c>
      <c r="P574" s="76" t="str">
        <f t="shared" ca="1" si="26"/>
        <v>Vencida</v>
      </c>
    </row>
    <row r="575" spans="1:16" x14ac:dyDescent="0.3">
      <c r="A575" s="58" t="s">
        <v>865</v>
      </c>
      <c r="B575" s="56" t="s">
        <v>86</v>
      </c>
      <c r="C575" s="50" t="str">
        <f>_xlfn.XLOOKUP(B575,CLIENTES!$A$2:$A$301,CLIENTES!$B$2:$B$301)</f>
        <v>Emiliano Silva</v>
      </c>
      <c r="D575" s="60">
        <v>45855</v>
      </c>
      <c r="E575" s="60">
        <f t="shared" si="24"/>
        <v>46220</v>
      </c>
      <c r="F575" s="50" t="s">
        <v>1596</v>
      </c>
      <c r="G575" s="56" t="s">
        <v>1608</v>
      </c>
      <c r="H575" s="47">
        <v>78</v>
      </c>
      <c r="I575" s="60">
        <v>17497</v>
      </c>
      <c r="J575" s="56" t="s">
        <v>1611</v>
      </c>
      <c r="K575" s="56">
        <v>2022</v>
      </c>
      <c r="L575" s="52">
        <f t="shared" si="25"/>
        <v>70397.590927083322</v>
      </c>
      <c r="M575" s="56">
        <f>LISTAS!$B$22*_xlfn.XLOOKUP(G575,LISTAS!$B$27:$B$36,LISTAS!$A$27:$A$36)*_xlfn.XLOOKUP(H575,LISTAS!$B$38:$B$47,LISTAS!$A$38:$A$47,,-1)*_xlfn.XLOOKUP(J575,LISTAS!$E$26:$H$26,LISTAS!$E$48:$H$48)*_xlfn.XLOOKUP(F575,LISTAS!$A$15:$A$18,LISTAS!$H$15:$H$18)</f>
        <v>2.6930124999999996E-2</v>
      </c>
      <c r="N575" s="54" cm="1">
        <f t="array" ref="N575">_xlfn.XLOOKUP(K575,LISTAS!$D$27:$D$47,_xlfn.XLOOKUP(J575,LISTAS!$E$26:$H$26,LISTAS!$E$27:$H$47))</f>
        <v>31369000</v>
      </c>
      <c r="O575" s="56" t="s">
        <v>1626</v>
      </c>
      <c r="P575" s="76" t="str">
        <f t="shared" ca="1" si="26"/>
        <v>Vencida</v>
      </c>
    </row>
    <row r="576" spans="1:16" x14ac:dyDescent="0.3">
      <c r="A576" s="58" t="s">
        <v>866</v>
      </c>
      <c r="B576" s="56" t="s">
        <v>270</v>
      </c>
      <c r="C576" s="50" t="str">
        <f>_xlfn.XLOOKUP(B576,CLIENTES!$A$2:$A$301,CLIENTES!$B$2:$B$301)</f>
        <v>Gonzalo Ramírez</v>
      </c>
      <c r="D576" s="60">
        <v>45884</v>
      </c>
      <c r="E576" s="60">
        <f t="shared" si="24"/>
        <v>46249</v>
      </c>
      <c r="F576" s="50" t="s">
        <v>1596</v>
      </c>
      <c r="G576" s="56" t="s">
        <v>1601</v>
      </c>
      <c r="H576" s="47">
        <v>45</v>
      </c>
      <c r="I576" s="60">
        <v>29661</v>
      </c>
      <c r="J576" s="56" t="s">
        <v>1609</v>
      </c>
      <c r="K576" s="56">
        <v>2023</v>
      </c>
      <c r="L576" s="52">
        <f t="shared" si="25"/>
        <v>29640.162291666664</v>
      </c>
      <c r="M576" s="56">
        <f>LISTAS!$B$22*_xlfn.XLOOKUP(G576,LISTAS!$B$27:$B$36,LISTAS!$A$27:$A$36)*_xlfn.XLOOKUP(H576,LISTAS!$B$38:$B$47,LISTAS!$A$38:$A$47,,-1)*_xlfn.XLOOKUP(J576,LISTAS!$E$26:$H$26,LISTAS!$E$48:$H$48)*_xlfn.XLOOKUP(F576,LISTAS!$A$15:$A$18,LISTAS!$H$15:$H$18)</f>
        <v>1.8572499999999999E-2</v>
      </c>
      <c r="N576" s="54" cm="1">
        <f t="array" ref="N576">_xlfn.XLOOKUP(K576,LISTAS!$D$27:$D$47,_xlfn.XLOOKUP(J576,LISTAS!$E$26:$H$26,LISTAS!$E$27:$H$47))</f>
        <v>19151000</v>
      </c>
      <c r="O576" s="56" t="s">
        <v>1625</v>
      </c>
      <c r="P576" s="76" t="str">
        <f t="shared" ca="1" si="26"/>
        <v>Vencida</v>
      </c>
    </row>
    <row r="577" spans="1:16" x14ac:dyDescent="0.3">
      <c r="A577" s="58" t="s">
        <v>867</v>
      </c>
      <c r="B577" s="56" t="s">
        <v>105</v>
      </c>
      <c r="C577" s="50" t="str">
        <f>_xlfn.XLOOKUP(B577,CLIENTES!$A$2:$A$301,CLIENTES!$B$2:$B$301)</f>
        <v>Sofía Arias</v>
      </c>
      <c r="D577" s="60">
        <v>45723</v>
      </c>
      <c r="E577" s="60">
        <f t="shared" si="24"/>
        <v>46088</v>
      </c>
      <c r="F577" s="50" t="s">
        <v>1598</v>
      </c>
      <c r="G577" s="56" t="s">
        <v>1608</v>
      </c>
      <c r="H577" s="47">
        <v>44</v>
      </c>
      <c r="I577" s="60">
        <v>29843</v>
      </c>
      <c r="J577" s="56" t="s">
        <v>1610</v>
      </c>
      <c r="K577" s="56">
        <v>2025</v>
      </c>
      <c r="L577" s="52">
        <f t="shared" si="25"/>
        <v>79155.266666666677</v>
      </c>
      <c r="M577" s="56">
        <f>LISTAS!$B$22*_xlfn.XLOOKUP(G577,LISTAS!$B$27:$B$36,LISTAS!$A$27:$A$36)*_xlfn.XLOOKUP(H577,LISTAS!$B$38:$B$47,LISTAS!$A$38:$A$47,,-1)*_xlfn.XLOOKUP(J577,LISTAS!$E$26:$H$26,LISTAS!$E$48:$H$48)*_xlfn.XLOOKUP(F577,LISTAS!$A$15:$A$18,LISTAS!$H$15:$H$18)</f>
        <v>2.5811500000000001E-2</v>
      </c>
      <c r="N577" s="54" cm="1">
        <f t="array" ref="N577">_xlfn.XLOOKUP(K577,LISTAS!$D$27:$D$47,_xlfn.XLOOKUP(J577,LISTAS!$E$26:$H$26,LISTAS!$E$27:$H$47))</f>
        <v>36800000</v>
      </c>
      <c r="O577" s="56" t="s">
        <v>1625</v>
      </c>
      <c r="P577" s="76" t="str">
        <f t="shared" ca="1" si="26"/>
        <v>Vencida</v>
      </c>
    </row>
    <row r="578" spans="1:16" x14ac:dyDescent="0.3">
      <c r="A578" s="58" t="s">
        <v>868</v>
      </c>
      <c r="B578" s="56" t="s">
        <v>195</v>
      </c>
      <c r="C578" s="50" t="str">
        <f>_xlfn.XLOOKUP(B578,CLIENTES!$A$2:$A$301,CLIENTES!$B$2:$B$301)</f>
        <v>Martina Luna</v>
      </c>
      <c r="D578" s="60">
        <v>46146</v>
      </c>
      <c r="E578" s="60">
        <f t="shared" si="24"/>
        <v>46511</v>
      </c>
      <c r="F578" s="50" t="s">
        <v>1596</v>
      </c>
      <c r="G578" s="56" t="s">
        <v>1605</v>
      </c>
      <c r="H578" s="47">
        <v>30</v>
      </c>
      <c r="I578" s="60">
        <v>34955</v>
      </c>
      <c r="J578" s="56" t="s">
        <v>1612</v>
      </c>
      <c r="K578" s="56">
        <v>2020</v>
      </c>
      <c r="L578" s="52">
        <f t="shared" si="25"/>
        <v>24729.390000000003</v>
      </c>
      <c r="M578" s="56">
        <f>LISTAS!$B$22*_xlfn.XLOOKUP(G578,LISTAS!$B$27:$B$36,LISTAS!$A$27:$A$36)*_xlfn.XLOOKUP(H578,LISTAS!$B$38:$B$47,LISTAS!$A$38:$A$47,,-1)*_xlfn.XLOOKUP(J578,LISTAS!$E$26:$H$26,LISTAS!$E$48:$H$48)*_xlfn.XLOOKUP(F578,LISTAS!$A$15:$A$18,LISTAS!$H$15:$H$18)</f>
        <v>1.6065000000000003E-2</v>
      </c>
      <c r="N578" s="54" cm="1">
        <f t="array" ref="N578">_xlfn.XLOOKUP(K578,LISTAS!$D$27:$D$47,_xlfn.XLOOKUP(J578,LISTAS!$E$26:$H$26,LISTAS!$E$27:$H$47))</f>
        <v>18472000</v>
      </c>
      <c r="O578" s="56" t="s">
        <v>1623</v>
      </c>
      <c r="P578" s="76" t="str">
        <f t="shared" ca="1" si="26"/>
        <v>Vigente</v>
      </c>
    </row>
    <row r="579" spans="1:16" x14ac:dyDescent="0.3">
      <c r="A579" s="58" t="s">
        <v>869</v>
      </c>
      <c r="B579" s="56" t="s">
        <v>171</v>
      </c>
      <c r="C579" s="50" t="str">
        <f>_xlfn.XLOOKUP(B579,CLIENTES!$A$2:$A$301,CLIENTES!$B$2:$B$301)</f>
        <v>Julieta Rojas</v>
      </c>
      <c r="D579" s="60">
        <v>45038</v>
      </c>
      <c r="E579" s="60">
        <f t="shared" ref="E579:E642" si="27">EDATE(D579,12)</f>
        <v>45404</v>
      </c>
      <c r="F579" s="50" t="s">
        <v>1596</v>
      </c>
      <c r="G579" s="56" t="s">
        <v>1606</v>
      </c>
      <c r="H579" s="47">
        <v>36</v>
      </c>
      <c r="I579" s="60">
        <v>32855</v>
      </c>
      <c r="J579" s="56" t="s">
        <v>1609</v>
      </c>
      <c r="K579" s="56">
        <v>2017</v>
      </c>
      <c r="L579" s="52">
        <f t="shared" ref="L579:L642" si="28">(N579*M579)/12</f>
        <v>15406.25</v>
      </c>
      <c r="M579" s="56">
        <f>LISTAS!$B$22*_xlfn.XLOOKUP(G579,LISTAS!$B$27:$B$36,LISTAS!$A$27:$A$36)*_xlfn.XLOOKUP(H579,LISTAS!$B$38:$B$47,LISTAS!$A$38:$A$47,,-1)*_xlfn.XLOOKUP(J579,LISTAS!$E$26:$H$26,LISTAS!$E$48:$H$48)*_xlfn.XLOOKUP(F579,LISTAS!$A$15:$A$18,LISTAS!$H$15:$H$18)</f>
        <v>1.7000000000000001E-2</v>
      </c>
      <c r="N579" s="54" cm="1">
        <f t="array" ref="N579">_xlfn.XLOOKUP(K579,LISTAS!$D$27:$D$47,_xlfn.XLOOKUP(J579,LISTAS!$E$26:$H$26,LISTAS!$E$27:$H$47))</f>
        <v>10875000</v>
      </c>
      <c r="O579" s="56" t="s">
        <v>1623</v>
      </c>
      <c r="P579" s="76" t="str">
        <f t="shared" ref="P579:P642" ca="1" si="29">IF(TODAY()&lt;D579,"Pendiente",IF(TODAY()&gt;E579,"Vencida","Vigente"))</f>
        <v>Vencida</v>
      </c>
    </row>
    <row r="580" spans="1:16" x14ac:dyDescent="0.3">
      <c r="A580" s="58" t="s">
        <v>870</v>
      </c>
      <c r="B580" s="56" t="s">
        <v>153</v>
      </c>
      <c r="C580" s="50" t="str">
        <f>_xlfn.XLOOKUP(B580,CLIENTES!$A$2:$A$301,CLIENTES!$B$2:$B$301)</f>
        <v>Mateo Arias</v>
      </c>
      <c r="D580" s="60">
        <v>45575</v>
      </c>
      <c r="E580" s="60">
        <f t="shared" si="27"/>
        <v>45940</v>
      </c>
      <c r="F580" s="50" t="s">
        <v>1596</v>
      </c>
      <c r="G580" s="56" t="s">
        <v>1600</v>
      </c>
      <c r="H580" s="47">
        <v>49</v>
      </c>
      <c r="I580" s="60">
        <v>28232</v>
      </c>
      <c r="J580" s="56" t="s">
        <v>1609</v>
      </c>
      <c r="K580" s="56">
        <v>2023</v>
      </c>
      <c r="L580" s="52">
        <f t="shared" si="28"/>
        <v>29640.162291666664</v>
      </c>
      <c r="M580" s="56">
        <f>LISTAS!$B$22*_xlfn.XLOOKUP(G580,LISTAS!$B$27:$B$36,LISTAS!$A$27:$A$36)*_xlfn.XLOOKUP(H580,LISTAS!$B$38:$B$47,LISTAS!$A$38:$A$47,,-1)*_xlfn.XLOOKUP(J580,LISTAS!$E$26:$H$26,LISTAS!$E$48:$H$48)*_xlfn.XLOOKUP(F580,LISTAS!$A$15:$A$18,LISTAS!$H$15:$H$18)</f>
        <v>1.8572499999999999E-2</v>
      </c>
      <c r="N580" s="54" cm="1">
        <f t="array" ref="N580">_xlfn.XLOOKUP(K580,LISTAS!$D$27:$D$47,_xlfn.XLOOKUP(J580,LISTAS!$E$26:$H$26,LISTAS!$E$27:$H$47))</f>
        <v>19151000</v>
      </c>
      <c r="O580" s="56" t="s">
        <v>1623</v>
      </c>
      <c r="P580" s="76" t="str">
        <f t="shared" ca="1" si="29"/>
        <v>Vencida</v>
      </c>
    </row>
    <row r="581" spans="1:16" x14ac:dyDescent="0.3">
      <c r="A581" s="58" t="s">
        <v>871</v>
      </c>
      <c r="B581" s="56" t="s">
        <v>55</v>
      </c>
      <c r="C581" s="50" t="str">
        <f>_xlfn.XLOOKUP(B581,CLIENTES!$A$2:$A$301,CLIENTES!$B$2:$B$301)</f>
        <v>Lucía Quiroga</v>
      </c>
      <c r="D581" s="60">
        <v>45975</v>
      </c>
      <c r="E581" s="60">
        <f t="shared" si="27"/>
        <v>46340</v>
      </c>
      <c r="F581" s="50" t="s">
        <v>1597</v>
      </c>
      <c r="G581" s="56" t="s">
        <v>1607</v>
      </c>
      <c r="H581" s="47">
        <v>72</v>
      </c>
      <c r="I581" s="60">
        <v>19670</v>
      </c>
      <c r="J581" s="56" t="s">
        <v>1612</v>
      </c>
      <c r="K581" s="56">
        <v>2021</v>
      </c>
      <c r="L581" s="52">
        <f t="shared" si="28"/>
        <v>60176.385500000004</v>
      </c>
      <c r="M581" s="56">
        <f>LISTAS!$B$22*_xlfn.XLOOKUP(G581,LISTAS!$B$27:$B$36,LISTAS!$A$27:$A$36)*_xlfn.XLOOKUP(H581,LISTAS!$B$38:$B$47,LISTAS!$A$38:$A$47,,-1)*_xlfn.XLOOKUP(J581,LISTAS!$E$26:$H$26,LISTAS!$E$48:$H$48)*_xlfn.XLOOKUP(F581,LISTAS!$A$15:$A$18,LISTAS!$H$15:$H$18)</f>
        <v>3.5574000000000001E-2</v>
      </c>
      <c r="N581" s="54" cm="1">
        <f t="array" ref="N581">_xlfn.XLOOKUP(K581,LISTAS!$D$27:$D$47,_xlfn.XLOOKUP(J581,LISTAS!$E$26:$H$26,LISTAS!$E$27:$H$47))</f>
        <v>20299000</v>
      </c>
      <c r="O581" s="56" t="s">
        <v>1624</v>
      </c>
      <c r="P581" s="76" t="str">
        <f t="shared" ca="1" si="29"/>
        <v>Vigente</v>
      </c>
    </row>
    <row r="582" spans="1:16" x14ac:dyDescent="0.3">
      <c r="A582" s="58" t="s">
        <v>872</v>
      </c>
      <c r="B582" s="56" t="s">
        <v>56</v>
      </c>
      <c r="C582" s="50" t="str">
        <f>_xlfn.XLOOKUP(B582,CLIENTES!$A$2:$A$301,CLIENTES!$B$2:$B$301)</f>
        <v>Agustín Romero</v>
      </c>
      <c r="D582" s="60">
        <v>44527</v>
      </c>
      <c r="E582" s="60">
        <f t="shared" si="27"/>
        <v>44892</v>
      </c>
      <c r="F582" s="50" t="s">
        <v>1597</v>
      </c>
      <c r="G582" s="56" t="s">
        <v>1606</v>
      </c>
      <c r="H582" s="47">
        <v>32</v>
      </c>
      <c r="I582" s="60">
        <v>34443</v>
      </c>
      <c r="J582" s="56" t="s">
        <v>1612</v>
      </c>
      <c r="K582" s="56">
        <v>2021</v>
      </c>
      <c r="L582" s="52">
        <f t="shared" si="28"/>
        <v>39075.575000000004</v>
      </c>
      <c r="M582" s="56">
        <f>LISTAS!$B$22*_xlfn.XLOOKUP(G582,LISTAS!$B$27:$B$36,LISTAS!$A$27:$A$36)*_xlfn.XLOOKUP(H582,LISTAS!$B$38:$B$47,LISTAS!$A$38:$A$47,,-1)*_xlfn.XLOOKUP(J582,LISTAS!$E$26:$H$26,LISTAS!$E$48:$H$48)*_xlfn.XLOOKUP(F582,LISTAS!$A$15:$A$18,LISTAS!$H$15:$H$18)</f>
        <v>2.3100000000000002E-2</v>
      </c>
      <c r="N582" s="54" cm="1">
        <f t="array" ref="N582">_xlfn.XLOOKUP(K582,LISTAS!$D$27:$D$47,_xlfn.XLOOKUP(J582,LISTAS!$E$26:$H$26,LISTAS!$E$27:$H$47))</f>
        <v>20299000</v>
      </c>
      <c r="O582" s="56" t="s">
        <v>1623</v>
      </c>
      <c r="P582" s="76" t="str">
        <f t="shared" ca="1" si="29"/>
        <v>Vencida</v>
      </c>
    </row>
    <row r="583" spans="1:16" x14ac:dyDescent="0.3">
      <c r="A583" s="58" t="s">
        <v>873</v>
      </c>
      <c r="B583" s="56" t="s">
        <v>14</v>
      </c>
      <c r="C583" s="50" t="str">
        <f>_xlfn.XLOOKUP(B583,CLIENTES!$A$2:$A$301,CLIENTES!$B$2:$B$301)</f>
        <v>Pedro Sánchez</v>
      </c>
      <c r="D583" s="60">
        <v>45661</v>
      </c>
      <c r="E583" s="60">
        <f t="shared" si="27"/>
        <v>46026</v>
      </c>
      <c r="F583" s="50" t="s">
        <v>1597</v>
      </c>
      <c r="G583" s="56" t="s">
        <v>1607</v>
      </c>
      <c r="H583" s="47">
        <v>28</v>
      </c>
      <c r="I583" s="60">
        <v>35710</v>
      </c>
      <c r="J583" s="56" t="s">
        <v>1610</v>
      </c>
      <c r="K583" s="56">
        <v>2023</v>
      </c>
      <c r="L583" s="52">
        <f t="shared" si="28"/>
        <v>81569.004000000015</v>
      </c>
      <c r="M583" s="56">
        <f>LISTAS!$B$22*_xlfn.XLOOKUP(G583,LISTAS!$B$27:$B$36,LISTAS!$A$27:$A$36)*_xlfn.XLOOKUP(H583,LISTAS!$B$38:$B$47,LISTAS!$A$38:$A$47,,-1)*_xlfn.XLOOKUP(J583,LISTAS!$E$26:$H$26,LISTAS!$E$48:$H$48)*_xlfn.XLOOKUP(F583,LISTAS!$A$15:$A$18,LISTAS!$H$15:$H$18)</f>
        <v>3.1944000000000007E-2</v>
      </c>
      <c r="N583" s="54" cm="1">
        <f t="array" ref="N583">_xlfn.XLOOKUP(K583,LISTAS!$D$27:$D$47,_xlfn.XLOOKUP(J583,LISTAS!$E$26:$H$26,LISTAS!$E$27:$H$47))</f>
        <v>30642000</v>
      </c>
      <c r="O583" s="56" t="s">
        <v>1623</v>
      </c>
      <c r="P583" s="76" t="str">
        <f t="shared" ca="1" si="29"/>
        <v>Vencida</v>
      </c>
    </row>
    <row r="584" spans="1:16" x14ac:dyDescent="0.3">
      <c r="A584" s="58" t="s">
        <v>874</v>
      </c>
      <c r="B584" s="56" t="s">
        <v>256</v>
      </c>
      <c r="C584" s="50" t="str">
        <f>_xlfn.XLOOKUP(B584,CLIENTES!$A$2:$A$301,CLIENTES!$B$2:$B$301)</f>
        <v>Florencia Mansilla</v>
      </c>
      <c r="D584" s="60">
        <v>45379</v>
      </c>
      <c r="E584" s="60">
        <f t="shared" si="27"/>
        <v>45744</v>
      </c>
      <c r="F584" s="50" t="s">
        <v>1595</v>
      </c>
      <c r="G584" s="56" t="s">
        <v>1608</v>
      </c>
      <c r="H584" s="47">
        <v>56</v>
      </c>
      <c r="I584" s="60">
        <v>25454</v>
      </c>
      <c r="J584" s="56" t="s">
        <v>1610</v>
      </c>
      <c r="K584" s="56">
        <v>2014</v>
      </c>
      <c r="L584" s="52">
        <f t="shared" si="28"/>
        <v>14082.42</v>
      </c>
      <c r="M584" s="56">
        <f>LISTAS!$B$22*_xlfn.XLOOKUP(G584,LISTAS!$B$27:$B$36,LISTAS!$A$27:$A$36)*_xlfn.XLOOKUP(H584,LISTAS!$B$38:$B$47,LISTAS!$A$38:$A$47,,-1)*_xlfn.XLOOKUP(J584,LISTAS!$E$26:$H$26,LISTAS!$E$48:$H$48)*_xlfn.XLOOKUP(F584,LISTAS!$A$15:$A$18,LISTAS!$H$15:$H$18)</f>
        <v>1.2540000000000001E-2</v>
      </c>
      <c r="N584" s="54" cm="1">
        <f t="array" ref="N584">_xlfn.XLOOKUP(K584,LISTAS!$D$27:$D$47,_xlfn.XLOOKUP(J584,LISTAS!$E$26:$H$26,LISTAS!$E$27:$H$47))</f>
        <v>13476000</v>
      </c>
      <c r="O584" s="56" t="s">
        <v>1624</v>
      </c>
      <c r="P584" s="76" t="str">
        <f t="shared" ca="1" si="29"/>
        <v>Vencida</v>
      </c>
    </row>
    <row r="585" spans="1:16" x14ac:dyDescent="0.3">
      <c r="A585" s="58" t="s">
        <v>875</v>
      </c>
      <c r="B585" s="56" t="s">
        <v>285</v>
      </c>
      <c r="C585" s="50" t="str">
        <f>_xlfn.XLOOKUP(B585,CLIENTES!$A$2:$A$301,CLIENTES!$B$2:$B$301)</f>
        <v>Agustín Díaz</v>
      </c>
      <c r="D585" s="60">
        <v>44794</v>
      </c>
      <c r="E585" s="60">
        <f t="shared" si="27"/>
        <v>45159</v>
      </c>
      <c r="F585" s="50" t="s">
        <v>1597</v>
      </c>
      <c r="G585" s="56" t="s">
        <v>1604</v>
      </c>
      <c r="H585" s="47">
        <v>61</v>
      </c>
      <c r="I585" s="60">
        <v>23821</v>
      </c>
      <c r="J585" s="56" t="s">
        <v>1612</v>
      </c>
      <c r="K585" s="56">
        <v>2021</v>
      </c>
      <c r="L585" s="52">
        <f t="shared" si="28"/>
        <v>43080.821437500017</v>
      </c>
      <c r="M585" s="56">
        <f>LISTAS!$B$22*_xlfn.XLOOKUP(G585,LISTAS!$B$27:$B$36,LISTAS!$A$27:$A$36)*_xlfn.XLOOKUP(H585,LISTAS!$B$38:$B$47,LISTAS!$A$38:$A$47,,-1)*_xlfn.XLOOKUP(J585,LISTAS!$E$26:$H$26,LISTAS!$E$48:$H$48)*_xlfn.XLOOKUP(F585,LISTAS!$A$15:$A$18,LISTAS!$H$15:$H$18)</f>
        <v>2.5467750000000008E-2</v>
      </c>
      <c r="N585" s="54" cm="1">
        <f t="array" ref="N585">_xlfn.XLOOKUP(K585,LISTAS!$D$27:$D$47,_xlfn.XLOOKUP(J585,LISTAS!$E$26:$H$26,LISTAS!$E$27:$H$47))</f>
        <v>20299000</v>
      </c>
      <c r="O585" s="56" t="s">
        <v>1623</v>
      </c>
      <c r="P585" s="76" t="str">
        <f t="shared" ca="1" si="29"/>
        <v>Vencida</v>
      </c>
    </row>
    <row r="586" spans="1:16" x14ac:dyDescent="0.3">
      <c r="A586" s="58" t="s">
        <v>876</v>
      </c>
      <c r="B586" s="56" t="s">
        <v>76</v>
      </c>
      <c r="C586" s="50" t="str">
        <f>_xlfn.XLOOKUP(B586,CLIENTES!$A$2:$A$301,CLIENTES!$B$2:$B$301)</f>
        <v>Lucas Rodríguez</v>
      </c>
      <c r="D586" s="60">
        <v>44550</v>
      </c>
      <c r="E586" s="60">
        <f t="shared" si="27"/>
        <v>44915</v>
      </c>
      <c r="F586" s="50" t="s">
        <v>1598</v>
      </c>
      <c r="G586" s="56" t="s">
        <v>1599</v>
      </c>
      <c r="H586" s="47">
        <v>45</v>
      </c>
      <c r="I586" s="60">
        <v>29789</v>
      </c>
      <c r="J586" s="56" t="s">
        <v>1612</v>
      </c>
      <c r="K586" s="56">
        <v>2021</v>
      </c>
      <c r="L586" s="52">
        <f t="shared" si="28"/>
        <v>52645.456500000008</v>
      </c>
      <c r="M586" s="56">
        <f>LISTAS!$B$22*_xlfn.XLOOKUP(G586,LISTAS!$B$27:$B$36,LISTAS!$A$27:$A$36)*_xlfn.XLOOKUP(H586,LISTAS!$B$38:$B$47,LISTAS!$A$38:$A$47,,-1)*_xlfn.XLOOKUP(J586,LISTAS!$E$26:$H$26,LISTAS!$E$48:$H$48)*_xlfn.XLOOKUP(F586,LISTAS!$A$15:$A$18,LISTAS!$H$15:$H$18)</f>
        <v>3.1122000000000004E-2</v>
      </c>
      <c r="N586" s="54" cm="1">
        <f t="array" ref="N586">_xlfn.XLOOKUP(K586,LISTAS!$D$27:$D$47,_xlfn.XLOOKUP(J586,LISTAS!$E$26:$H$26,LISTAS!$E$27:$H$47))</f>
        <v>20299000</v>
      </c>
      <c r="O586" s="56" t="s">
        <v>1623</v>
      </c>
      <c r="P586" s="76" t="str">
        <f t="shared" ca="1" si="29"/>
        <v>Vencida</v>
      </c>
    </row>
    <row r="587" spans="1:16" x14ac:dyDescent="0.3">
      <c r="A587" s="58" t="s">
        <v>877</v>
      </c>
      <c r="B587" s="56" t="s">
        <v>40</v>
      </c>
      <c r="C587" s="50" t="str">
        <f>_xlfn.XLOOKUP(B587,CLIENTES!$A$2:$A$301,CLIENTES!$B$2:$B$301)</f>
        <v>Andrés Martínez</v>
      </c>
      <c r="D587" s="60">
        <v>45668</v>
      </c>
      <c r="E587" s="60">
        <f t="shared" si="27"/>
        <v>46033</v>
      </c>
      <c r="F587" s="50" t="s">
        <v>1595</v>
      </c>
      <c r="G587" s="56" t="s">
        <v>1606</v>
      </c>
      <c r="H587" s="47">
        <v>20</v>
      </c>
      <c r="I587" s="60">
        <v>38676</v>
      </c>
      <c r="J587" s="56" t="s">
        <v>1611</v>
      </c>
      <c r="K587" s="56">
        <v>2025</v>
      </c>
      <c r="L587" s="52">
        <f t="shared" si="28"/>
        <v>71414.999999999985</v>
      </c>
      <c r="M587" s="56">
        <f>LISTAS!$B$22*_xlfn.XLOOKUP(G587,LISTAS!$B$27:$B$36,LISTAS!$A$27:$A$36)*_xlfn.XLOOKUP(H587,LISTAS!$B$38:$B$47,LISTAS!$A$38:$A$47,,-1)*_xlfn.XLOOKUP(J587,LISTAS!$E$26:$H$26,LISTAS!$E$48:$H$48)*_xlfn.XLOOKUP(F587,LISTAS!$A$15:$A$18,LISTAS!$H$15:$H$18)</f>
        <v>2.0699999999999996E-2</v>
      </c>
      <c r="N587" s="54" cm="1">
        <f t="array" ref="N587">_xlfn.XLOOKUP(K587,LISTAS!$D$27:$D$47,_xlfn.XLOOKUP(J587,LISTAS!$E$26:$H$26,LISTAS!$E$27:$H$47))</f>
        <v>41400000</v>
      </c>
      <c r="O587" s="56" t="s">
        <v>1626</v>
      </c>
      <c r="P587" s="76" t="str">
        <f t="shared" ca="1" si="29"/>
        <v>Vencida</v>
      </c>
    </row>
    <row r="588" spans="1:16" x14ac:dyDescent="0.3">
      <c r="A588" s="58" t="s">
        <v>878</v>
      </c>
      <c r="B588" s="56" t="s">
        <v>23</v>
      </c>
      <c r="C588" s="50" t="str">
        <f>_xlfn.XLOOKUP(B588,CLIENTES!$A$2:$A$301,CLIENTES!$B$2:$B$301)</f>
        <v>Tomás Álvarez</v>
      </c>
      <c r="D588" s="60">
        <v>45152</v>
      </c>
      <c r="E588" s="60">
        <f t="shared" si="27"/>
        <v>45518</v>
      </c>
      <c r="F588" s="50" t="s">
        <v>1595</v>
      </c>
      <c r="G588" s="56" t="s">
        <v>1604</v>
      </c>
      <c r="H588" s="47">
        <v>36</v>
      </c>
      <c r="I588" s="60">
        <v>32997</v>
      </c>
      <c r="J588" s="56" t="s">
        <v>1609</v>
      </c>
      <c r="K588" s="56">
        <v>2021</v>
      </c>
      <c r="L588" s="52">
        <f t="shared" si="28"/>
        <v>16651.95</v>
      </c>
      <c r="M588" s="56">
        <f>LISTAS!$B$22*_xlfn.XLOOKUP(G588,LISTAS!$B$27:$B$36,LISTAS!$A$27:$A$36)*_xlfn.XLOOKUP(H588,LISTAS!$B$38:$B$47,LISTAS!$A$38:$A$47,,-1)*_xlfn.XLOOKUP(J588,LISTAS!$E$26:$H$26,LISTAS!$E$48:$H$48)*_xlfn.XLOOKUP(F588,LISTAS!$A$15:$A$18,LISTAS!$H$15:$H$18)</f>
        <v>1.26E-2</v>
      </c>
      <c r="N588" s="54" cm="1">
        <f t="array" ref="N588">_xlfn.XLOOKUP(K588,LISTAS!$D$27:$D$47,_xlfn.XLOOKUP(J588,LISTAS!$E$26:$H$26,LISTAS!$E$27:$H$47))</f>
        <v>15859000</v>
      </c>
      <c r="O588" s="56" t="s">
        <v>1623</v>
      </c>
      <c r="P588" s="76" t="str">
        <f t="shared" ca="1" si="29"/>
        <v>Vencida</v>
      </c>
    </row>
    <row r="589" spans="1:16" x14ac:dyDescent="0.3">
      <c r="A589" s="58" t="s">
        <v>879</v>
      </c>
      <c r="B589" s="56" t="s">
        <v>158</v>
      </c>
      <c r="C589" s="50" t="str">
        <f>_xlfn.XLOOKUP(B589,CLIENTES!$A$2:$A$301,CLIENTES!$B$2:$B$301)</f>
        <v>Ignacio Navarro</v>
      </c>
      <c r="D589" s="60">
        <v>44758</v>
      </c>
      <c r="E589" s="60">
        <f t="shared" si="27"/>
        <v>45123</v>
      </c>
      <c r="F589" s="50" t="s">
        <v>1596</v>
      </c>
      <c r="G589" s="56" t="s">
        <v>1601</v>
      </c>
      <c r="H589" s="47">
        <v>56</v>
      </c>
      <c r="I589" s="60">
        <v>25708</v>
      </c>
      <c r="J589" s="56" t="s">
        <v>1609</v>
      </c>
      <c r="K589" s="56">
        <v>2020</v>
      </c>
      <c r="L589" s="52">
        <f t="shared" si="28"/>
        <v>23512.133333333331</v>
      </c>
      <c r="M589" s="56">
        <f>LISTAS!$B$22*_xlfn.XLOOKUP(G589,LISTAS!$B$27:$B$36,LISTAS!$A$27:$A$36)*_xlfn.XLOOKUP(H589,LISTAS!$B$38:$B$47,LISTAS!$A$38:$A$47,,-1)*_xlfn.XLOOKUP(J589,LISTAS!$E$26:$H$26,LISTAS!$E$48:$H$48)*_xlfn.XLOOKUP(F589,LISTAS!$A$15:$A$18,LISTAS!$H$15:$H$18)</f>
        <v>1.9549999999999998E-2</v>
      </c>
      <c r="N589" s="54" cm="1">
        <f t="array" ref="N589">_xlfn.XLOOKUP(K589,LISTAS!$D$27:$D$47,_xlfn.XLOOKUP(J589,LISTAS!$E$26:$H$26,LISTAS!$E$27:$H$47))</f>
        <v>14432000</v>
      </c>
      <c r="O589" s="56" t="s">
        <v>1624</v>
      </c>
      <c r="P589" s="76" t="str">
        <f t="shared" ca="1" si="29"/>
        <v>Vencida</v>
      </c>
    </row>
    <row r="590" spans="1:16" x14ac:dyDescent="0.3">
      <c r="A590" s="58" t="s">
        <v>880</v>
      </c>
      <c r="B590" s="56" t="s">
        <v>273</v>
      </c>
      <c r="C590" s="50" t="str">
        <f>_xlfn.XLOOKUP(B590,CLIENTES!$A$2:$A$301,CLIENTES!$B$2:$B$301)</f>
        <v>Nicolás Ramírez</v>
      </c>
      <c r="D590" s="60">
        <v>46194</v>
      </c>
      <c r="E590" s="60">
        <f t="shared" si="27"/>
        <v>46559</v>
      </c>
      <c r="F590" s="50" t="s">
        <v>1596</v>
      </c>
      <c r="G590" s="56" t="s">
        <v>1608</v>
      </c>
      <c r="H590" s="47">
        <v>70</v>
      </c>
      <c r="I590" s="60">
        <v>20354</v>
      </c>
      <c r="J590" s="56" t="s">
        <v>1609</v>
      </c>
      <c r="K590" s="56">
        <v>2022</v>
      </c>
      <c r="L590" s="52">
        <f t="shared" si="28"/>
        <v>32835.372499999998</v>
      </c>
      <c r="M590" s="56">
        <f>LISTAS!$B$22*_xlfn.XLOOKUP(G590,LISTAS!$B$27:$B$36,LISTAS!$A$27:$A$36)*_xlfn.XLOOKUP(H590,LISTAS!$B$38:$B$47,LISTAS!$A$38:$A$47,,-1)*_xlfn.XLOOKUP(J590,LISTAS!$E$26:$H$26,LISTAS!$E$48:$H$48)*_xlfn.XLOOKUP(F590,LISTAS!$A$15:$A$18,LISTAS!$H$15:$H$18)</f>
        <v>2.2609999999999998E-2</v>
      </c>
      <c r="N590" s="54" cm="1">
        <f t="array" ref="N590">_xlfn.XLOOKUP(K590,LISTAS!$D$27:$D$47,_xlfn.XLOOKUP(J590,LISTAS!$E$26:$H$26,LISTAS!$E$27:$H$47))</f>
        <v>17427000</v>
      </c>
      <c r="O590" s="56" t="s">
        <v>1626</v>
      </c>
      <c r="P590" s="76" t="str">
        <f t="shared" ca="1" si="29"/>
        <v>Vigente</v>
      </c>
    </row>
    <row r="591" spans="1:16" x14ac:dyDescent="0.3">
      <c r="A591" s="58" t="s">
        <v>881</v>
      </c>
      <c r="B591" s="56" t="s">
        <v>61</v>
      </c>
      <c r="C591" s="50" t="str">
        <f>_xlfn.XLOOKUP(B591,CLIENTES!$A$2:$A$301,CLIENTES!$B$2:$B$301)</f>
        <v>Mariana Ponce</v>
      </c>
      <c r="D591" s="60">
        <v>46158</v>
      </c>
      <c r="E591" s="60">
        <f t="shared" si="27"/>
        <v>46523</v>
      </c>
      <c r="F591" s="50" t="s">
        <v>1595</v>
      </c>
      <c r="G591" s="56" t="s">
        <v>1599</v>
      </c>
      <c r="H591" s="47">
        <v>23</v>
      </c>
      <c r="I591" s="60">
        <v>37598</v>
      </c>
      <c r="J591" s="56" t="s">
        <v>1612</v>
      </c>
      <c r="K591" s="56">
        <v>2024</v>
      </c>
      <c r="L591" s="52">
        <f t="shared" si="28"/>
        <v>45821.538000000008</v>
      </c>
      <c r="M591" s="56">
        <f>LISTAS!$B$22*_xlfn.XLOOKUP(G591,LISTAS!$B$27:$B$36,LISTAS!$A$27:$A$36)*_xlfn.XLOOKUP(H591,LISTAS!$B$38:$B$47,LISTAS!$A$38:$A$47,,-1)*_xlfn.XLOOKUP(J591,LISTAS!$E$26:$H$26,LISTAS!$E$48:$H$48)*_xlfn.XLOOKUP(F591,LISTAS!$A$15:$A$18,LISTAS!$H$15:$H$18)</f>
        <v>2.0412000000000003E-2</v>
      </c>
      <c r="N591" s="54" cm="1">
        <f t="array" ref="N591">_xlfn.XLOOKUP(K591,LISTAS!$D$27:$D$47,_xlfn.XLOOKUP(J591,LISTAS!$E$26:$H$26,LISTAS!$E$27:$H$47))</f>
        <v>26938000</v>
      </c>
      <c r="O591" s="56" t="s">
        <v>1623</v>
      </c>
      <c r="P591" s="76" t="str">
        <f t="shared" ca="1" si="29"/>
        <v>Vigente</v>
      </c>
    </row>
    <row r="592" spans="1:16" x14ac:dyDescent="0.3">
      <c r="A592" s="58" t="s">
        <v>882</v>
      </c>
      <c r="B592" s="56" t="s">
        <v>92</v>
      </c>
      <c r="C592" s="50" t="str">
        <f>_xlfn.XLOOKUP(B592,CLIENTES!$A$2:$A$301,CLIENTES!$B$2:$B$301)</f>
        <v>Rodrigo Méndez</v>
      </c>
      <c r="D592" s="60">
        <v>44655</v>
      </c>
      <c r="E592" s="60">
        <f t="shared" si="27"/>
        <v>45020</v>
      </c>
      <c r="F592" s="50" t="s">
        <v>1598</v>
      </c>
      <c r="G592" s="56" t="s">
        <v>1599</v>
      </c>
      <c r="H592" s="47">
        <v>45</v>
      </c>
      <c r="I592" s="60">
        <v>29485</v>
      </c>
      <c r="J592" s="56" t="s">
        <v>1612</v>
      </c>
      <c r="K592" s="56">
        <v>2021</v>
      </c>
      <c r="L592" s="52">
        <f t="shared" si="28"/>
        <v>52645.456500000008</v>
      </c>
      <c r="M592" s="56">
        <f>LISTAS!$B$22*_xlfn.XLOOKUP(G592,LISTAS!$B$27:$B$36,LISTAS!$A$27:$A$36)*_xlfn.XLOOKUP(H592,LISTAS!$B$38:$B$47,LISTAS!$A$38:$A$47,,-1)*_xlfn.XLOOKUP(J592,LISTAS!$E$26:$H$26,LISTAS!$E$48:$H$48)*_xlfn.XLOOKUP(F592,LISTAS!$A$15:$A$18,LISTAS!$H$15:$H$18)</f>
        <v>3.1122000000000004E-2</v>
      </c>
      <c r="N592" s="54" cm="1">
        <f t="array" ref="N592">_xlfn.XLOOKUP(K592,LISTAS!$D$27:$D$47,_xlfn.XLOOKUP(J592,LISTAS!$E$26:$H$26,LISTAS!$E$27:$H$47))</f>
        <v>20299000</v>
      </c>
      <c r="O592" s="56" t="s">
        <v>1623</v>
      </c>
      <c r="P592" s="76" t="str">
        <f t="shared" ca="1" si="29"/>
        <v>Vencida</v>
      </c>
    </row>
    <row r="593" spans="1:16" x14ac:dyDescent="0.3">
      <c r="A593" s="58" t="s">
        <v>883</v>
      </c>
      <c r="B593" s="56" t="s">
        <v>193</v>
      </c>
      <c r="C593" s="50" t="str">
        <f>_xlfn.XLOOKUP(B593,CLIENTES!$A$2:$A$301,CLIENTES!$B$2:$B$301)</f>
        <v>Maximiliano Benítez</v>
      </c>
      <c r="D593" s="60">
        <v>45864</v>
      </c>
      <c r="E593" s="60">
        <f t="shared" si="27"/>
        <v>46229</v>
      </c>
      <c r="F593" s="50" t="s">
        <v>1596</v>
      </c>
      <c r="G593" s="56" t="s">
        <v>1601</v>
      </c>
      <c r="H593" s="47">
        <v>75</v>
      </c>
      <c r="I593" s="60">
        <v>18830</v>
      </c>
      <c r="J593" s="56" t="s">
        <v>1611</v>
      </c>
      <c r="K593" s="56">
        <v>2020</v>
      </c>
      <c r="L593" s="52">
        <f t="shared" si="28"/>
        <v>70570.038218749993</v>
      </c>
      <c r="M593" s="56">
        <f>LISTAS!$B$22*_xlfn.XLOOKUP(G593,LISTAS!$B$27:$B$36,LISTAS!$A$27:$A$36)*_xlfn.XLOOKUP(H593,LISTAS!$B$38:$B$47,LISTAS!$A$38:$A$47,,-1)*_xlfn.XLOOKUP(J593,LISTAS!$E$26:$H$26,LISTAS!$E$48:$H$48)*_xlfn.XLOOKUP(F593,LISTAS!$A$15:$A$18,LISTAS!$H$15:$H$18)</f>
        <v>3.2599625E-2</v>
      </c>
      <c r="N593" s="54" cm="1">
        <f t="array" ref="N593">_xlfn.XLOOKUP(K593,LISTAS!$D$27:$D$47,_xlfn.XLOOKUP(J593,LISTAS!$E$26:$H$26,LISTAS!$E$27:$H$47))</f>
        <v>25977000</v>
      </c>
      <c r="O593" s="56" t="s">
        <v>1624</v>
      </c>
      <c r="P593" s="76" t="str">
        <f t="shared" ca="1" si="29"/>
        <v>Vencida</v>
      </c>
    </row>
    <row r="594" spans="1:16" x14ac:dyDescent="0.3">
      <c r="A594" s="58" t="s">
        <v>884</v>
      </c>
      <c r="B594" s="56" t="s">
        <v>53</v>
      </c>
      <c r="C594" s="50" t="str">
        <f>_xlfn.XLOOKUP(B594,CLIENTES!$A$2:$A$301,CLIENTES!$B$2:$B$301)</f>
        <v>Santiago Martínez</v>
      </c>
      <c r="D594" s="60">
        <v>46094</v>
      </c>
      <c r="E594" s="60">
        <f t="shared" si="27"/>
        <v>46459</v>
      </c>
      <c r="F594" s="50" t="s">
        <v>1598</v>
      </c>
      <c r="G594" s="56" t="s">
        <v>1601</v>
      </c>
      <c r="H594" s="47">
        <v>26</v>
      </c>
      <c r="I594" s="60">
        <v>36597</v>
      </c>
      <c r="J594" s="56" t="s">
        <v>1611</v>
      </c>
      <c r="K594" s="56">
        <v>2024</v>
      </c>
      <c r="L594" s="52">
        <f t="shared" si="28"/>
        <v>130253.81849999999</v>
      </c>
      <c r="M594" s="56">
        <f>LISTAS!$B$22*_xlfn.XLOOKUP(G594,LISTAS!$B$27:$B$36,LISTAS!$A$27:$A$36)*_xlfn.XLOOKUP(H594,LISTAS!$B$38:$B$47,LISTAS!$A$38:$A$47,,-1)*_xlfn.XLOOKUP(J594,LISTAS!$E$26:$H$26,LISTAS!$E$48:$H$48)*_xlfn.XLOOKUP(F594,LISTAS!$A$15:$A$18,LISTAS!$H$15:$H$18)</f>
        <v>4.1262E-2</v>
      </c>
      <c r="N594" s="54" cm="1">
        <f t="array" ref="N594">_xlfn.XLOOKUP(K594,LISTAS!$D$27:$D$47,_xlfn.XLOOKUP(J594,LISTAS!$E$26:$H$26,LISTAS!$E$27:$H$47))</f>
        <v>37881000</v>
      </c>
      <c r="O594" s="56" t="s">
        <v>1623</v>
      </c>
      <c r="P594" s="76" t="str">
        <f t="shared" ca="1" si="29"/>
        <v>Vigente</v>
      </c>
    </row>
    <row r="595" spans="1:16" x14ac:dyDescent="0.3">
      <c r="A595" s="58" t="s">
        <v>885</v>
      </c>
      <c r="B595" s="56" t="s">
        <v>124</v>
      </c>
      <c r="C595" s="50" t="str">
        <f>_xlfn.XLOOKUP(B595,CLIENTES!$A$2:$A$301,CLIENTES!$B$2:$B$301)</f>
        <v>Daniel Silva</v>
      </c>
      <c r="D595" s="60">
        <v>44927</v>
      </c>
      <c r="E595" s="60">
        <f t="shared" si="27"/>
        <v>45292</v>
      </c>
      <c r="F595" s="50" t="s">
        <v>1597</v>
      </c>
      <c r="G595" s="56" t="s">
        <v>1608</v>
      </c>
      <c r="H595" s="47">
        <v>34</v>
      </c>
      <c r="I595" s="60">
        <v>33555</v>
      </c>
      <c r="J595" s="56" t="s">
        <v>1612</v>
      </c>
      <c r="K595" s="56">
        <v>2016</v>
      </c>
      <c r="L595" s="52">
        <f t="shared" si="28"/>
        <v>23292.788749999996</v>
      </c>
      <c r="M595" s="56">
        <f>LISTAS!$B$22*_xlfn.XLOOKUP(G595,LISTAS!$B$27:$B$36,LISTAS!$A$27:$A$36)*_xlfn.XLOOKUP(H595,LISTAS!$B$38:$B$47,LISTAS!$A$38:$A$47,,-1)*_xlfn.XLOOKUP(J595,LISTAS!$E$26:$H$26,LISTAS!$E$48:$H$48)*_xlfn.XLOOKUP(F595,LISTAS!$A$15:$A$18,LISTAS!$H$15:$H$18)</f>
        <v>2.1944999999999999E-2</v>
      </c>
      <c r="N595" s="54" cm="1">
        <f t="array" ref="N595">_xlfn.XLOOKUP(K595,LISTAS!$D$27:$D$47,_xlfn.XLOOKUP(J595,LISTAS!$E$26:$H$26,LISTAS!$E$27:$H$47))</f>
        <v>12737000</v>
      </c>
      <c r="O595" s="56" t="s">
        <v>1624</v>
      </c>
      <c r="P595" s="76" t="str">
        <f t="shared" ca="1" si="29"/>
        <v>Vencida</v>
      </c>
    </row>
    <row r="596" spans="1:16" x14ac:dyDescent="0.3">
      <c r="A596" s="58" t="s">
        <v>886</v>
      </c>
      <c r="B596" s="56" t="s">
        <v>264</v>
      </c>
      <c r="C596" s="50" t="str">
        <f>_xlfn.XLOOKUP(B596,CLIENTES!$A$2:$A$301,CLIENTES!$B$2:$B$301)</f>
        <v>Andrés Núñez</v>
      </c>
      <c r="D596" s="60">
        <v>44654</v>
      </c>
      <c r="E596" s="60">
        <f t="shared" si="27"/>
        <v>45019</v>
      </c>
      <c r="F596" s="50" t="s">
        <v>1597</v>
      </c>
      <c r="G596" s="56" t="s">
        <v>1607</v>
      </c>
      <c r="H596" s="47">
        <v>27</v>
      </c>
      <c r="I596" s="60">
        <v>36163</v>
      </c>
      <c r="J596" s="56" t="s">
        <v>1610</v>
      </c>
      <c r="K596" s="56">
        <v>2017</v>
      </c>
      <c r="L596" s="52">
        <f t="shared" si="28"/>
        <v>46318.80000000001</v>
      </c>
      <c r="M596" s="56">
        <f>LISTAS!$B$22*_xlfn.XLOOKUP(G596,LISTAS!$B$27:$B$36,LISTAS!$A$27:$A$36)*_xlfn.XLOOKUP(H596,LISTAS!$B$38:$B$47,LISTAS!$A$38:$A$47,,-1)*_xlfn.XLOOKUP(J596,LISTAS!$E$26:$H$26,LISTAS!$E$48:$H$48)*_xlfn.XLOOKUP(F596,LISTAS!$A$15:$A$18,LISTAS!$H$15:$H$18)</f>
        <v>3.1944000000000007E-2</v>
      </c>
      <c r="N596" s="54" cm="1">
        <f t="array" ref="N596">_xlfn.XLOOKUP(K596,LISTAS!$D$27:$D$47,_xlfn.XLOOKUP(J596,LISTAS!$E$26:$H$26,LISTAS!$E$27:$H$47))</f>
        <v>17400000</v>
      </c>
      <c r="O596" s="56" t="s">
        <v>1623</v>
      </c>
      <c r="P596" s="76" t="str">
        <f t="shared" ca="1" si="29"/>
        <v>Vencida</v>
      </c>
    </row>
    <row r="597" spans="1:16" x14ac:dyDescent="0.3">
      <c r="A597" s="58" t="s">
        <v>887</v>
      </c>
      <c r="B597" s="56" t="s">
        <v>161</v>
      </c>
      <c r="C597" s="50" t="str">
        <f>_xlfn.XLOOKUP(B597,CLIENTES!$A$2:$A$301,CLIENTES!$B$2:$B$301)</f>
        <v>Mariano Vega</v>
      </c>
      <c r="D597" s="60">
        <v>44532</v>
      </c>
      <c r="E597" s="60">
        <f t="shared" si="27"/>
        <v>44897</v>
      </c>
      <c r="F597" s="50" t="s">
        <v>1596</v>
      </c>
      <c r="G597" s="56" t="s">
        <v>1599</v>
      </c>
      <c r="H597" s="47">
        <v>29</v>
      </c>
      <c r="I597" s="60">
        <v>35517</v>
      </c>
      <c r="J597" s="56" t="s">
        <v>1611</v>
      </c>
      <c r="K597" s="56">
        <v>2024</v>
      </c>
      <c r="L597" s="52">
        <f t="shared" si="28"/>
        <v>88868.825999999986</v>
      </c>
      <c r="M597" s="56">
        <f>LISTAS!$B$22*_xlfn.XLOOKUP(G597,LISTAS!$B$27:$B$36,LISTAS!$A$27:$A$36)*_xlfn.XLOOKUP(H597,LISTAS!$B$38:$B$47,LISTAS!$A$38:$A$47,,-1)*_xlfn.XLOOKUP(J597,LISTAS!$E$26:$H$26,LISTAS!$E$48:$H$48)*_xlfn.XLOOKUP(F597,LISTAS!$A$15:$A$18,LISTAS!$H$15:$H$18)</f>
        <v>2.8151999999999996E-2</v>
      </c>
      <c r="N597" s="54" cm="1">
        <f t="array" ref="N597">_xlfn.XLOOKUP(K597,LISTAS!$D$27:$D$47,_xlfn.XLOOKUP(J597,LISTAS!$E$26:$H$26,LISTAS!$E$27:$H$47))</f>
        <v>37881000</v>
      </c>
      <c r="O597" s="56" t="s">
        <v>1624</v>
      </c>
      <c r="P597" s="76" t="str">
        <f t="shared" ca="1" si="29"/>
        <v>Vencida</v>
      </c>
    </row>
    <row r="598" spans="1:16" x14ac:dyDescent="0.3">
      <c r="A598" s="58" t="s">
        <v>888</v>
      </c>
      <c r="B598" s="56" t="s">
        <v>147</v>
      </c>
      <c r="C598" s="50" t="str">
        <f>_xlfn.XLOOKUP(B598,CLIENTES!$A$2:$A$301,CLIENTES!$B$2:$B$301)</f>
        <v>Facundo Benítez</v>
      </c>
      <c r="D598" s="60">
        <v>45581</v>
      </c>
      <c r="E598" s="60">
        <f t="shared" si="27"/>
        <v>45946</v>
      </c>
      <c r="F598" s="50" t="s">
        <v>1596</v>
      </c>
      <c r="G598" s="56" t="s">
        <v>1608</v>
      </c>
      <c r="H598" s="47">
        <v>43</v>
      </c>
      <c r="I598" s="60">
        <v>30404</v>
      </c>
      <c r="J598" s="56" t="s">
        <v>1609</v>
      </c>
      <c r="K598" s="56">
        <v>2017</v>
      </c>
      <c r="L598" s="52">
        <f t="shared" si="28"/>
        <v>13904.140625</v>
      </c>
      <c r="M598" s="56">
        <f>LISTAS!$B$22*_xlfn.XLOOKUP(G598,LISTAS!$B$27:$B$36,LISTAS!$A$27:$A$36)*_xlfn.XLOOKUP(H598,LISTAS!$B$38:$B$47,LISTAS!$A$38:$A$47,,-1)*_xlfn.XLOOKUP(J598,LISTAS!$E$26:$H$26,LISTAS!$E$48:$H$48)*_xlfn.XLOOKUP(F598,LISTAS!$A$15:$A$18,LISTAS!$H$15:$H$18)</f>
        <v>1.53425E-2</v>
      </c>
      <c r="N598" s="54" cm="1">
        <f t="array" ref="N598">_xlfn.XLOOKUP(K598,LISTAS!$D$27:$D$47,_xlfn.XLOOKUP(J598,LISTAS!$E$26:$H$26,LISTAS!$E$27:$H$47))</f>
        <v>10875000</v>
      </c>
      <c r="O598" s="56" t="s">
        <v>1623</v>
      </c>
      <c r="P598" s="76" t="str">
        <f t="shared" ca="1" si="29"/>
        <v>Vencida</v>
      </c>
    </row>
    <row r="599" spans="1:16" x14ac:dyDescent="0.3">
      <c r="A599" s="58" t="s">
        <v>889</v>
      </c>
      <c r="B599" s="56" t="s">
        <v>287</v>
      </c>
      <c r="C599" s="50" t="str">
        <f>_xlfn.XLOOKUP(B599,CLIENTES!$A$2:$A$301,CLIENTES!$B$2:$B$301)</f>
        <v>Martina González</v>
      </c>
      <c r="D599" s="60">
        <v>45266</v>
      </c>
      <c r="E599" s="60">
        <f t="shared" si="27"/>
        <v>45632</v>
      </c>
      <c r="F599" s="50" t="s">
        <v>1596</v>
      </c>
      <c r="G599" s="56" t="s">
        <v>1603</v>
      </c>
      <c r="H599" s="47">
        <v>50</v>
      </c>
      <c r="I599" s="60">
        <v>27883</v>
      </c>
      <c r="J599" s="56" t="s">
        <v>1609</v>
      </c>
      <c r="K599" s="56">
        <v>2025</v>
      </c>
      <c r="L599" s="52">
        <f t="shared" si="28"/>
        <v>30954.166666666661</v>
      </c>
      <c r="M599" s="56">
        <f>LISTAS!$B$22*_xlfn.XLOOKUP(G599,LISTAS!$B$27:$B$36,LISTAS!$A$27:$A$36)*_xlfn.XLOOKUP(H599,LISTAS!$B$38:$B$47,LISTAS!$A$38:$A$47,,-1)*_xlfn.XLOOKUP(J599,LISTAS!$E$26:$H$26,LISTAS!$E$48:$H$48)*_xlfn.XLOOKUP(F599,LISTAS!$A$15:$A$18,LISTAS!$H$15:$H$18)</f>
        <v>1.6149999999999998E-2</v>
      </c>
      <c r="N599" s="54" cm="1">
        <f t="array" ref="N599">_xlfn.XLOOKUP(K599,LISTAS!$D$27:$D$47,_xlfn.XLOOKUP(J599,LISTAS!$E$26:$H$26,LISTAS!$E$27:$H$47))</f>
        <v>23000000</v>
      </c>
      <c r="O599" s="56" t="s">
        <v>1623</v>
      </c>
      <c r="P599" s="76" t="str">
        <f t="shared" ca="1" si="29"/>
        <v>Vencida</v>
      </c>
    </row>
    <row r="600" spans="1:16" x14ac:dyDescent="0.3">
      <c r="A600" s="58" t="s">
        <v>890</v>
      </c>
      <c r="B600" s="56" t="s">
        <v>206</v>
      </c>
      <c r="C600" s="50" t="str">
        <f>_xlfn.XLOOKUP(B600,CLIENTES!$A$2:$A$301,CLIENTES!$B$2:$B$301)</f>
        <v>Pedro Díaz</v>
      </c>
      <c r="D600" s="60">
        <v>45511</v>
      </c>
      <c r="E600" s="60">
        <f t="shared" si="27"/>
        <v>45876</v>
      </c>
      <c r="F600" s="50" t="s">
        <v>1597</v>
      </c>
      <c r="G600" s="56" t="s">
        <v>1599</v>
      </c>
      <c r="H600" s="47">
        <v>40</v>
      </c>
      <c r="I600" s="60">
        <v>31389</v>
      </c>
      <c r="J600" s="56" t="s">
        <v>1611</v>
      </c>
      <c r="K600" s="56">
        <v>2013</v>
      </c>
      <c r="L600" s="52">
        <f t="shared" si="28"/>
        <v>33704.280500000001</v>
      </c>
      <c r="M600" s="56">
        <f>LISTAS!$B$22*_xlfn.XLOOKUP(G600,LISTAS!$B$27:$B$36,LISTAS!$A$27:$A$36)*_xlfn.XLOOKUP(H600,LISTAS!$B$38:$B$47,LISTAS!$A$38:$A$47,,-1)*_xlfn.XLOOKUP(J600,LISTAS!$E$26:$H$26,LISTAS!$E$48:$H$48)*_xlfn.XLOOKUP(F600,LISTAS!$A$15:$A$18,LISTAS!$H$15:$H$18)</f>
        <v>2.8842000000000003E-2</v>
      </c>
      <c r="N600" s="54" cm="1">
        <f t="array" ref="N600">_xlfn.XLOOKUP(K600,LISTAS!$D$27:$D$47,_xlfn.XLOOKUP(J600,LISTAS!$E$26:$H$26,LISTAS!$E$27:$H$47))</f>
        <v>14023000</v>
      </c>
      <c r="O600" s="56" t="s">
        <v>1623</v>
      </c>
      <c r="P600" s="76" t="str">
        <f t="shared" ca="1" si="29"/>
        <v>Vencida</v>
      </c>
    </row>
    <row r="601" spans="1:16" x14ac:dyDescent="0.3">
      <c r="A601" s="58" t="s">
        <v>891</v>
      </c>
      <c r="B601" s="56" t="s">
        <v>187</v>
      </c>
      <c r="C601" s="50" t="str">
        <f>_xlfn.XLOOKUP(B601,CLIENTES!$A$2:$A$301,CLIENTES!$B$2:$B$301)</f>
        <v>Victoria Sosa</v>
      </c>
      <c r="D601" s="60">
        <v>44909</v>
      </c>
      <c r="E601" s="60">
        <f t="shared" si="27"/>
        <v>45274</v>
      </c>
      <c r="F601" s="50" t="s">
        <v>1596</v>
      </c>
      <c r="G601" s="56" t="s">
        <v>1608</v>
      </c>
      <c r="H601" s="47">
        <v>68</v>
      </c>
      <c r="I601" s="60">
        <v>21309</v>
      </c>
      <c r="J601" s="56" t="s">
        <v>1611</v>
      </c>
      <c r="K601" s="56">
        <v>2020</v>
      </c>
      <c r="L601" s="52">
        <f t="shared" si="28"/>
        <v>46235.542281249996</v>
      </c>
      <c r="M601" s="56">
        <f>LISTAS!$B$22*_xlfn.XLOOKUP(G601,LISTAS!$B$27:$B$36,LISTAS!$A$27:$A$36)*_xlfn.XLOOKUP(H601,LISTAS!$B$38:$B$47,LISTAS!$A$38:$A$47,,-1)*_xlfn.XLOOKUP(J601,LISTAS!$E$26:$H$26,LISTAS!$E$48:$H$48)*_xlfn.XLOOKUP(F601,LISTAS!$A$15:$A$18,LISTAS!$H$15:$H$18)</f>
        <v>2.1358374999999995E-2</v>
      </c>
      <c r="N601" s="54" cm="1">
        <f t="array" ref="N601">_xlfn.XLOOKUP(K601,LISTAS!$D$27:$D$47,_xlfn.XLOOKUP(J601,LISTAS!$E$26:$H$26,LISTAS!$E$27:$H$47))</f>
        <v>25977000</v>
      </c>
      <c r="O601" s="56" t="s">
        <v>1623</v>
      </c>
      <c r="P601" s="76" t="str">
        <f t="shared" ca="1" si="29"/>
        <v>Vencida</v>
      </c>
    </row>
    <row r="602" spans="1:16" x14ac:dyDescent="0.3">
      <c r="A602" s="58" t="s">
        <v>892</v>
      </c>
      <c r="B602" s="56" t="s">
        <v>153</v>
      </c>
      <c r="C602" s="50" t="str">
        <f>_xlfn.XLOOKUP(B602,CLIENTES!$A$2:$A$301,CLIENTES!$B$2:$B$301)</f>
        <v>Mateo Arias</v>
      </c>
      <c r="D602" s="60">
        <v>45047</v>
      </c>
      <c r="E602" s="60">
        <f t="shared" si="27"/>
        <v>45413</v>
      </c>
      <c r="F602" s="50" t="s">
        <v>1597</v>
      </c>
      <c r="G602" s="56" t="s">
        <v>1604</v>
      </c>
      <c r="H602" s="47">
        <v>80</v>
      </c>
      <c r="I602" s="60">
        <v>16922</v>
      </c>
      <c r="J602" s="56" t="s">
        <v>1610</v>
      </c>
      <c r="K602" s="56">
        <v>2017</v>
      </c>
      <c r="L602" s="52">
        <f t="shared" si="28"/>
        <v>53424.525000000016</v>
      </c>
      <c r="M602" s="56">
        <f>LISTAS!$B$22*_xlfn.XLOOKUP(G602,LISTAS!$B$27:$B$36,LISTAS!$A$27:$A$36)*_xlfn.XLOOKUP(H602,LISTAS!$B$38:$B$47,LISTAS!$A$38:$A$47,,-1)*_xlfn.XLOOKUP(J602,LISTAS!$E$26:$H$26,LISTAS!$E$48:$H$48)*_xlfn.XLOOKUP(F602,LISTAS!$A$15:$A$18,LISTAS!$H$15:$H$18)</f>
        <v>3.6844500000000009E-2</v>
      </c>
      <c r="N602" s="54" cm="1">
        <f t="array" ref="N602">_xlfn.XLOOKUP(K602,LISTAS!$D$27:$D$47,_xlfn.XLOOKUP(J602,LISTAS!$E$26:$H$26,LISTAS!$E$27:$H$47))</f>
        <v>17400000</v>
      </c>
      <c r="O602" s="56" t="s">
        <v>1623</v>
      </c>
      <c r="P602" s="76" t="str">
        <f t="shared" ca="1" si="29"/>
        <v>Vencida</v>
      </c>
    </row>
    <row r="603" spans="1:16" x14ac:dyDescent="0.3">
      <c r="A603" s="58" t="s">
        <v>893</v>
      </c>
      <c r="B603" s="56" t="s">
        <v>114</v>
      </c>
      <c r="C603" s="50" t="str">
        <f>_xlfn.XLOOKUP(B603,CLIENTES!$A$2:$A$301,CLIENTES!$B$2:$B$301)</f>
        <v>Mariana López</v>
      </c>
      <c r="D603" s="60">
        <v>44808</v>
      </c>
      <c r="E603" s="60">
        <f t="shared" si="27"/>
        <v>45173</v>
      </c>
      <c r="F603" s="50" t="s">
        <v>1596</v>
      </c>
      <c r="G603" s="56" t="s">
        <v>1599</v>
      </c>
      <c r="H603" s="47">
        <v>35</v>
      </c>
      <c r="I603" s="60">
        <v>33372</v>
      </c>
      <c r="J603" s="56" t="s">
        <v>1610</v>
      </c>
      <c r="K603" s="56">
        <v>2020</v>
      </c>
      <c r="L603" s="52">
        <f t="shared" si="28"/>
        <v>43180.170000000006</v>
      </c>
      <c r="M603" s="56">
        <f>LISTAS!$B$22*_xlfn.XLOOKUP(G603,LISTAS!$B$27:$B$36,LISTAS!$A$27:$A$36)*_xlfn.XLOOKUP(H603,LISTAS!$B$38:$B$47,LISTAS!$A$38:$A$47,,-1)*_xlfn.XLOOKUP(J603,LISTAS!$E$26:$H$26,LISTAS!$E$48:$H$48)*_xlfn.XLOOKUP(F603,LISTAS!$A$15:$A$18,LISTAS!$H$15:$H$18)</f>
        <v>2.2440000000000002E-2</v>
      </c>
      <c r="N603" s="54" cm="1">
        <f t="array" ref="N603">_xlfn.XLOOKUP(K603,LISTAS!$D$27:$D$47,_xlfn.XLOOKUP(J603,LISTAS!$E$26:$H$26,LISTAS!$E$27:$H$47))</f>
        <v>23091000</v>
      </c>
      <c r="O603" s="56" t="s">
        <v>1624</v>
      </c>
      <c r="P603" s="76" t="str">
        <f t="shared" ca="1" si="29"/>
        <v>Vencida</v>
      </c>
    </row>
    <row r="604" spans="1:16" x14ac:dyDescent="0.3">
      <c r="A604" s="58" t="s">
        <v>894</v>
      </c>
      <c r="B604" s="56" t="s">
        <v>227</v>
      </c>
      <c r="C604" s="50" t="str">
        <f>_xlfn.XLOOKUP(B604,CLIENTES!$A$2:$A$301,CLIENTES!$B$2:$B$301)</f>
        <v>Ignacio Molina</v>
      </c>
      <c r="D604" s="60">
        <v>46024</v>
      </c>
      <c r="E604" s="60">
        <f t="shared" si="27"/>
        <v>46389</v>
      </c>
      <c r="F604" s="50" t="s">
        <v>1596</v>
      </c>
      <c r="G604" s="56" t="s">
        <v>1603</v>
      </c>
      <c r="H604" s="47">
        <v>31</v>
      </c>
      <c r="I604" s="60">
        <v>34705</v>
      </c>
      <c r="J604" s="56" t="s">
        <v>1610</v>
      </c>
      <c r="K604" s="56">
        <v>2008</v>
      </c>
      <c r="L604" s="52">
        <f t="shared" si="28"/>
        <v>12906.272499999999</v>
      </c>
      <c r="M604" s="56">
        <f>LISTAS!$B$22*_xlfn.XLOOKUP(G604,LISTAS!$B$27:$B$36,LISTAS!$A$27:$A$36)*_xlfn.XLOOKUP(H604,LISTAS!$B$38:$B$47,LISTAS!$A$38:$A$47,,-1)*_xlfn.XLOOKUP(J604,LISTAS!$E$26:$H$26,LISTAS!$E$48:$H$48)*_xlfn.XLOOKUP(F604,LISTAS!$A$15:$A$18,LISTAS!$H$15:$H$18)</f>
        <v>1.7765E-2</v>
      </c>
      <c r="N604" s="54" cm="1">
        <f t="array" ref="N604">_xlfn.XLOOKUP(K604,LISTAS!$D$27:$D$47,_xlfn.XLOOKUP(J604,LISTAS!$E$26:$H$26,LISTAS!$E$27:$H$47))</f>
        <v>8718000</v>
      </c>
      <c r="O604" s="56" t="s">
        <v>1623</v>
      </c>
      <c r="P604" s="76" t="str">
        <f t="shared" ca="1" si="29"/>
        <v>Vigente</v>
      </c>
    </row>
    <row r="605" spans="1:16" x14ac:dyDescent="0.3">
      <c r="A605" s="58" t="s">
        <v>895</v>
      </c>
      <c r="B605" s="56" t="s">
        <v>183</v>
      </c>
      <c r="C605" s="50" t="str">
        <f>_xlfn.XLOOKUP(B605,CLIENTES!$A$2:$A$301,CLIENTES!$B$2:$B$301)</f>
        <v>Julieta Vázquez</v>
      </c>
      <c r="D605" s="60">
        <v>45070</v>
      </c>
      <c r="E605" s="60">
        <f t="shared" si="27"/>
        <v>45436</v>
      </c>
      <c r="F605" s="50" t="s">
        <v>1598</v>
      </c>
      <c r="G605" s="56" t="s">
        <v>1601</v>
      </c>
      <c r="H605" s="47">
        <v>64</v>
      </c>
      <c r="I605" s="60">
        <v>22536</v>
      </c>
      <c r="J605" s="56" t="s">
        <v>1610</v>
      </c>
      <c r="K605" s="56">
        <v>2021</v>
      </c>
      <c r="L605" s="52">
        <f t="shared" si="28"/>
        <v>73023.200250000024</v>
      </c>
      <c r="M605" s="56">
        <f>LISTAS!$B$22*_xlfn.XLOOKUP(G605,LISTAS!$B$27:$B$36,LISTAS!$A$27:$A$36)*_xlfn.XLOOKUP(H605,LISTAS!$B$38:$B$47,LISTAS!$A$38:$A$47,,-1)*_xlfn.XLOOKUP(J605,LISTAS!$E$26:$H$26,LISTAS!$E$48:$H$48)*_xlfn.XLOOKUP(F605,LISTAS!$A$15:$A$18,LISTAS!$H$15:$H$18)</f>
        <v>3.453450000000001E-2</v>
      </c>
      <c r="N605" s="54" cm="1">
        <f t="array" ref="N605">_xlfn.XLOOKUP(K605,LISTAS!$D$27:$D$47,_xlfn.XLOOKUP(J605,LISTAS!$E$26:$H$26,LISTAS!$E$27:$H$47))</f>
        <v>25374000</v>
      </c>
      <c r="O605" s="56" t="s">
        <v>1623</v>
      </c>
      <c r="P605" s="76" t="str">
        <f t="shared" ca="1" si="29"/>
        <v>Vencida</v>
      </c>
    </row>
    <row r="606" spans="1:16" x14ac:dyDescent="0.3">
      <c r="A606" s="58" t="s">
        <v>896</v>
      </c>
      <c r="B606" s="56" t="s">
        <v>188</v>
      </c>
      <c r="C606" s="50" t="str">
        <f>_xlfn.XLOOKUP(B606,CLIENTES!$A$2:$A$301,CLIENTES!$B$2:$B$301)</f>
        <v>Diego Torres</v>
      </c>
      <c r="D606" s="60">
        <v>45146</v>
      </c>
      <c r="E606" s="60">
        <f t="shared" si="27"/>
        <v>45512</v>
      </c>
      <c r="F606" s="50" t="s">
        <v>1598</v>
      </c>
      <c r="G606" s="56" t="s">
        <v>1601</v>
      </c>
      <c r="H606" s="47">
        <v>60</v>
      </c>
      <c r="I606" s="60">
        <v>24335</v>
      </c>
      <c r="J606" s="56" t="s">
        <v>1609</v>
      </c>
      <c r="K606" s="56">
        <v>2019</v>
      </c>
      <c r="L606" s="52">
        <f t="shared" si="28"/>
        <v>34359.211250000008</v>
      </c>
      <c r="M606" s="56">
        <f>LISTAS!$B$22*_xlfn.XLOOKUP(G606,LISTAS!$B$27:$B$36,LISTAS!$A$27:$A$36)*_xlfn.XLOOKUP(H606,LISTAS!$B$38:$B$47,LISTAS!$A$38:$A$47,,-1)*_xlfn.XLOOKUP(J606,LISTAS!$E$26:$H$26,LISTAS!$E$48:$H$48)*_xlfn.XLOOKUP(F606,LISTAS!$A$15:$A$18,LISTAS!$H$15:$H$18)</f>
        <v>3.1395000000000006E-2</v>
      </c>
      <c r="N606" s="54" cm="1">
        <f t="array" ref="N606">_xlfn.XLOOKUP(K606,LISTAS!$D$27:$D$47,_xlfn.XLOOKUP(J606,LISTAS!$E$26:$H$26,LISTAS!$E$27:$H$47))</f>
        <v>13133000</v>
      </c>
      <c r="O606" s="56" t="s">
        <v>1623</v>
      </c>
      <c r="P606" s="76" t="str">
        <f t="shared" ca="1" si="29"/>
        <v>Vencida</v>
      </c>
    </row>
    <row r="607" spans="1:16" x14ac:dyDescent="0.3">
      <c r="A607" s="58" t="s">
        <v>897</v>
      </c>
      <c r="B607" s="56" t="s">
        <v>212</v>
      </c>
      <c r="C607" s="50" t="str">
        <f>_xlfn.XLOOKUP(B607,CLIENTES!$A$2:$A$301,CLIENTES!$B$2:$B$301)</f>
        <v>Matías Silva</v>
      </c>
      <c r="D607" s="60">
        <v>45108</v>
      </c>
      <c r="E607" s="60">
        <f t="shared" si="27"/>
        <v>45474</v>
      </c>
      <c r="F607" s="50" t="s">
        <v>1597</v>
      </c>
      <c r="G607" s="56" t="s">
        <v>1601</v>
      </c>
      <c r="H607" s="47">
        <v>29</v>
      </c>
      <c r="I607" s="60">
        <v>35479</v>
      </c>
      <c r="J607" s="56" t="s">
        <v>1611</v>
      </c>
      <c r="K607" s="56">
        <v>2016</v>
      </c>
      <c r="L607" s="52">
        <f t="shared" si="28"/>
        <v>52114.964</v>
      </c>
      <c r="M607" s="56">
        <f>LISTAS!$B$22*_xlfn.XLOOKUP(G607,LISTAS!$B$27:$B$36,LISTAS!$A$27:$A$36)*_xlfn.XLOOKUP(H607,LISTAS!$B$38:$B$47,LISTAS!$A$38:$A$47,,-1)*_xlfn.XLOOKUP(J607,LISTAS!$E$26:$H$26,LISTAS!$E$48:$H$48)*_xlfn.XLOOKUP(F607,LISTAS!$A$15:$A$18,LISTAS!$H$15:$H$18)</f>
        <v>3.4914000000000001E-2</v>
      </c>
      <c r="N607" s="54" cm="1">
        <f t="array" ref="N607">_xlfn.XLOOKUP(K607,LISTAS!$D$27:$D$47,_xlfn.XLOOKUP(J607,LISTAS!$E$26:$H$26,LISTAS!$E$27:$H$47))</f>
        <v>17912000</v>
      </c>
      <c r="O607" s="56" t="s">
        <v>1623</v>
      </c>
      <c r="P607" s="76" t="str">
        <f t="shared" ca="1" si="29"/>
        <v>Vencida</v>
      </c>
    </row>
    <row r="608" spans="1:16" x14ac:dyDescent="0.3">
      <c r="A608" s="58" t="s">
        <v>898</v>
      </c>
      <c r="B608" s="56" t="s">
        <v>172</v>
      </c>
      <c r="C608" s="50" t="str">
        <f>_xlfn.XLOOKUP(B608,CLIENTES!$A$2:$A$301,CLIENTES!$B$2:$B$301)</f>
        <v>Rodrigo Molina</v>
      </c>
      <c r="D608" s="60">
        <v>45528</v>
      </c>
      <c r="E608" s="60">
        <f t="shared" si="27"/>
        <v>45893</v>
      </c>
      <c r="F608" s="50" t="s">
        <v>1596</v>
      </c>
      <c r="G608" s="56" t="s">
        <v>1602</v>
      </c>
      <c r="H608" s="47">
        <v>79</v>
      </c>
      <c r="I608" s="60">
        <v>17166</v>
      </c>
      <c r="J608" s="56" t="s">
        <v>1610</v>
      </c>
      <c r="K608" s="56">
        <v>2016</v>
      </c>
      <c r="L608" s="52">
        <f t="shared" si="28"/>
        <v>37773.567562500008</v>
      </c>
      <c r="M608" s="56">
        <f>LISTAS!$B$22*_xlfn.XLOOKUP(G608,LISTAS!$B$27:$B$36,LISTAS!$A$27:$A$36)*_xlfn.XLOOKUP(H608,LISTAS!$B$38:$B$47,LISTAS!$A$38:$A$47,,-1)*_xlfn.XLOOKUP(J608,LISTAS!$E$26:$H$26,LISTAS!$E$48:$H$48)*_xlfn.XLOOKUP(F608,LISTAS!$A$15:$A$18,LISTAS!$H$15:$H$18)</f>
        <v>2.8470750000000003E-2</v>
      </c>
      <c r="N608" s="54" cm="1">
        <f t="array" ref="N608">_xlfn.XLOOKUP(K608,LISTAS!$D$27:$D$47,_xlfn.XLOOKUP(J608,LISTAS!$E$26:$H$26,LISTAS!$E$27:$H$47))</f>
        <v>15921000</v>
      </c>
      <c r="O608" s="56" t="s">
        <v>1623</v>
      </c>
      <c r="P608" s="76" t="str">
        <f t="shared" ca="1" si="29"/>
        <v>Vencida</v>
      </c>
    </row>
    <row r="609" spans="1:16" x14ac:dyDescent="0.3">
      <c r="A609" s="58" t="s">
        <v>899</v>
      </c>
      <c r="B609" s="56" t="s">
        <v>162</v>
      </c>
      <c r="C609" s="50" t="str">
        <f>_xlfn.XLOOKUP(B609,CLIENTES!$A$2:$A$301,CLIENTES!$B$2:$B$301)</f>
        <v>Agustín Correa</v>
      </c>
      <c r="D609" s="60">
        <v>45400</v>
      </c>
      <c r="E609" s="60">
        <f t="shared" si="27"/>
        <v>45765</v>
      </c>
      <c r="F609" s="50" t="s">
        <v>1596</v>
      </c>
      <c r="G609" s="56" t="s">
        <v>1605</v>
      </c>
      <c r="H609" s="47">
        <v>36</v>
      </c>
      <c r="I609" s="60">
        <v>33097</v>
      </c>
      <c r="J609" s="56" t="s">
        <v>1609</v>
      </c>
      <c r="K609" s="56">
        <v>2013</v>
      </c>
      <c r="L609" s="52">
        <f t="shared" si="28"/>
        <v>9933.5249999999996</v>
      </c>
      <c r="M609" s="56">
        <f>LISTAS!$B$22*_xlfn.XLOOKUP(G609,LISTAS!$B$27:$B$36,LISTAS!$A$27:$A$36)*_xlfn.XLOOKUP(H609,LISTAS!$B$38:$B$47,LISTAS!$A$38:$A$47,,-1)*_xlfn.XLOOKUP(J609,LISTAS!$E$26:$H$26,LISTAS!$E$48:$H$48)*_xlfn.XLOOKUP(F609,LISTAS!$A$15:$A$18,LISTAS!$H$15:$H$18)</f>
        <v>1.5300000000000001E-2</v>
      </c>
      <c r="N609" s="54" cm="1">
        <f t="array" ref="N609">_xlfn.XLOOKUP(K609,LISTAS!$D$27:$D$47,_xlfn.XLOOKUP(J609,LISTAS!$E$26:$H$26,LISTAS!$E$27:$H$47))</f>
        <v>7791000</v>
      </c>
      <c r="O609" s="56" t="s">
        <v>1625</v>
      </c>
      <c r="P609" s="76" t="str">
        <f t="shared" ca="1" si="29"/>
        <v>Vencida</v>
      </c>
    </row>
    <row r="610" spans="1:16" x14ac:dyDescent="0.3">
      <c r="A610" s="58" t="s">
        <v>900</v>
      </c>
      <c r="B610" s="56" t="s">
        <v>272</v>
      </c>
      <c r="C610" s="50" t="str">
        <f>_xlfn.XLOOKUP(B610,CLIENTES!$A$2:$A$301,CLIENTES!$B$2:$B$301)</f>
        <v>Catalina Miranda</v>
      </c>
      <c r="D610" s="60">
        <v>44668</v>
      </c>
      <c r="E610" s="60">
        <f t="shared" si="27"/>
        <v>45033</v>
      </c>
      <c r="F610" s="50" t="s">
        <v>1597</v>
      </c>
      <c r="G610" s="56" t="s">
        <v>1602</v>
      </c>
      <c r="H610" s="47">
        <v>72</v>
      </c>
      <c r="I610" s="60">
        <v>19820</v>
      </c>
      <c r="J610" s="56" t="s">
        <v>1611</v>
      </c>
      <c r="K610" s="56">
        <v>2015</v>
      </c>
      <c r="L610" s="52">
        <f t="shared" si="28"/>
        <v>51072.540749999993</v>
      </c>
      <c r="M610" s="56">
        <f>LISTAS!$B$22*_xlfn.XLOOKUP(G610,LISTAS!$B$27:$B$36,LISTAS!$A$27:$A$36)*_xlfn.XLOOKUP(H610,LISTAS!$B$38:$B$47,LISTAS!$A$38:$A$47,,-1)*_xlfn.XLOOKUP(J610,LISTAS!$E$26:$H$26,LISTAS!$E$48:$H$48)*_xlfn.XLOOKUP(F610,LISTAS!$A$15:$A$18,LISTAS!$H$15:$H$18)</f>
        <v>3.7190999999999995E-2</v>
      </c>
      <c r="N610" s="54" cm="1">
        <f t="array" ref="N610">_xlfn.XLOOKUP(K610,LISTAS!$D$27:$D$47,_xlfn.XLOOKUP(J610,LISTAS!$E$26:$H$26,LISTAS!$E$27:$H$47))</f>
        <v>16479000</v>
      </c>
      <c r="O610" s="56" t="s">
        <v>1624</v>
      </c>
      <c r="P610" s="76" t="str">
        <f t="shared" ca="1" si="29"/>
        <v>Vencida</v>
      </c>
    </row>
    <row r="611" spans="1:16" x14ac:dyDescent="0.3">
      <c r="A611" s="58" t="s">
        <v>901</v>
      </c>
      <c r="B611" s="56" t="s">
        <v>59</v>
      </c>
      <c r="C611" s="50" t="str">
        <f>_xlfn.XLOOKUP(B611,CLIENTES!$A$2:$A$301,CLIENTES!$B$2:$B$301)</f>
        <v>Lautaro Arias</v>
      </c>
      <c r="D611" s="60">
        <v>45863</v>
      </c>
      <c r="E611" s="60">
        <f t="shared" si="27"/>
        <v>46228</v>
      </c>
      <c r="F611" s="50" t="s">
        <v>1596</v>
      </c>
      <c r="G611" s="56" t="s">
        <v>1603</v>
      </c>
      <c r="H611" s="47">
        <v>24</v>
      </c>
      <c r="I611" s="60">
        <v>37453</v>
      </c>
      <c r="J611" s="56" t="s">
        <v>1612</v>
      </c>
      <c r="K611" s="56">
        <v>2010</v>
      </c>
      <c r="L611" s="52">
        <f t="shared" si="28"/>
        <v>15219.780187500002</v>
      </c>
      <c r="M611" s="56">
        <f>LISTAS!$B$22*_xlfn.XLOOKUP(G611,LISTAS!$B$27:$B$36,LISTAS!$A$27:$A$36)*_xlfn.XLOOKUP(H611,LISTAS!$B$38:$B$47,LISTAS!$A$38:$A$47,,-1)*_xlfn.XLOOKUP(J611,LISTAS!$E$26:$H$26,LISTAS!$E$48:$H$48)*_xlfn.XLOOKUP(F611,LISTAS!$A$15:$A$18,LISTAS!$H$15:$H$18)</f>
        <v>2.2892625000000003E-2</v>
      </c>
      <c r="N611" s="54" cm="1">
        <f t="array" ref="N611">_xlfn.XLOOKUP(K611,LISTAS!$D$27:$D$47,_xlfn.XLOOKUP(J611,LISTAS!$E$26:$H$26,LISTAS!$E$27:$H$47))</f>
        <v>7978000</v>
      </c>
      <c r="O611" s="56" t="s">
        <v>1623</v>
      </c>
      <c r="P611" s="76" t="str">
        <f t="shared" ca="1" si="29"/>
        <v>Vencida</v>
      </c>
    </row>
    <row r="612" spans="1:16" x14ac:dyDescent="0.3">
      <c r="A612" s="58" t="s">
        <v>902</v>
      </c>
      <c r="B612" s="56" t="s">
        <v>277</v>
      </c>
      <c r="C612" s="50" t="str">
        <f>_xlfn.XLOOKUP(B612,CLIENTES!$A$2:$A$301,CLIENTES!$B$2:$B$301)</f>
        <v>Mateo Díaz</v>
      </c>
      <c r="D612" s="60">
        <v>46250</v>
      </c>
      <c r="E612" s="60">
        <f t="shared" si="27"/>
        <v>46615</v>
      </c>
      <c r="F612" s="50" t="s">
        <v>1596</v>
      </c>
      <c r="G612" s="56" t="s">
        <v>1600</v>
      </c>
      <c r="H612" s="47">
        <v>30</v>
      </c>
      <c r="I612" s="60">
        <v>35062</v>
      </c>
      <c r="J612" s="56" t="s">
        <v>1609</v>
      </c>
      <c r="K612" s="56">
        <v>2017</v>
      </c>
      <c r="L612" s="52">
        <f t="shared" si="28"/>
        <v>17717.187499999996</v>
      </c>
      <c r="M612" s="56">
        <f>LISTAS!$B$22*_xlfn.XLOOKUP(G612,LISTAS!$B$27:$B$36,LISTAS!$A$27:$A$36)*_xlfn.XLOOKUP(H612,LISTAS!$B$38:$B$47,LISTAS!$A$38:$A$47,,-1)*_xlfn.XLOOKUP(J612,LISTAS!$E$26:$H$26,LISTAS!$E$48:$H$48)*_xlfn.XLOOKUP(F612,LISTAS!$A$15:$A$18,LISTAS!$H$15:$H$18)</f>
        <v>1.9549999999999998E-2</v>
      </c>
      <c r="N612" s="54" cm="1">
        <f t="array" ref="N612">_xlfn.XLOOKUP(K612,LISTAS!$D$27:$D$47,_xlfn.XLOOKUP(J612,LISTAS!$E$26:$H$26,LISTAS!$E$27:$H$47))</f>
        <v>10875000</v>
      </c>
      <c r="O612" s="56" t="s">
        <v>1624</v>
      </c>
      <c r="P612" s="76" t="str">
        <f t="shared" ca="1" si="29"/>
        <v>Vigente</v>
      </c>
    </row>
    <row r="613" spans="1:16" x14ac:dyDescent="0.3">
      <c r="A613" s="58" t="s">
        <v>903</v>
      </c>
      <c r="B613" s="56" t="s">
        <v>104</v>
      </c>
      <c r="C613" s="50" t="str">
        <f>_xlfn.XLOOKUP(B613,CLIENTES!$A$2:$A$301,CLIENTES!$B$2:$B$301)</f>
        <v>Malena Roldán</v>
      </c>
      <c r="D613" s="60">
        <v>44860</v>
      </c>
      <c r="E613" s="60">
        <f t="shared" si="27"/>
        <v>45225</v>
      </c>
      <c r="F613" s="50" t="s">
        <v>1596</v>
      </c>
      <c r="G613" s="56" t="s">
        <v>1606</v>
      </c>
      <c r="H613" s="47">
        <v>76</v>
      </c>
      <c r="I613" s="60">
        <v>18283</v>
      </c>
      <c r="J613" s="56" t="s">
        <v>1609</v>
      </c>
      <c r="K613" s="56">
        <v>2016</v>
      </c>
      <c r="L613" s="52">
        <f t="shared" si="28"/>
        <v>20441.012500000001</v>
      </c>
      <c r="M613" s="56">
        <f>LISTAS!$B$22*_xlfn.XLOOKUP(G613,LISTAS!$B$27:$B$36,LISTAS!$A$27:$A$36)*_xlfn.XLOOKUP(H613,LISTAS!$B$38:$B$47,LISTAS!$A$38:$A$47,,-1)*_xlfn.XLOOKUP(J613,LISTAS!$E$26:$H$26,LISTAS!$E$48:$H$48)*_xlfn.XLOOKUP(F613,LISTAS!$A$15:$A$18,LISTAS!$H$15:$H$18)</f>
        <v>2.4649999999999998E-2</v>
      </c>
      <c r="N613" s="54" cm="1">
        <f t="array" ref="N613">_xlfn.XLOOKUP(K613,LISTAS!$D$27:$D$47,_xlfn.XLOOKUP(J613,LISTAS!$E$26:$H$26,LISTAS!$E$27:$H$47))</f>
        <v>9951000</v>
      </c>
      <c r="O613" s="56" t="s">
        <v>1623</v>
      </c>
      <c r="P613" s="76" t="str">
        <f t="shared" ca="1" si="29"/>
        <v>Vencida</v>
      </c>
    </row>
    <row r="614" spans="1:16" x14ac:dyDescent="0.3">
      <c r="A614" s="58" t="s">
        <v>904</v>
      </c>
      <c r="B614" s="56" t="s">
        <v>162</v>
      </c>
      <c r="C614" s="50" t="str">
        <f>_xlfn.XLOOKUP(B614,CLIENTES!$A$2:$A$301,CLIENTES!$B$2:$B$301)</f>
        <v>Agustín Correa</v>
      </c>
      <c r="D614" s="60">
        <v>44524</v>
      </c>
      <c r="E614" s="60">
        <f t="shared" si="27"/>
        <v>44889</v>
      </c>
      <c r="F614" s="50" t="s">
        <v>1597</v>
      </c>
      <c r="G614" s="56" t="s">
        <v>1602</v>
      </c>
      <c r="H614" s="47">
        <v>71</v>
      </c>
      <c r="I614" s="60">
        <v>20030</v>
      </c>
      <c r="J614" s="56" t="s">
        <v>1609</v>
      </c>
      <c r="K614" s="56">
        <v>2025</v>
      </c>
      <c r="L614" s="52">
        <f t="shared" si="28"/>
        <v>61985</v>
      </c>
      <c r="M614" s="56">
        <f>LISTAS!$B$22*_xlfn.XLOOKUP(G614,LISTAS!$B$27:$B$36,LISTAS!$A$27:$A$36)*_xlfn.XLOOKUP(H614,LISTAS!$B$38:$B$47,LISTAS!$A$38:$A$47,,-1)*_xlfn.XLOOKUP(J614,LISTAS!$E$26:$H$26,LISTAS!$E$48:$H$48)*_xlfn.XLOOKUP(F614,LISTAS!$A$15:$A$18,LISTAS!$H$15:$H$18)</f>
        <v>3.2340000000000001E-2</v>
      </c>
      <c r="N614" s="54" cm="1">
        <f t="array" ref="N614">_xlfn.XLOOKUP(K614,LISTAS!$D$27:$D$47,_xlfn.XLOOKUP(J614,LISTAS!$E$26:$H$26,LISTAS!$E$27:$H$47))</f>
        <v>23000000</v>
      </c>
      <c r="O614" s="56" t="s">
        <v>1625</v>
      </c>
      <c r="P614" s="76" t="str">
        <f t="shared" ca="1" si="29"/>
        <v>Vencida</v>
      </c>
    </row>
    <row r="615" spans="1:16" x14ac:dyDescent="0.3">
      <c r="A615" s="58" t="s">
        <v>905</v>
      </c>
      <c r="B615" s="56" t="s">
        <v>85</v>
      </c>
      <c r="C615" s="50" t="str">
        <f>_xlfn.XLOOKUP(B615,CLIENTES!$A$2:$A$301,CLIENTES!$B$2:$B$301)</f>
        <v>Nicolás Bravo</v>
      </c>
      <c r="D615" s="60">
        <v>45782</v>
      </c>
      <c r="E615" s="60">
        <f t="shared" si="27"/>
        <v>46147</v>
      </c>
      <c r="F615" s="50" t="s">
        <v>1596</v>
      </c>
      <c r="G615" s="56" t="s">
        <v>1607</v>
      </c>
      <c r="H615" s="47">
        <v>41</v>
      </c>
      <c r="I615" s="60">
        <v>30988</v>
      </c>
      <c r="J615" s="56" t="s">
        <v>1612</v>
      </c>
      <c r="K615" s="56">
        <v>2023</v>
      </c>
      <c r="L615" s="52">
        <f t="shared" si="28"/>
        <v>38103.926437500006</v>
      </c>
      <c r="M615" s="56">
        <f>LISTAS!$B$22*_xlfn.XLOOKUP(G615,LISTAS!$B$27:$B$36,LISTAS!$A$27:$A$36)*_xlfn.XLOOKUP(H615,LISTAS!$B$38:$B$47,LISTAS!$A$38:$A$47,,-1)*_xlfn.XLOOKUP(J615,LISTAS!$E$26:$H$26,LISTAS!$E$48:$H$48)*_xlfn.XLOOKUP(F615,LISTAS!$A$15:$A$18,LISTAS!$H$15:$H$18)</f>
        <v>1.8653250000000003E-2</v>
      </c>
      <c r="N615" s="54" cm="1">
        <f t="array" ref="N615">_xlfn.XLOOKUP(K615,LISTAS!$D$27:$D$47,_xlfn.XLOOKUP(J615,LISTAS!$E$26:$H$26,LISTAS!$E$27:$H$47))</f>
        <v>24513000</v>
      </c>
      <c r="O615" s="56" t="s">
        <v>1626</v>
      </c>
      <c r="P615" s="76" t="str">
        <f t="shared" ca="1" si="29"/>
        <v>Vencida</v>
      </c>
    </row>
    <row r="616" spans="1:16" x14ac:dyDescent="0.3">
      <c r="A616" s="58" t="s">
        <v>906</v>
      </c>
      <c r="B616" s="56" t="s">
        <v>73</v>
      </c>
      <c r="C616" s="50" t="str">
        <f>_xlfn.XLOOKUP(B616,CLIENTES!$A$2:$A$301,CLIENTES!$B$2:$B$301)</f>
        <v>Florencia Vázquez</v>
      </c>
      <c r="D616" s="60">
        <v>45215</v>
      </c>
      <c r="E616" s="60">
        <f t="shared" si="27"/>
        <v>45581</v>
      </c>
      <c r="F616" s="50" t="s">
        <v>1598</v>
      </c>
      <c r="G616" s="56" t="s">
        <v>1608</v>
      </c>
      <c r="H616" s="47">
        <v>73</v>
      </c>
      <c r="I616" s="60">
        <v>19436</v>
      </c>
      <c r="J616" s="56" t="s">
        <v>1610</v>
      </c>
      <c r="K616" s="56">
        <v>2017</v>
      </c>
      <c r="L616" s="52">
        <f t="shared" si="28"/>
        <v>55155.100000000006</v>
      </c>
      <c r="M616" s="56">
        <f>LISTAS!$B$22*_xlfn.XLOOKUP(G616,LISTAS!$B$27:$B$36,LISTAS!$A$27:$A$36)*_xlfn.XLOOKUP(H616,LISTAS!$B$38:$B$47,LISTAS!$A$38:$A$47,,-1)*_xlfn.XLOOKUP(J616,LISTAS!$E$26:$H$26,LISTAS!$E$48:$H$48)*_xlfn.XLOOKUP(F616,LISTAS!$A$15:$A$18,LISTAS!$H$15:$H$18)</f>
        <v>3.8038000000000002E-2</v>
      </c>
      <c r="N616" s="54" cm="1">
        <f t="array" ref="N616">_xlfn.XLOOKUP(K616,LISTAS!$D$27:$D$47,_xlfn.XLOOKUP(J616,LISTAS!$E$26:$H$26,LISTAS!$E$27:$H$47))</f>
        <v>17400000</v>
      </c>
      <c r="O616" s="56" t="s">
        <v>1625</v>
      </c>
      <c r="P616" s="76" t="str">
        <f t="shared" ca="1" si="29"/>
        <v>Vencida</v>
      </c>
    </row>
    <row r="617" spans="1:16" x14ac:dyDescent="0.3">
      <c r="A617" s="58" t="s">
        <v>907</v>
      </c>
      <c r="B617" s="56" t="s">
        <v>53</v>
      </c>
      <c r="C617" s="50" t="str">
        <f>_xlfn.XLOOKUP(B617,CLIENTES!$A$2:$A$301,CLIENTES!$B$2:$B$301)</f>
        <v>Santiago Martínez</v>
      </c>
      <c r="D617" s="60">
        <v>46219</v>
      </c>
      <c r="E617" s="60">
        <f t="shared" si="27"/>
        <v>46584</v>
      </c>
      <c r="F617" s="50" t="s">
        <v>1595</v>
      </c>
      <c r="G617" s="56" t="s">
        <v>1608</v>
      </c>
      <c r="H617" s="47">
        <v>29</v>
      </c>
      <c r="I617" s="60">
        <v>35492</v>
      </c>
      <c r="J617" s="56" t="s">
        <v>1611</v>
      </c>
      <c r="K617" s="56">
        <v>2023</v>
      </c>
      <c r="L617" s="52">
        <f t="shared" si="28"/>
        <v>45192.791999999987</v>
      </c>
      <c r="M617" s="56">
        <f>LISTAS!$B$22*_xlfn.XLOOKUP(G617,LISTAS!$B$27:$B$36,LISTAS!$A$27:$A$36)*_xlfn.XLOOKUP(H617,LISTAS!$B$38:$B$47,LISTAS!$A$38:$A$47,,-1)*_xlfn.XLOOKUP(J617,LISTAS!$E$26:$H$26,LISTAS!$E$48:$H$48)*_xlfn.XLOOKUP(F617,LISTAS!$A$15:$A$18,LISTAS!$H$15:$H$18)</f>
        <v>1.5731999999999996E-2</v>
      </c>
      <c r="N617" s="54" cm="1">
        <f t="array" ref="N617">_xlfn.XLOOKUP(K617,LISTAS!$D$27:$D$47,_xlfn.XLOOKUP(J617,LISTAS!$E$26:$H$26,LISTAS!$E$27:$H$47))</f>
        <v>34472000</v>
      </c>
      <c r="O617" s="56" t="s">
        <v>1625</v>
      </c>
      <c r="P617" s="76" t="str">
        <f t="shared" ca="1" si="29"/>
        <v>Vigente</v>
      </c>
    </row>
    <row r="618" spans="1:16" x14ac:dyDescent="0.3">
      <c r="A618" s="58" t="s">
        <v>908</v>
      </c>
      <c r="B618" s="56" t="s">
        <v>202</v>
      </c>
      <c r="C618" s="50" t="str">
        <f>_xlfn.XLOOKUP(B618,CLIENTES!$A$2:$A$301,CLIENTES!$B$2:$B$301)</f>
        <v>Matías Benítez</v>
      </c>
      <c r="D618" s="60">
        <v>44492</v>
      </c>
      <c r="E618" s="60">
        <f t="shared" si="27"/>
        <v>44857</v>
      </c>
      <c r="F618" s="50" t="s">
        <v>1595</v>
      </c>
      <c r="G618" s="56" t="s">
        <v>1607</v>
      </c>
      <c r="H618" s="47">
        <v>67</v>
      </c>
      <c r="I618" s="60">
        <v>21538</v>
      </c>
      <c r="J618" s="56" t="s">
        <v>1609</v>
      </c>
      <c r="K618" s="56">
        <v>2023</v>
      </c>
      <c r="L618" s="52">
        <f t="shared" si="28"/>
        <v>24226.014999999999</v>
      </c>
      <c r="M618" s="56">
        <f>LISTAS!$B$22*_xlfn.XLOOKUP(G618,LISTAS!$B$27:$B$36,LISTAS!$A$27:$A$36)*_xlfn.XLOOKUP(H618,LISTAS!$B$38:$B$47,LISTAS!$A$38:$A$47,,-1)*_xlfn.XLOOKUP(J618,LISTAS!$E$26:$H$26,LISTAS!$E$48:$H$48)*_xlfn.XLOOKUP(F618,LISTAS!$A$15:$A$18,LISTAS!$H$15:$H$18)</f>
        <v>1.5179999999999999E-2</v>
      </c>
      <c r="N618" s="54" cm="1">
        <f t="array" ref="N618">_xlfn.XLOOKUP(K618,LISTAS!$D$27:$D$47,_xlfn.XLOOKUP(J618,LISTAS!$E$26:$H$26,LISTAS!$E$27:$H$47))</f>
        <v>19151000</v>
      </c>
      <c r="O618" s="56" t="s">
        <v>1623</v>
      </c>
      <c r="P618" s="76" t="str">
        <f t="shared" ca="1" si="29"/>
        <v>Vencida</v>
      </c>
    </row>
    <row r="619" spans="1:16" x14ac:dyDescent="0.3">
      <c r="A619" s="58" t="s">
        <v>909</v>
      </c>
      <c r="B619" s="56" t="s">
        <v>149</v>
      </c>
      <c r="C619" s="50" t="str">
        <f>_xlfn.XLOOKUP(B619,CLIENTES!$A$2:$A$301,CLIENTES!$B$2:$B$301)</f>
        <v>Santiago Bravo</v>
      </c>
      <c r="D619" s="60">
        <v>45211</v>
      </c>
      <c r="E619" s="60">
        <f t="shared" si="27"/>
        <v>45577</v>
      </c>
      <c r="F619" s="50" t="s">
        <v>1595</v>
      </c>
      <c r="G619" s="56" t="s">
        <v>1608</v>
      </c>
      <c r="H619" s="47">
        <v>21</v>
      </c>
      <c r="I619" s="60">
        <v>38352</v>
      </c>
      <c r="J619" s="56" t="s">
        <v>1609</v>
      </c>
      <c r="K619" s="56">
        <v>2025</v>
      </c>
      <c r="L619" s="52">
        <f t="shared" si="28"/>
        <v>29497.5</v>
      </c>
      <c r="M619" s="56">
        <f>LISTAS!$B$22*_xlfn.XLOOKUP(G619,LISTAS!$B$27:$B$36,LISTAS!$A$27:$A$36)*_xlfn.XLOOKUP(H619,LISTAS!$B$38:$B$47,LISTAS!$A$38:$A$47,,-1)*_xlfn.XLOOKUP(J619,LISTAS!$E$26:$H$26,LISTAS!$E$48:$H$48)*_xlfn.XLOOKUP(F619,LISTAS!$A$15:$A$18,LISTAS!$H$15:$H$18)</f>
        <v>1.5390000000000001E-2</v>
      </c>
      <c r="N619" s="54" cm="1">
        <f t="array" ref="N619">_xlfn.XLOOKUP(K619,LISTAS!$D$27:$D$47,_xlfn.XLOOKUP(J619,LISTAS!$E$26:$H$26,LISTAS!$E$27:$H$47))</f>
        <v>23000000</v>
      </c>
      <c r="O619" s="56" t="s">
        <v>1626</v>
      </c>
      <c r="P619" s="76" t="str">
        <f t="shared" ca="1" si="29"/>
        <v>Vencida</v>
      </c>
    </row>
    <row r="620" spans="1:16" x14ac:dyDescent="0.3">
      <c r="A620" s="58" t="s">
        <v>910</v>
      </c>
      <c r="B620" s="56" t="s">
        <v>124</v>
      </c>
      <c r="C620" s="50" t="str">
        <f>_xlfn.XLOOKUP(B620,CLIENTES!$A$2:$A$301,CLIENTES!$B$2:$B$301)</f>
        <v>Daniel Silva</v>
      </c>
      <c r="D620" s="60">
        <v>46197</v>
      </c>
      <c r="E620" s="60">
        <f t="shared" si="27"/>
        <v>46562</v>
      </c>
      <c r="F620" s="50" t="s">
        <v>1597</v>
      </c>
      <c r="G620" s="56" t="s">
        <v>1607</v>
      </c>
      <c r="H620" s="47">
        <v>48</v>
      </c>
      <c r="I620" s="60">
        <v>28689</v>
      </c>
      <c r="J620" s="56" t="s">
        <v>1611</v>
      </c>
      <c r="K620" s="56">
        <v>2021</v>
      </c>
      <c r="L620" s="52">
        <f t="shared" si="28"/>
        <v>62892.785083333343</v>
      </c>
      <c r="M620" s="56">
        <f>LISTAS!$B$22*_xlfn.XLOOKUP(G620,LISTAS!$B$27:$B$36,LISTAS!$A$27:$A$36)*_xlfn.XLOOKUP(H620,LISTAS!$B$38:$B$47,LISTAS!$A$38:$A$47,,-1)*_xlfn.XLOOKUP(J620,LISTAS!$E$26:$H$26,LISTAS!$E$48:$H$48)*_xlfn.XLOOKUP(F620,LISTAS!$A$15:$A$18,LISTAS!$H$15:$H$18)</f>
        <v>2.6438500000000004E-2</v>
      </c>
      <c r="N620" s="54" cm="1">
        <f t="array" ref="N620">_xlfn.XLOOKUP(K620,LISTAS!$D$27:$D$47,_xlfn.XLOOKUP(J620,LISTAS!$E$26:$H$26,LISTAS!$E$27:$H$47))</f>
        <v>28546000</v>
      </c>
      <c r="O620" s="56" t="s">
        <v>1623</v>
      </c>
      <c r="P620" s="76" t="str">
        <f t="shared" ca="1" si="29"/>
        <v>Vigente</v>
      </c>
    </row>
    <row r="621" spans="1:16" x14ac:dyDescent="0.3">
      <c r="A621" s="58" t="s">
        <v>911</v>
      </c>
      <c r="B621" s="56" t="s">
        <v>265</v>
      </c>
      <c r="C621" s="50" t="str">
        <f>_xlfn.XLOOKUP(B621,CLIENTES!$A$2:$A$301,CLIENTES!$B$2:$B$301)</f>
        <v>Pedro Fernández</v>
      </c>
      <c r="D621" s="60">
        <v>45669</v>
      </c>
      <c r="E621" s="60">
        <f t="shared" si="27"/>
        <v>46034</v>
      </c>
      <c r="F621" s="50" t="s">
        <v>1598</v>
      </c>
      <c r="G621" s="56" t="s">
        <v>1606</v>
      </c>
      <c r="H621" s="47">
        <v>79</v>
      </c>
      <c r="I621" s="60">
        <v>17235</v>
      </c>
      <c r="J621" s="56" t="s">
        <v>1609</v>
      </c>
      <c r="K621" s="56">
        <v>2022</v>
      </c>
      <c r="L621" s="52">
        <f t="shared" si="28"/>
        <v>54749.82499999999</v>
      </c>
      <c r="M621" s="56">
        <f>LISTAS!$B$22*_xlfn.XLOOKUP(G621,LISTAS!$B$27:$B$36,LISTAS!$A$27:$A$36)*_xlfn.XLOOKUP(H621,LISTAS!$B$38:$B$47,LISTAS!$A$38:$A$47,,-1)*_xlfn.XLOOKUP(J621,LISTAS!$E$26:$H$26,LISTAS!$E$48:$H$48)*_xlfn.XLOOKUP(F621,LISTAS!$A$15:$A$18,LISTAS!$H$15:$H$18)</f>
        <v>3.7699999999999997E-2</v>
      </c>
      <c r="N621" s="54" cm="1">
        <f t="array" ref="N621">_xlfn.XLOOKUP(K621,LISTAS!$D$27:$D$47,_xlfn.XLOOKUP(J621,LISTAS!$E$26:$H$26,LISTAS!$E$27:$H$47))</f>
        <v>17427000</v>
      </c>
      <c r="O621" s="56" t="s">
        <v>1624</v>
      </c>
      <c r="P621" s="76" t="str">
        <f t="shared" ca="1" si="29"/>
        <v>Vencida</v>
      </c>
    </row>
    <row r="622" spans="1:16" x14ac:dyDescent="0.3">
      <c r="A622" s="58" t="s">
        <v>912</v>
      </c>
      <c r="B622" s="56" t="s">
        <v>42</v>
      </c>
      <c r="C622" s="50" t="str">
        <f>_xlfn.XLOOKUP(B622,CLIENTES!$A$2:$A$301,CLIENTES!$B$2:$B$301)</f>
        <v>Pablo Torres</v>
      </c>
      <c r="D622" s="60">
        <v>44660</v>
      </c>
      <c r="E622" s="60">
        <f t="shared" si="27"/>
        <v>45025</v>
      </c>
      <c r="F622" s="50" t="s">
        <v>1596</v>
      </c>
      <c r="G622" s="56" t="s">
        <v>1599</v>
      </c>
      <c r="H622" s="47">
        <v>46</v>
      </c>
      <c r="I622" s="60">
        <v>29330</v>
      </c>
      <c r="J622" s="56" t="s">
        <v>1609</v>
      </c>
      <c r="K622" s="56">
        <v>2009</v>
      </c>
      <c r="L622" s="52">
        <f t="shared" si="28"/>
        <v>9412.2200000000012</v>
      </c>
      <c r="M622" s="56">
        <f>LISTAS!$B$22*_xlfn.XLOOKUP(G622,LISTAS!$B$27:$B$36,LISTAS!$A$27:$A$36)*_xlfn.XLOOKUP(H622,LISTAS!$B$38:$B$47,LISTAS!$A$38:$A$47,,-1)*_xlfn.XLOOKUP(J622,LISTAS!$E$26:$H$26,LISTAS!$E$48:$H$48)*_xlfn.XLOOKUP(F622,LISTAS!$A$15:$A$18,LISTAS!$H$15:$H$18)</f>
        <v>1.9380000000000001E-2</v>
      </c>
      <c r="N622" s="54" cm="1">
        <f t="array" ref="N622">_xlfn.XLOOKUP(K622,LISTAS!$D$27:$D$47,_xlfn.XLOOKUP(J622,LISTAS!$E$26:$H$26,LISTAS!$E$27:$H$47))</f>
        <v>5828000</v>
      </c>
      <c r="O622" s="56" t="s">
        <v>1624</v>
      </c>
      <c r="P622" s="76" t="str">
        <f t="shared" ca="1" si="29"/>
        <v>Vencida</v>
      </c>
    </row>
    <row r="623" spans="1:16" x14ac:dyDescent="0.3">
      <c r="A623" s="58" t="s">
        <v>913</v>
      </c>
      <c r="B623" s="56" t="s">
        <v>41</v>
      </c>
      <c r="C623" s="50" t="str">
        <f>_xlfn.XLOOKUP(B623,CLIENTES!$A$2:$A$301,CLIENTES!$B$2:$B$301)</f>
        <v>Ignacio Ortiz</v>
      </c>
      <c r="D623" s="60">
        <v>45042</v>
      </c>
      <c r="E623" s="60">
        <f t="shared" si="27"/>
        <v>45408</v>
      </c>
      <c r="F623" s="50" t="s">
        <v>1596</v>
      </c>
      <c r="G623" s="56" t="s">
        <v>1599</v>
      </c>
      <c r="H623" s="47">
        <v>30</v>
      </c>
      <c r="I623" s="60">
        <v>34952</v>
      </c>
      <c r="J623" s="56" t="s">
        <v>1611</v>
      </c>
      <c r="K623" s="56">
        <v>2025</v>
      </c>
      <c r="L623" s="52">
        <f t="shared" si="28"/>
        <v>80936.999999999985</v>
      </c>
      <c r="M623" s="56">
        <f>LISTAS!$B$22*_xlfn.XLOOKUP(G623,LISTAS!$B$27:$B$36,LISTAS!$A$27:$A$36)*_xlfn.XLOOKUP(H623,LISTAS!$B$38:$B$47,LISTAS!$A$38:$A$47,,-1)*_xlfn.XLOOKUP(J623,LISTAS!$E$26:$H$26,LISTAS!$E$48:$H$48)*_xlfn.XLOOKUP(F623,LISTAS!$A$15:$A$18,LISTAS!$H$15:$H$18)</f>
        <v>2.3459999999999998E-2</v>
      </c>
      <c r="N623" s="54" cm="1">
        <f t="array" ref="N623">_xlfn.XLOOKUP(K623,LISTAS!$D$27:$D$47,_xlfn.XLOOKUP(J623,LISTAS!$E$26:$H$26,LISTAS!$E$27:$H$47))</f>
        <v>41400000</v>
      </c>
      <c r="O623" s="56" t="s">
        <v>1623</v>
      </c>
      <c r="P623" s="76" t="str">
        <f t="shared" ca="1" si="29"/>
        <v>Vencida</v>
      </c>
    </row>
    <row r="624" spans="1:16" x14ac:dyDescent="0.3">
      <c r="A624" s="58" t="s">
        <v>914</v>
      </c>
      <c r="B624" s="56" t="s">
        <v>62</v>
      </c>
      <c r="C624" s="50" t="str">
        <f>_xlfn.XLOOKUP(B624,CLIENTES!$A$2:$A$301,CLIENTES!$B$2:$B$301)</f>
        <v>Federico Flores</v>
      </c>
      <c r="D624" s="60">
        <v>46147</v>
      </c>
      <c r="E624" s="60">
        <f t="shared" si="27"/>
        <v>46512</v>
      </c>
      <c r="F624" s="50" t="s">
        <v>1596</v>
      </c>
      <c r="G624" s="56" t="s">
        <v>1601</v>
      </c>
      <c r="H624" s="47">
        <v>66</v>
      </c>
      <c r="I624" s="60">
        <v>22071</v>
      </c>
      <c r="J624" s="56" t="s">
        <v>1612</v>
      </c>
      <c r="K624" s="56">
        <v>2024</v>
      </c>
      <c r="L624" s="52">
        <f t="shared" si="28"/>
        <v>52992.938687499998</v>
      </c>
      <c r="M624" s="56">
        <f>LISTAS!$B$22*_xlfn.XLOOKUP(G624,LISTAS!$B$27:$B$36,LISTAS!$A$27:$A$36)*_xlfn.XLOOKUP(H624,LISTAS!$B$38:$B$47,LISTAS!$A$38:$A$47,,-1)*_xlfn.XLOOKUP(J624,LISTAS!$E$26:$H$26,LISTAS!$E$48:$H$48)*_xlfn.XLOOKUP(F624,LISTAS!$A$15:$A$18,LISTAS!$H$15:$H$18)</f>
        <v>2.3606624999999999E-2</v>
      </c>
      <c r="N624" s="54" cm="1">
        <f t="array" ref="N624">_xlfn.XLOOKUP(K624,LISTAS!$D$27:$D$47,_xlfn.XLOOKUP(J624,LISTAS!$E$26:$H$26,LISTAS!$E$27:$H$47))</f>
        <v>26938000</v>
      </c>
      <c r="O624" s="56" t="s">
        <v>1623</v>
      </c>
      <c r="P624" s="76" t="str">
        <f t="shared" ca="1" si="29"/>
        <v>Vigente</v>
      </c>
    </row>
    <row r="625" spans="1:16" x14ac:dyDescent="0.3">
      <c r="A625" s="58" t="s">
        <v>915</v>
      </c>
      <c r="B625" s="56" t="s">
        <v>155</v>
      </c>
      <c r="C625" s="50" t="str">
        <f>_xlfn.XLOOKUP(B625,CLIENTES!$A$2:$A$301,CLIENTES!$B$2:$B$301)</f>
        <v>Maximiliano Flores</v>
      </c>
      <c r="D625" s="60">
        <v>44657</v>
      </c>
      <c r="E625" s="60">
        <f t="shared" si="27"/>
        <v>45022</v>
      </c>
      <c r="F625" s="50" t="s">
        <v>1596</v>
      </c>
      <c r="G625" s="56" t="s">
        <v>1608</v>
      </c>
      <c r="H625" s="47">
        <v>37</v>
      </c>
      <c r="I625" s="60">
        <v>32556</v>
      </c>
      <c r="J625" s="56" t="s">
        <v>1610</v>
      </c>
      <c r="K625" s="56">
        <v>2021</v>
      </c>
      <c r="L625" s="52">
        <f t="shared" si="28"/>
        <v>37564.092499999999</v>
      </c>
      <c r="M625" s="56">
        <f>LISTAS!$B$22*_xlfn.XLOOKUP(G625,LISTAS!$B$27:$B$36,LISTAS!$A$27:$A$36)*_xlfn.XLOOKUP(H625,LISTAS!$B$38:$B$47,LISTAS!$A$38:$A$47,,-1)*_xlfn.XLOOKUP(J625,LISTAS!$E$26:$H$26,LISTAS!$E$48:$H$48)*_xlfn.XLOOKUP(F625,LISTAS!$A$15:$A$18,LISTAS!$H$15:$H$18)</f>
        <v>1.7765E-2</v>
      </c>
      <c r="N625" s="54" cm="1">
        <f t="array" ref="N625">_xlfn.XLOOKUP(K625,LISTAS!$D$27:$D$47,_xlfn.XLOOKUP(J625,LISTAS!$E$26:$H$26,LISTAS!$E$27:$H$47))</f>
        <v>25374000</v>
      </c>
      <c r="O625" s="56" t="s">
        <v>1623</v>
      </c>
      <c r="P625" s="76" t="str">
        <f t="shared" ca="1" si="29"/>
        <v>Vencida</v>
      </c>
    </row>
    <row r="626" spans="1:16" x14ac:dyDescent="0.3">
      <c r="A626" s="58" t="s">
        <v>916</v>
      </c>
      <c r="B626" s="56" t="s">
        <v>68</v>
      </c>
      <c r="C626" s="50" t="str">
        <f>_xlfn.XLOOKUP(B626,CLIENTES!$A$2:$A$301,CLIENTES!$B$2:$B$301)</f>
        <v>Daniela Miranda</v>
      </c>
      <c r="D626" s="60">
        <v>45711</v>
      </c>
      <c r="E626" s="60">
        <f t="shared" si="27"/>
        <v>46076</v>
      </c>
      <c r="F626" s="50" t="s">
        <v>1595</v>
      </c>
      <c r="G626" s="56" t="s">
        <v>1604</v>
      </c>
      <c r="H626" s="47">
        <v>22</v>
      </c>
      <c r="I626" s="60">
        <v>38068</v>
      </c>
      <c r="J626" s="56" t="s">
        <v>1611</v>
      </c>
      <c r="K626" s="56">
        <v>2025</v>
      </c>
      <c r="L626" s="52">
        <f t="shared" si="28"/>
        <v>67487.175000000003</v>
      </c>
      <c r="M626" s="56">
        <f>LISTAS!$B$22*_xlfn.XLOOKUP(G626,LISTAS!$B$27:$B$36,LISTAS!$A$27:$A$36)*_xlfn.XLOOKUP(H626,LISTAS!$B$38:$B$47,LISTAS!$A$38:$A$47,,-1)*_xlfn.XLOOKUP(J626,LISTAS!$E$26:$H$26,LISTAS!$E$48:$H$48)*_xlfn.XLOOKUP(F626,LISTAS!$A$15:$A$18,LISTAS!$H$15:$H$18)</f>
        <v>1.9561499999999999E-2</v>
      </c>
      <c r="N626" s="54" cm="1">
        <f t="array" ref="N626">_xlfn.XLOOKUP(K626,LISTAS!$D$27:$D$47,_xlfn.XLOOKUP(J626,LISTAS!$E$26:$H$26,LISTAS!$E$27:$H$47))</f>
        <v>41400000</v>
      </c>
      <c r="O626" s="56" t="s">
        <v>1624</v>
      </c>
      <c r="P626" s="76" t="str">
        <f t="shared" ca="1" si="29"/>
        <v>Vencida</v>
      </c>
    </row>
    <row r="627" spans="1:16" x14ac:dyDescent="0.3">
      <c r="A627" s="58" t="s">
        <v>917</v>
      </c>
      <c r="B627" s="56" t="s">
        <v>180</v>
      </c>
      <c r="C627" s="50" t="str">
        <f>_xlfn.XLOOKUP(B627,CLIENTES!$A$2:$A$301,CLIENTES!$B$2:$B$301)</f>
        <v>Catalina Peralta</v>
      </c>
      <c r="D627" s="60">
        <v>45290</v>
      </c>
      <c r="E627" s="60">
        <f t="shared" si="27"/>
        <v>45656</v>
      </c>
      <c r="F627" s="50" t="s">
        <v>1596</v>
      </c>
      <c r="G627" s="56" t="s">
        <v>1604</v>
      </c>
      <c r="H627" s="47">
        <v>50</v>
      </c>
      <c r="I627" s="60">
        <v>27771</v>
      </c>
      <c r="J627" s="56" t="s">
        <v>1610</v>
      </c>
      <c r="K627" s="56">
        <v>2023</v>
      </c>
      <c r="L627" s="52">
        <f t="shared" si="28"/>
        <v>50137.972500000003</v>
      </c>
      <c r="M627" s="56">
        <f>LISTAS!$B$22*_xlfn.XLOOKUP(G627,LISTAS!$B$27:$B$36,LISTAS!$A$27:$A$36)*_xlfn.XLOOKUP(H627,LISTAS!$B$38:$B$47,LISTAS!$A$38:$A$47,,-1)*_xlfn.XLOOKUP(J627,LISTAS!$E$26:$H$26,LISTAS!$E$48:$H$48)*_xlfn.XLOOKUP(F627,LISTAS!$A$15:$A$18,LISTAS!$H$15:$H$18)</f>
        <v>1.9635000000000003E-2</v>
      </c>
      <c r="N627" s="54" cm="1">
        <f t="array" ref="N627">_xlfn.XLOOKUP(K627,LISTAS!$D$27:$D$47,_xlfn.XLOOKUP(J627,LISTAS!$E$26:$H$26,LISTAS!$E$27:$H$47))</f>
        <v>30642000</v>
      </c>
      <c r="O627" s="56" t="s">
        <v>1623</v>
      </c>
      <c r="P627" s="76" t="str">
        <f t="shared" ca="1" si="29"/>
        <v>Vencida</v>
      </c>
    </row>
    <row r="628" spans="1:16" x14ac:dyDescent="0.3">
      <c r="A628" s="58" t="s">
        <v>918</v>
      </c>
      <c r="B628" s="56" t="s">
        <v>194</v>
      </c>
      <c r="C628" s="50" t="str">
        <f>_xlfn.XLOOKUP(B628,CLIENTES!$A$2:$A$301,CLIENTES!$B$2:$B$301)</f>
        <v>Juan Pérez</v>
      </c>
      <c r="D628" s="60">
        <v>45298</v>
      </c>
      <c r="E628" s="60">
        <f t="shared" si="27"/>
        <v>45664</v>
      </c>
      <c r="F628" s="50" t="s">
        <v>1595</v>
      </c>
      <c r="G628" s="56" t="s">
        <v>1606</v>
      </c>
      <c r="H628" s="47">
        <v>20</v>
      </c>
      <c r="I628" s="60">
        <v>38721</v>
      </c>
      <c r="J628" s="56" t="s">
        <v>1611</v>
      </c>
      <c r="K628" s="56">
        <v>2023</v>
      </c>
      <c r="L628" s="52">
        <f t="shared" si="28"/>
        <v>59464.19999999999</v>
      </c>
      <c r="M628" s="56">
        <f>LISTAS!$B$22*_xlfn.XLOOKUP(G628,LISTAS!$B$27:$B$36,LISTAS!$A$27:$A$36)*_xlfn.XLOOKUP(H628,LISTAS!$B$38:$B$47,LISTAS!$A$38:$A$47,,-1)*_xlfn.XLOOKUP(J628,LISTAS!$E$26:$H$26,LISTAS!$E$48:$H$48)*_xlfn.XLOOKUP(F628,LISTAS!$A$15:$A$18,LISTAS!$H$15:$H$18)</f>
        <v>2.0699999999999996E-2</v>
      </c>
      <c r="N628" s="54" cm="1">
        <f t="array" ref="N628">_xlfn.XLOOKUP(K628,LISTAS!$D$27:$D$47,_xlfn.XLOOKUP(J628,LISTAS!$E$26:$H$26,LISTAS!$E$27:$H$47))</f>
        <v>34472000</v>
      </c>
      <c r="O628" s="56" t="s">
        <v>1623</v>
      </c>
      <c r="P628" s="76" t="str">
        <f t="shared" ca="1" si="29"/>
        <v>Vencida</v>
      </c>
    </row>
    <row r="629" spans="1:16" x14ac:dyDescent="0.3">
      <c r="A629" s="58" t="s">
        <v>919</v>
      </c>
      <c r="B629" s="56" t="s">
        <v>65</v>
      </c>
      <c r="C629" s="50" t="str">
        <f>_xlfn.XLOOKUP(B629,CLIENTES!$A$2:$A$301,CLIENTES!$B$2:$B$301)</f>
        <v>Ignacio Castro</v>
      </c>
      <c r="D629" s="60">
        <v>45799</v>
      </c>
      <c r="E629" s="60">
        <f t="shared" si="27"/>
        <v>46164</v>
      </c>
      <c r="F629" s="50" t="s">
        <v>1595</v>
      </c>
      <c r="G629" s="56" t="s">
        <v>1600</v>
      </c>
      <c r="H629" s="47">
        <v>30</v>
      </c>
      <c r="I629" s="60">
        <v>35285</v>
      </c>
      <c r="J629" s="56" t="s">
        <v>1611</v>
      </c>
      <c r="K629" s="56">
        <v>2025</v>
      </c>
      <c r="L629" s="52">
        <f t="shared" si="28"/>
        <v>54751.5</v>
      </c>
      <c r="M629" s="56">
        <f>LISTAS!$B$22*_xlfn.XLOOKUP(G629,LISTAS!$B$27:$B$36,LISTAS!$A$27:$A$36)*_xlfn.XLOOKUP(H629,LISTAS!$B$38:$B$47,LISTAS!$A$38:$A$47,,-1)*_xlfn.XLOOKUP(J629,LISTAS!$E$26:$H$26,LISTAS!$E$48:$H$48)*_xlfn.XLOOKUP(F629,LISTAS!$A$15:$A$18,LISTAS!$H$15:$H$18)</f>
        <v>1.5869999999999999E-2</v>
      </c>
      <c r="N629" s="54" cm="1">
        <f t="array" ref="N629">_xlfn.XLOOKUP(K629,LISTAS!$D$27:$D$47,_xlfn.XLOOKUP(J629,LISTAS!$E$26:$H$26,LISTAS!$E$27:$H$47))</f>
        <v>41400000</v>
      </c>
      <c r="O629" s="56" t="s">
        <v>1626</v>
      </c>
      <c r="P629" s="76" t="str">
        <f t="shared" ca="1" si="29"/>
        <v>Vencida</v>
      </c>
    </row>
    <row r="630" spans="1:16" x14ac:dyDescent="0.3">
      <c r="A630" s="58" t="s">
        <v>920</v>
      </c>
      <c r="B630" s="56" t="s">
        <v>28</v>
      </c>
      <c r="C630" s="50" t="str">
        <f>_xlfn.XLOOKUP(B630,CLIENTES!$A$2:$A$301,CLIENTES!$B$2:$B$301)</f>
        <v>Facundo Castro</v>
      </c>
      <c r="D630" s="60">
        <v>45994</v>
      </c>
      <c r="E630" s="60">
        <f t="shared" si="27"/>
        <v>46359</v>
      </c>
      <c r="F630" s="50" t="s">
        <v>1598</v>
      </c>
      <c r="G630" s="56" t="s">
        <v>1605</v>
      </c>
      <c r="H630" s="47">
        <v>18</v>
      </c>
      <c r="I630" s="60">
        <v>39398</v>
      </c>
      <c r="J630" s="56" t="s">
        <v>1610</v>
      </c>
      <c r="K630" s="56">
        <v>2024</v>
      </c>
      <c r="L630" s="52">
        <f t="shared" si="28"/>
        <v>108339.66000000002</v>
      </c>
      <c r="M630" s="56">
        <f>LISTAS!$B$22*_xlfn.XLOOKUP(G630,LISTAS!$B$27:$B$36,LISTAS!$A$27:$A$36)*_xlfn.XLOOKUP(H630,LISTAS!$B$38:$B$47,LISTAS!$A$38:$A$47,,-1)*_xlfn.XLOOKUP(J630,LISTAS!$E$26:$H$26,LISTAS!$E$48:$H$48)*_xlfn.XLOOKUP(F630,LISTAS!$A$15:$A$18,LISTAS!$H$15:$H$18)</f>
        <v>3.8610000000000005E-2</v>
      </c>
      <c r="N630" s="54" cm="1">
        <f t="array" ref="N630">_xlfn.XLOOKUP(K630,LISTAS!$D$27:$D$47,_xlfn.XLOOKUP(J630,LISTAS!$E$26:$H$26,LISTAS!$E$27:$H$47))</f>
        <v>33672000</v>
      </c>
      <c r="O630" s="56" t="s">
        <v>1623</v>
      </c>
      <c r="P630" s="76" t="str">
        <f t="shared" ca="1" si="29"/>
        <v>Vigente</v>
      </c>
    </row>
    <row r="631" spans="1:16" x14ac:dyDescent="0.3">
      <c r="A631" s="58" t="s">
        <v>921</v>
      </c>
      <c r="B631" s="56" t="s">
        <v>230</v>
      </c>
      <c r="C631" s="50" t="str">
        <f>_xlfn.XLOOKUP(B631,CLIENTES!$A$2:$A$301,CLIENTES!$B$2:$B$301)</f>
        <v>Clara Roldán</v>
      </c>
      <c r="D631" s="60">
        <v>45689</v>
      </c>
      <c r="E631" s="60">
        <f t="shared" si="27"/>
        <v>46054</v>
      </c>
      <c r="F631" s="50" t="s">
        <v>1595</v>
      </c>
      <c r="G631" s="56" t="s">
        <v>1605</v>
      </c>
      <c r="H631" s="47">
        <v>37</v>
      </c>
      <c r="I631" s="60">
        <v>32467</v>
      </c>
      <c r="J631" s="56" t="s">
        <v>1610</v>
      </c>
      <c r="K631" s="56">
        <v>2020</v>
      </c>
      <c r="L631" s="52">
        <f t="shared" si="28"/>
        <v>22860.090000000007</v>
      </c>
      <c r="M631" s="56">
        <f>LISTAS!$B$22*_xlfn.XLOOKUP(G631,LISTAS!$B$27:$B$36,LISTAS!$A$27:$A$36)*_xlfn.XLOOKUP(H631,LISTAS!$B$38:$B$47,LISTAS!$A$38:$A$47,,-1)*_xlfn.XLOOKUP(J631,LISTAS!$E$26:$H$26,LISTAS!$E$48:$H$48)*_xlfn.XLOOKUP(F631,LISTAS!$A$15:$A$18,LISTAS!$H$15:$H$18)</f>
        <v>1.1880000000000003E-2</v>
      </c>
      <c r="N631" s="54" cm="1">
        <f t="array" ref="N631">_xlfn.XLOOKUP(K631,LISTAS!$D$27:$D$47,_xlfn.XLOOKUP(J631,LISTAS!$E$26:$H$26,LISTAS!$E$27:$H$47))</f>
        <v>23091000</v>
      </c>
      <c r="O631" s="56" t="s">
        <v>1623</v>
      </c>
      <c r="P631" s="76" t="str">
        <f t="shared" ca="1" si="29"/>
        <v>Vencida</v>
      </c>
    </row>
    <row r="632" spans="1:16" x14ac:dyDescent="0.3">
      <c r="A632" s="58" t="s">
        <v>922</v>
      </c>
      <c r="B632" s="56" t="s">
        <v>234</v>
      </c>
      <c r="C632" s="50" t="str">
        <f>_xlfn.XLOOKUP(B632,CLIENTES!$A$2:$A$301,CLIENTES!$B$2:$B$301)</f>
        <v>Natalia Suárez</v>
      </c>
      <c r="D632" s="60">
        <v>45457</v>
      </c>
      <c r="E632" s="60">
        <f t="shared" si="27"/>
        <v>45822</v>
      </c>
      <c r="F632" s="50" t="s">
        <v>1596</v>
      </c>
      <c r="G632" s="56" t="s">
        <v>1608</v>
      </c>
      <c r="H632" s="47">
        <v>50</v>
      </c>
      <c r="I632" s="60">
        <v>27775</v>
      </c>
      <c r="J632" s="56" t="s">
        <v>1610</v>
      </c>
      <c r="K632" s="56">
        <v>2025</v>
      </c>
      <c r="L632" s="52">
        <f t="shared" si="28"/>
        <v>54479.333333333336</v>
      </c>
      <c r="M632" s="56">
        <f>LISTAS!$B$22*_xlfn.XLOOKUP(G632,LISTAS!$B$27:$B$36,LISTAS!$A$27:$A$36)*_xlfn.XLOOKUP(H632,LISTAS!$B$38:$B$47,LISTAS!$A$38:$A$47,,-1)*_xlfn.XLOOKUP(J632,LISTAS!$E$26:$H$26,LISTAS!$E$48:$H$48)*_xlfn.XLOOKUP(F632,LISTAS!$A$15:$A$18,LISTAS!$H$15:$H$18)</f>
        <v>1.7765E-2</v>
      </c>
      <c r="N632" s="54" cm="1">
        <f t="array" ref="N632">_xlfn.XLOOKUP(K632,LISTAS!$D$27:$D$47,_xlfn.XLOOKUP(J632,LISTAS!$E$26:$H$26,LISTAS!$E$27:$H$47))</f>
        <v>36800000</v>
      </c>
      <c r="O632" s="56" t="s">
        <v>1626</v>
      </c>
      <c r="P632" s="76" t="str">
        <f t="shared" ca="1" si="29"/>
        <v>Vencida</v>
      </c>
    </row>
    <row r="633" spans="1:16" x14ac:dyDescent="0.3">
      <c r="A633" s="58" t="s">
        <v>923</v>
      </c>
      <c r="B633" s="56" t="s">
        <v>252</v>
      </c>
      <c r="C633" s="50" t="str">
        <f>_xlfn.XLOOKUP(B633,CLIENTES!$A$2:$A$301,CLIENTES!$B$2:$B$301)</f>
        <v>Matías Castro</v>
      </c>
      <c r="D633" s="60">
        <v>45779</v>
      </c>
      <c r="E633" s="60">
        <f t="shared" si="27"/>
        <v>46144</v>
      </c>
      <c r="F633" s="50" t="s">
        <v>1595</v>
      </c>
      <c r="G633" s="56" t="s">
        <v>1600</v>
      </c>
      <c r="H633" s="47">
        <v>74</v>
      </c>
      <c r="I633" s="60">
        <v>19010</v>
      </c>
      <c r="J633" s="56" t="s">
        <v>1610</v>
      </c>
      <c r="K633" s="56">
        <v>2023</v>
      </c>
      <c r="L633" s="52">
        <f t="shared" si="28"/>
        <v>54266.981999999996</v>
      </c>
      <c r="M633" s="56">
        <f>LISTAS!$B$22*_xlfn.XLOOKUP(G633,LISTAS!$B$27:$B$36,LISTAS!$A$27:$A$36)*_xlfn.XLOOKUP(H633,LISTAS!$B$38:$B$47,LISTAS!$A$38:$A$47,,-1)*_xlfn.XLOOKUP(J633,LISTAS!$E$26:$H$26,LISTAS!$E$48:$H$48)*_xlfn.XLOOKUP(F633,LISTAS!$A$15:$A$18,LISTAS!$H$15:$H$18)</f>
        <v>2.1252E-2</v>
      </c>
      <c r="N633" s="54" cm="1">
        <f t="array" ref="N633">_xlfn.XLOOKUP(K633,LISTAS!$D$27:$D$47,_xlfn.XLOOKUP(J633,LISTAS!$E$26:$H$26,LISTAS!$E$27:$H$47))</f>
        <v>30642000</v>
      </c>
      <c r="O633" s="56" t="s">
        <v>1623</v>
      </c>
      <c r="P633" s="76" t="str">
        <f t="shared" ca="1" si="29"/>
        <v>Vencida</v>
      </c>
    </row>
    <row r="634" spans="1:16" x14ac:dyDescent="0.3">
      <c r="A634" s="58" t="s">
        <v>924</v>
      </c>
      <c r="B634" s="56" t="s">
        <v>60</v>
      </c>
      <c r="C634" s="50" t="str">
        <f>_xlfn.XLOOKUP(B634,CLIENTES!$A$2:$A$301,CLIENTES!$B$2:$B$301)</f>
        <v>Nicolás Díaz</v>
      </c>
      <c r="D634" s="60">
        <v>46219</v>
      </c>
      <c r="E634" s="60">
        <f t="shared" si="27"/>
        <v>46584</v>
      </c>
      <c r="F634" s="50" t="s">
        <v>1596</v>
      </c>
      <c r="G634" s="56" t="s">
        <v>1600</v>
      </c>
      <c r="H634" s="47">
        <v>51</v>
      </c>
      <c r="I634" s="60">
        <v>27281</v>
      </c>
      <c r="J634" s="56" t="s">
        <v>1610</v>
      </c>
      <c r="K634" s="56">
        <v>2026</v>
      </c>
      <c r="L634" s="52">
        <f t="shared" si="28"/>
        <v>71683.333333333343</v>
      </c>
      <c r="M634" s="56">
        <f>LISTAS!$B$22*_xlfn.XLOOKUP(G634,LISTAS!$B$27:$B$36,LISTAS!$A$27:$A$36)*_xlfn.XLOOKUP(H634,LISTAS!$B$38:$B$47,LISTAS!$A$38:$A$47,,-1)*_xlfn.XLOOKUP(J634,LISTAS!$E$26:$H$26,LISTAS!$E$48:$H$48)*_xlfn.XLOOKUP(F634,LISTAS!$A$15:$A$18,LISTAS!$H$15:$H$18)</f>
        <v>2.1505000000000003E-2</v>
      </c>
      <c r="N634" s="54" cm="1">
        <f t="array" ref="N634">_xlfn.XLOOKUP(K634,LISTAS!$D$27:$D$47,_xlfn.XLOOKUP(J634,LISTAS!$E$26:$H$26,LISTAS!$E$27:$H$47))</f>
        <v>40000000</v>
      </c>
      <c r="O634" s="56" t="s">
        <v>1623</v>
      </c>
      <c r="P634" s="76" t="str">
        <f t="shared" ca="1" si="29"/>
        <v>Vigente</v>
      </c>
    </row>
    <row r="635" spans="1:16" x14ac:dyDescent="0.3">
      <c r="A635" s="58" t="s">
        <v>925</v>
      </c>
      <c r="B635" s="56" t="s">
        <v>227</v>
      </c>
      <c r="C635" s="50" t="str">
        <f>_xlfn.XLOOKUP(B635,CLIENTES!$A$2:$A$301,CLIENTES!$B$2:$B$301)</f>
        <v>Ignacio Molina</v>
      </c>
      <c r="D635" s="60">
        <v>45108</v>
      </c>
      <c r="E635" s="60">
        <f t="shared" si="27"/>
        <v>45474</v>
      </c>
      <c r="F635" s="50" t="s">
        <v>1598</v>
      </c>
      <c r="G635" s="56" t="s">
        <v>1608</v>
      </c>
      <c r="H635" s="47">
        <v>79</v>
      </c>
      <c r="I635" s="60">
        <v>17202</v>
      </c>
      <c r="J635" s="56" t="s">
        <v>1611</v>
      </c>
      <c r="K635" s="56">
        <v>2023</v>
      </c>
      <c r="L635" s="52">
        <f t="shared" si="28"/>
        <v>118317.24016666664</v>
      </c>
      <c r="M635" s="56">
        <f>LISTAS!$B$22*_xlfn.XLOOKUP(G635,LISTAS!$B$27:$B$36,LISTAS!$A$27:$A$36)*_xlfn.XLOOKUP(H635,LISTAS!$B$38:$B$47,LISTAS!$A$38:$A$47,,-1)*_xlfn.XLOOKUP(J635,LISTAS!$E$26:$H$26,LISTAS!$E$48:$H$48)*_xlfn.XLOOKUP(F635,LISTAS!$A$15:$A$18,LISTAS!$H$15:$H$18)</f>
        <v>4.1187249999999995E-2</v>
      </c>
      <c r="N635" s="54" cm="1">
        <f t="array" ref="N635">_xlfn.XLOOKUP(K635,LISTAS!$D$27:$D$47,_xlfn.XLOOKUP(J635,LISTAS!$E$26:$H$26,LISTAS!$E$27:$H$47))</f>
        <v>34472000</v>
      </c>
      <c r="O635" s="56" t="s">
        <v>1624</v>
      </c>
      <c r="P635" s="76" t="str">
        <f t="shared" ca="1" si="29"/>
        <v>Vencida</v>
      </c>
    </row>
    <row r="636" spans="1:16" x14ac:dyDescent="0.3">
      <c r="A636" s="58" t="s">
        <v>926</v>
      </c>
      <c r="B636" s="56" t="s">
        <v>202</v>
      </c>
      <c r="C636" s="50" t="str">
        <f>_xlfn.XLOOKUP(B636,CLIENTES!$A$2:$A$301,CLIENTES!$B$2:$B$301)</f>
        <v>Matías Benítez</v>
      </c>
      <c r="D636" s="60">
        <v>45666</v>
      </c>
      <c r="E636" s="60">
        <f t="shared" si="27"/>
        <v>46031</v>
      </c>
      <c r="F636" s="50" t="s">
        <v>1598</v>
      </c>
      <c r="G636" s="56" t="s">
        <v>1599</v>
      </c>
      <c r="H636" s="47">
        <v>32</v>
      </c>
      <c r="I636" s="60">
        <v>34376</v>
      </c>
      <c r="J636" s="56" t="s">
        <v>1611</v>
      </c>
      <c r="K636" s="56">
        <v>2023</v>
      </c>
      <c r="L636" s="52">
        <f t="shared" si="28"/>
        <v>103071.28000000001</v>
      </c>
      <c r="M636" s="56">
        <f>LISTAS!$B$22*_xlfn.XLOOKUP(G636,LISTAS!$B$27:$B$36,LISTAS!$A$27:$A$36)*_xlfn.XLOOKUP(H636,LISTAS!$B$38:$B$47,LISTAS!$A$38:$A$47,,-1)*_xlfn.XLOOKUP(J636,LISTAS!$E$26:$H$26,LISTAS!$E$48:$H$48)*_xlfn.XLOOKUP(F636,LISTAS!$A$15:$A$18,LISTAS!$H$15:$H$18)</f>
        <v>3.5880000000000002E-2</v>
      </c>
      <c r="N636" s="54" cm="1">
        <f t="array" ref="N636">_xlfn.XLOOKUP(K636,LISTAS!$D$27:$D$47,_xlfn.XLOOKUP(J636,LISTAS!$E$26:$H$26,LISTAS!$E$27:$H$47))</f>
        <v>34472000</v>
      </c>
      <c r="O636" s="56" t="s">
        <v>1623</v>
      </c>
      <c r="P636" s="76" t="str">
        <f t="shared" ca="1" si="29"/>
        <v>Vencida</v>
      </c>
    </row>
    <row r="637" spans="1:16" x14ac:dyDescent="0.3">
      <c r="A637" s="58" t="s">
        <v>927</v>
      </c>
      <c r="B637" s="56" t="s">
        <v>160</v>
      </c>
      <c r="C637" s="50" t="str">
        <f>_xlfn.XLOOKUP(B637,CLIENTES!$A$2:$A$301,CLIENTES!$B$2:$B$301)</f>
        <v>Gabriela Sosa</v>
      </c>
      <c r="D637" s="60">
        <v>45655</v>
      </c>
      <c r="E637" s="60">
        <f t="shared" si="27"/>
        <v>46020</v>
      </c>
      <c r="F637" s="50" t="s">
        <v>1595</v>
      </c>
      <c r="G637" s="56" t="s">
        <v>1603</v>
      </c>
      <c r="H637" s="47">
        <v>74</v>
      </c>
      <c r="I637" s="60">
        <v>19203</v>
      </c>
      <c r="J637" s="56" t="s">
        <v>1612</v>
      </c>
      <c r="K637" s="56">
        <v>2008</v>
      </c>
      <c r="L637" s="52">
        <f t="shared" si="28"/>
        <v>9740.5874999999996</v>
      </c>
      <c r="M637" s="56">
        <f>LISTAS!$B$22*_xlfn.XLOOKUP(G637,LISTAS!$B$27:$B$36,LISTAS!$A$27:$A$36)*_xlfn.XLOOKUP(H637,LISTAS!$B$38:$B$47,LISTAS!$A$38:$A$47,,-1)*_xlfn.XLOOKUP(J637,LISTAS!$E$26:$H$26,LISTAS!$E$48:$H$48)*_xlfn.XLOOKUP(F637,LISTAS!$A$15:$A$18,LISTAS!$H$15:$H$18)</f>
        <v>1.6757999999999999E-2</v>
      </c>
      <c r="N637" s="54" cm="1">
        <f t="array" ref="N637">_xlfn.XLOOKUP(K637,LISTAS!$D$27:$D$47,_xlfn.XLOOKUP(J637,LISTAS!$E$26:$H$26,LISTAS!$E$27:$H$47))</f>
        <v>6975000</v>
      </c>
      <c r="O637" s="56" t="s">
        <v>1624</v>
      </c>
      <c r="P637" s="76" t="str">
        <f t="shared" ca="1" si="29"/>
        <v>Vencida</v>
      </c>
    </row>
    <row r="638" spans="1:16" x14ac:dyDescent="0.3">
      <c r="A638" s="58" t="s">
        <v>928</v>
      </c>
      <c r="B638" s="56" t="s">
        <v>198</v>
      </c>
      <c r="C638" s="50" t="str">
        <f>_xlfn.XLOOKUP(B638,CLIENTES!$A$2:$A$301,CLIENTES!$B$2:$B$301)</f>
        <v>Daniel Luna</v>
      </c>
      <c r="D638" s="60">
        <v>45858</v>
      </c>
      <c r="E638" s="60">
        <f t="shared" si="27"/>
        <v>46223</v>
      </c>
      <c r="F638" s="50" t="s">
        <v>1595</v>
      </c>
      <c r="G638" s="56" t="s">
        <v>1605</v>
      </c>
      <c r="H638" s="47">
        <v>73</v>
      </c>
      <c r="I638" s="60">
        <v>19552</v>
      </c>
      <c r="J638" s="56" t="s">
        <v>1609</v>
      </c>
      <c r="K638" s="56">
        <v>2024</v>
      </c>
      <c r="L638" s="52">
        <f t="shared" si="28"/>
        <v>26516.7</v>
      </c>
      <c r="M638" s="56">
        <f>LISTAS!$B$22*_xlfn.XLOOKUP(G638,LISTAS!$B$27:$B$36,LISTAS!$A$27:$A$36)*_xlfn.XLOOKUP(H638,LISTAS!$B$38:$B$47,LISTAS!$A$38:$A$47,,-1)*_xlfn.XLOOKUP(J638,LISTAS!$E$26:$H$26,LISTAS!$E$48:$H$48)*_xlfn.XLOOKUP(F638,LISTAS!$A$15:$A$18,LISTAS!$H$15:$H$18)</f>
        <v>1.512E-2</v>
      </c>
      <c r="N638" s="54" cm="1">
        <f t="array" ref="N638">_xlfn.XLOOKUP(K638,LISTAS!$D$27:$D$47,_xlfn.XLOOKUP(J638,LISTAS!$E$26:$H$26,LISTAS!$E$27:$H$47))</f>
        <v>21045000</v>
      </c>
      <c r="O638" s="56" t="s">
        <v>1624</v>
      </c>
      <c r="P638" s="76" t="str">
        <f t="shared" ca="1" si="29"/>
        <v>Vencida</v>
      </c>
    </row>
    <row r="639" spans="1:16" x14ac:dyDescent="0.3">
      <c r="A639" s="58" t="s">
        <v>929</v>
      </c>
      <c r="B639" s="56" t="s">
        <v>73</v>
      </c>
      <c r="C639" s="50" t="str">
        <f>_xlfn.XLOOKUP(B639,CLIENTES!$A$2:$A$301,CLIENTES!$B$2:$B$301)</f>
        <v>Florencia Vázquez</v>
      </c>
      <c r="D639" s="60">
        <v>45747</v>
      </c>
      <c r="E639" s="60">
        <f t="shared" si="27"/>
        <v>46112</v>
      </c>
      <c r="F639" s="50" t="s">
        <v>1595</v>
      </c>
      <c r="G639" s="56" t="s">
        <v>1601</v>
      </c>
      <c r="H639" s="47">
        <v>19</v>
      </c>
      <c r="I639" s="60">
        <v>39130</v>
      </c>
      <c r="J639" s="56" t="s">
        <v>1611</v>
      </c>
      <c r="K639" s="56">
        <v>2019</v>
      </c>
      <c r="L639" s="52">
        <f t="shared" si="28"/>
        <v>46893.866249999999</v>
      </c>
      <c r="M639" s="56">
        <f>LISTAS!$B$22*_xlfn.XLOOKUP(G639,LISTAS!$B$27:$B$36,LISTAS!$A$27:$A$36)*_xlfn.XLOOKUP(H639,LISTAS!$B$38:$B$47,LISTAS!$A$38:$A$47,,-1)*_xlfn.XLOOKUP(J639,LISTAS!$E$26:$H$26,LISTAS!$E$48:$H$48)*_xlfn.XLOOKUP(F639,LISTAS!$A$15:$A$18,LISTAS!$H$15:$H$18)</f>
        <v>2.3805E-2</v>
      </c>
      <c r="N639" s="54" cm="1">
        <f t="array" ref="N639">_xlfn.XLOOKUP(K639,LISTAS!$D$27:$D$47,_xlfn.XLOOKUP(J639,LISTAS!$E$26:$H$26,LISTAS!$E$27:$H$47))</f>
        <v>23639000</v>
      </c>
      <c r="O639" s="56" t="s">
        <v>1623</v>
      </c>
      <c r="P639" s="76" t="str">
        <f t="shared" ca="1" si="29"/>
        <v>Vencida</v>
      </c>
    </row>
    <row r="640" spans="1:16" x14ac:dyDescent="0.3">
      <c r="A640" s="58" t="s">
        <v>930</v>
      </c>
      <c r="B640" s="56" t="s">
        <v>101</v>
      </c>
      <c r="C640" s="50" t="str">
        <f>_xlfn.XLOOKUP(B640,CLIENTES!$A$2:$A$301,CLIENTES!$B$2:$B$301)</f>
        <v>Sofía Vera</v>
      </c>
      <c r="D640" s="60">
        <v>45171</v>
      </c>
      <c r="E640" s="60">
        <f t="shared" si="27"/>
        <v>45537</v>
      </c>
      <c r="F640" s="50" t="s">
        <v>1597</v>
      </c>
      <c r="G640" s="56" t="s">
        <v>1601</v>
      </c>
      <c r="H640" s="47">
        <v>25</v>
      </c>
      <c r="I640" s="60">
        <v>36914</v>
      </c>
      <c r="J640" s="56" t="s">
        <v>1610</v>
      </c>
      <c r="K640" s="56">
        <v>2006</v>
      </c>
      <c r="L640" s="52">
        <f t="shared" si="28"/>
        <v>21437.449000000001</v>
      </c>
      <c r="M640" s="56">
        <f>LISTAS!$B$22*_xlfn.XLOOKUP(G640,LISTAS!$B$27:$B$36,LISTAS!$A$27:$A$36)*_xlfn.XLOOKUP(H640,LISTAS!$B$38:$B$47,LISTAS!$A$38:$A$47,,-1)*_xlfn.XLOOKUP(J640,LISTAS!$E$26:$H$26,LISTAS!$E$48:$H$48)*_xlfn.XLOOKUP(F640,LISTAS!$A$15:$A$18,LISTAS!$H$15:$H$18)</f>
        <v>3.3396000000000002E-2</v>
      </c>
      <c r="N640" s="54" cm="1">
        <f t="array" ref="N640">_xlfn.XLOOKUP(K640,LISTAS!$D$27:$D$47,_xlfn.XLOOKUP(J640,LISTAS!$E$26:$H$26,LISTAS!$E$27:$H$47))</f>
        <v>7703000</v>
      </c>
      <c r="O640" s="56" t="s">
        <v>1623</v>
      </c>
      <c r="P640" s="76" t="str">
        <f t="shared" ca="1" si="29"/>
        <v>Vencida</v>
      </c>
    </row>
    <row r="641" spans="1:16" x14ac:dyDescent="0.3">
      <c r="A641" s="58" t="s">
        <v>931</v>
      </c>
      <c r="B641" s="56" t="s">
        <v>134</v>
      </c>
      <c r="C641" s="50" t="str">
        <f>_xlfn.XLOOKUP(B641,CLIENTES!$A$2:$A$301,CLIENTES!$B$2:$B$301)</f>
        <v>Micaela Bravo</v>
      </c>
      <c r="D641" s="60">
        <v>45101</v>
      </c>
      <c r="E641" s="60">
        <f t="shared" si="27"/>
        <v>45467</v>
      </c>
      <c r="F641" s="50" t="s">
        <v>1598</v>
      </c>
      <c r="G641" s="56" t="s">
        <v>1602</v>
      </c>
      <c r="H641" s="47">
        <v>39</v>
      </c>
      <c r="I641" s="60">
        <v>31719</v>
      </c>
      <c r="J641" s="56" t="s">
        <v>1612</v>
      </c>
      <c r="K641" s="56">
        <v>2020</v>
      </c>
      <c r="L641" s="52">
        <f t="shared" si="28"/>
        <v>44124.990000000013</v>
      </c>
      <c r="M641" s="56">
        <f>LISTAS!$B$22*_xlfn.XLOOKUP(G641,LISTAS!$B$27:$B$36,LISTAS!$A$27:$A$36)*_xlfn.XLOOKUP(H641,LISTAS!$B$38:$B$47,LISTAS!$A$38:$A$47,,-1)*_xlfn.XLOOKUP(J641,LISTAS!$E$26:$H$26,LISTAS!$E$48:$H$48)*_xlfn.XLOOKUP(F641,LISTAS!$A$15:$A$18,LISTAS!$H$15:$H$18)</f>
        <v>2.8665000000000006E-2</v>
      </c>
      <c r="N641" s="54" cm="1">
        <f t="array" ref="N641">_xlfn.XLOOKUP(K641,LISTAS!$D$27:$D$47,_xlfn.XLOOKUP(J641,LISTAS!$E$26:$H$26,LISTAS!$E$27:$H$47))</f>
        <v>18472000</v>
      </c>
      <c r="O641" s="56" t="s">
        <v>1624</v>
      </c>
      <c r="P641" s="76" t="str">
        <f t="shared" ca="1" si="29"/>
        <v>Vencida</v>
      </c>
    </row>
    <row r="642" spans="1:16" x14ac:dyDescent="0.3">
      <c r="A642" s="58" t="s">
        <v>932</v>
      </c>
      <c r="B642" s="56" t="s">
        <v>14</v>
      </c>
      <c r="C642" s="50" t="str">
        <f>_xlfn.XLOOKUP(B642,CLIENTES!$A$2:$A$301,CLIENTES!$B$2:$B$301)</f>
        <v>Pedro Sánchez</v>
      </c>
      <c r="D642" s="60">
        <v>44630</v>
      </c>
      <c r="E642" s="60">
        <f t="shared" si="27"/>
        <v>44995</v>
      </c>
      <c r="F642" s="50" t="s">
        <v>1595</v>
      </c>
      <c r="G642" s="56" t="s">
        <v>1603</v>
      </c>
      <c r="H642" s="47">
        <v>56</v>
      </c>
      <c r="I642" s="60">
        <v>25521</v>
      </c>
      <c r="J642" s="56" t="s">
        <v>1610</v>
      </c>
      <c r="K642" s="56">
        <v>2013</v>
      </c>
      <c r="L642" s="52">
        <f t="shared" si="28"/>
        <v>13025.925000000001</v>
      </c>
      <c r="M642" s="56">
        <f>LISTAS!$B$22*_xlfn.XLOOKUP(G642,LISTAS!$B$27:$B$36,LISTAS!$A$27:$A$36)*_xlfn.XLOOKUP(H642,LISTAS!$B$38:$B$47,LISTAS!$A$38:$A$47,,-1)*_xlfn.XLOOKUP(J642,LISTAS!$E$26:$H$26,LISTAS!$E$48:$H$48)*_xlfn.XLOOKUP(F642,LISTAS!$A$15:$A$18,LISTAS!$H$15:$H$18)</f>
        <v>1.2540000000000001E-2</v>
      </c>
      <c r="N642" s="54" cm="1">
        <f t="array" ref="N642">_xlfn.XLOOKUP(K642,LISTAS!$D$27:$D$47,_xlfn.XLOOKUP(J642,LISTAS!$E$26:$H$26,LISTAS!$E$27:$H$47))</f>
        <v>12465000</v>
      </c>
      <c r="O642" s="56" t="s">
        <v>1623</v>
      </c>
      <c r="P642" s="76" t="str">
        <f t="shared" ca="1" si="29"/>
        <v>Vencida</v>
      </c>
    </row>
    <row r="643" spans="1:16" x14ac:dyDescent="0.3">
      <c r="A643" s="58" t="s">
        <v>933</v>
      </c>
      <c r="B643" s="56" t="s">
        <v>183</v>
      </c>
      <c r="C643" s="50" t="str">
        <f>_xlfn.XLOOKUP(B643,CLIENTES!$A$2:$A$301,CLIENTES!$B$2:$B$301)</f>
        <v>Julieta Vázquez</v>
      </c>
      <c r="D643" s="60">
        <v>44650</v>
      </c>
      <c r="E643" s="60">
        <f t="shared" ref="E643:E706" si="30">EDATE(D643,12)</f>
        <v>45015</v>
      </c>
      <c r="F643" s="50" t="s">
        <v>1597</v>
      </c>
      <c r="G643" s="56" t="s">
        <v>1607</v>
      </c>
      <c r="H643" s="47">
        <v>44</v>
      </c>
      <c r="I643" s="60">
        <v>30094</v>
      </c>
      <c r="J643" s="56" t="s">
        <v>1611</v>
      </c>
      <c r="K643" s="56">
        <v>2023</v>
      </c>
      <c r="L643" s="52">
        <f t="shared" ref="L643:L706" si="31">(N643*M643)/12</f>
        <v>75948.997666666677</v>
      </c>
      <c r="M643" s="56">
        <f>LISTAS!$B$22*_xlfn.XLOOKUP(G643,LISTAS!$B$27:$B$36,LISTAS!$A$27:$A$36)*_xlfn.XLOOKUP(H643,LISTAS!$B$38:$B$47,LISTAS!$A$38:$A$47,,-1)*_xlfn.XLOOKUP(J643,LISTAS!$E$26:$H$26,LISTAS!$E$48:$H$48)*_xlfn.XLOOKUP(F643,LISTAS!$A$15:$A$18,LISTAS!$H$15:$H$18)</f>
        <v>2.6438500000000004E-2</v>
      </c>
      <c r="N643" s="54" cm="1">
        <f t="array" ref="N643">_xlfn.XLOOKUP(K643,LISTAS!$D$27:$D$47,_xlfn.XLOOKUP(J643,LISTAS!$E$26:$H$26,LISTAS!$E$27:$H$47))</f>
        <v>34472000</v>
      </c>
      <c r="O643" s="56" t="s">
        <v>1624</v>
      </c>
      <c r="P643" s="76" t="str">
        <f t="shared" ref="P643:P706" ca="1" si="32">IF(TODAY()&lt;D643,"Pendiente",IF(TODAY()&gt;E643,"Vencida","Vigente"))</f>
        <v>Vencida</v>
      </c>
    </row>
    <row r="644" spans="1:16" x14ac:dyDescent="0.3">
      <c r="A644" s="58" t="s">
        <v>934</v>
      </c>
      <c r="B644" s="56" t="s">
        <v>225</v>
      </c>
      <c r="C644" s="50" t="str">
        <f>_xlfn.XLOOKUP(B644,CLIENTES!$A$2:$A$301,CLIENTES!$B$2:$B$301)</f>
        <v>Lucía Quiroga</v>
      </c>
      <c r="D644" s="60">
        <v>44597</v>
      </c>
      <c r="E644" s="60">
        <f t="shared" si="30"/>
        <v>44962</v>
      </c>
      <c r="F644" s="50" t="s">
        <v>1598</v>
      </c>
      <c r="G644" s="56" t="s">
        <v>1601</v>
      </c>
      <c r="H644" s="47">
        <v>38</v>
      </c>
      <c r="I644" s="60">
        <v>32017</v>
      </c>
      <c r="J644" s="56" t="s">
        <v>1612</v>
      </c>
      <c r="K644" s="56">
        <v>2009</v>
      </c>
      <c r="L644" s="52">
        <f t="shared" si="31"/>
        <v>19514.608750000003</v>
      </c>
      <c r="M644" s="56">
        <f>LISTAS!$B$22*_xlfn.XLOOKUP(G644,LISTAS!$B$27:$B$36,LISTAS!$A$27:$A$36)*_xlfn.XLOOKUP(H644,LISTAS!$B$38:$B$47,LISTAS!$A$38:$A$47,,-1)*_xlfn.XLOOKUP(J644,LISTAS!$E$26:$H$26,LISTAS!$E$48:$H$48)*_xlfn.XLOOKUP(F644,LISTAS!$A$15:$A$18,LISTAS!$H$15:$H$18)</f>
        <v>3.1395000000000006E-2</v>
      </c>
      <c r="N644" s="54" cm="1">
        <f t="array" ref="N644">_xlfn.XLOOKUP(K644,LISTAS!$D$27:$D$47,_xlfn.XLOOKUP(J644,LISTAS!$E$26:$H$26,LISTAS!$E$27:$H$47))</f>
        <v>7459000</v>
      </c>
      <c r="O644" s="56" t="s">
        <v>1624</v>
      </c>
      <c r="P644" s="76" t="str">
        <f t="shared" ca="1" si="32"/>
        <v>Vencida</v>
      </c>
    </row>
    <row r="645" spans="1:16" x14ac:dyDescent="0.3">
      <c r="A645" s="58" t="s">
        <v>935</v>
      </c>
      <c r="B645" s="56" t="s">
        <v>170</v>
      </c>
      <c r="C645" s="50" t="str">
        <f>_xlfn.XLOOKUP(B645,CLIENTES!$A$2:$A$301,CLIENTES!$B$2:$B$301)</f>
        <v>Camila Sosa</v>
      </c>
      <c r="D645" s="60">
        <v>44631</v>
      </c>
      <c r="E645" s="60">
        <f t="shared" si="30"/>
        <v>44996</v>
      </c>
      <c r="F645" s="50" t="s">
        <v>1597</v>
      </c>
      <c r="G645" s="56" t="s">
        <v>1600</v>
      </c>
      <c r="H645" s="47">
        <v>47</v>
      </c>
      <c r="I645" s="60">
        <v>28827</v>
      </c>
      <c r="J645" s="56" t="s">
        <v>1612</v>
      </c>
      <c r="K645" s="56">
        <v>2025</v>
      </c>
      <c r="L645" s="52">
        <f t="shared" si="31"/>
        <v>61914.159999999996</v>
      </c>
      <c r="M645" s="56">
        <f>LISTAS!$B$22*_xlfn.XLOOKUP(G645,LISTAS!$B$27:$B$36,LISTAS!$A$27:$A$36)*_xlfn.XLOOKUP(H645,LISTAS!$B$38:$B$47,LISTAS!$A$38:$A$47,,-1)*_xlfn.XLOOKUP(J645,LISTAS!$E$26:$H$26,LISTAS!$E$48:$H$48)*_xlfn.XLOOKUP(F645,LISTAS!$A$15:$A$18,LISTAS!$H$15:$H$18)</f>
        <v>2.5236749999999999E-2</v>
      </c>
      <c r="N645" s="54" cm="1">
        <f t="array" ref="N645">_xlfn.XLOOKUP(K645,LISTAS!$D$27:$D$47,_xlfn.XLOOKUP(J645,LISTAS!$E$26:$H$26,LISTAS!$E$27:$H$47))</f>
        <v>29440000</v>
      </c>
      <c r="O645" s="56" t="s">
        <v>1623</v>
      </c>
      <c r="P645" s="76" t="str">
        <f t="shared" ca="1" si="32"/>
        <v>Vencida</v>
      </c>
    </row>
    <row r="646" spans="1:16" x14ac:dyDescent="0.3">
      <c r="A646" s="58" t="s">
        <v>936</v>
      </c>
      <c r="B646" s="56" t="s">
        <v>159</v>
      </c>
      <c r="C646" s="50" t="str">
        <f>_xlfn.XLOOKUP(B646,CLIENTES!$A$2:$A$301,CLIENTES!$B$2:$B$301)</f>
        <v>Rodrigo Castro</v>
      </c>
      <c r="D646" s="60">
        <v>45898</v>
      </c>
      <c r="E646" s="60">
        <f t="shared" si="30"/>
        <v>46263</v>
      </c>
      <c r="F646" s="50" t="s">
        <v>1595</v>
      </c>
      <c r="G646" s="56" t="s">
        <v>1607</v>
      </c>
      <c r="H646" s="47">
        <v>23</v>
      </c>
      <c r="I646" s="60">
        <v>37663</v>
      </c>
      <c r="J646" s="56" t="s">
        <v>1610</v>
      </c>
      <c r="K646" s="56">
        <v>2022</v>
      </c>
      <c r="L646" s="52">
        <f t="shared" si="31"/>
        <v>45548.514000000003</v>
      </c>
      <c r="M646" s="56">
        <f>LISTAS!$B$22*_xlfn.XLOOKUP(G646,LISTAS!$B$27:$B$36,LISTAS!$A$27:$A$36)*_xlfn.XLOOKUP(H646,LISTAS!$B$38:$B$47,LISTAS!$A$38:$A$47,,-1)*_xlfn.XLOOKUP(J646,LISTAS!$E$26:$H$26,LISTAS!$E$48:$H$48)*_xlfn.XLOOKUP(F646,LISTAS!$A$15:$A$18,LISTAS!$H$15:$H$18)</f>
        <v>1.9602000000000001E-2</v>
      </c>
      <c r="N646" s="54" cm="1">
        <f t="array" ref="N646">_xlfn.XLOOKUP(K646,LISTAS!$D$27:$D$47,_xlfn.XLOOKUP(J646,LISTAS!$E$26:$H$26,LISTAS!$E$27:$H$47))</f>
        <v>27884000</v>
      </c>
      <c r="O646" s="56" t="s">
        <v>1624</v>
      </c>
      <c r="P646" s="76" t="str">
        <f t="shared" ca="1" si="32"/>
        <v>Vencida</v>
      </c>
    </row>
    <row r="647" spans="1:16" x14ac:dyDescent="0.3">
      <c r="A647" s="58" t="s">
        <v>937</v>
      </c>
      <c r="B647" s="56" t="s">
        <v>171</v>
      </c>
      <c r="C647" s="50" t="str">
        <f>_xlfn.XLOOKUP(B647,CLIENTES!$A$2:$A$301,CLIENTES!$B$2:$B$301)</f>
        <v>Julieta Rojas</v>
      </c>
      <c r="D647" s="60">
        <v>46069</v>
      </c>
      <c r="E647" s="60">
        <f t="shared" si="30"/>
        <v>46434</v>
      </c>
      <c r="F647" s="50" t="s">
        <v>1598</v>
      </c>
      <c r="G647" s="56" t="s">
        <v>1600</v>
      </c>
      <c r="H647" s="47">
        <v>19</v>
      </c>
      <c r="I647" s="60">
        <v>39168</v>
      </c>
      <c r="J647" s="56" t="s">
        <v>1612</v>
      </c>
      <c r="K647" s="56">
        <v>2007</v>
      </c>
      <c r="L647" s="52">
        <f t="shared" si="31"/>
        <v>25728.202500000003</v>
      </c>
      <c r="M647" s="56">
        <f>LISTAS!$B$22*_xlfn.XLOOKUP(G647,LISTAS!$B$27:$B$36,LISTAS!$A$27:$A$36)*_xlfn.XLOOKUP(H647,LISTAS!$B$38:$B$47,LISTAS!$A$38:$A$47,,-1)*_xlfn.XLOOKUP(J647,LISTAS!$E$26:$H$26,LISTAS!$E$48:$H$48)*_xlfn.XLOOKUP(F647,LISTAS!$A$15:$A$18,LISTAS!$H$15:$H$18)</f>
        <v>4.7092500000000009E-2</v>
      </c>
      <c r="N647" s="54" cm="1">
        <f t="array" ref="N647">_xlfn.XLOOKUP(K647,LISTAS!$D$27:$D$47,_xlfn.XLOOKUP(J647,LISTAS!$E$26:$H$26,LISTAS!$E$27:$H$47))</f>
        <v>6556000</v>
      </c>
      <c r="O647" s="56" t="s">
        <v>1623</v>
      </c>
      <c r="P647" s="76" t="str">
        <f t="shared" ca="1" si="32"/>
        <v>Vigente</v>
      </c>
    </row>
    <row r="648" spans="1:16" x14ac:dyDescent="0.3">
      <c r="A648" s="58" t="s">
        <v>938</v>
      </c>
      <c r="B648" s="56" t="s">
        <v>142</v>
      </c>
      <c r="C648" s="50" t="str">
        <f>_xlfn.XLOOKUP(B648,CLIENTES!$A$2:$A$301,CLIENTES!$B$2:$B$301)</f>
        <v>Lucía Vega</v>
      </c>
      <c r="D648" s="60">
        <v>44611</v>
      </c>
      <c r="E648" s="60">
        <f t="shared" si="30"/>
        <v>44976</v>
      </c>
      <c r="F648" s="50" t="s">
        <v>1598</v>
      </c>
      <c r="G648" s="56" t="s">
        <v>1602</v>
      </c>
      <c r="H648" s="47">
        <v>49</v>
      </c>
      <c r="I648" s="60">
        <v>28354</v>
      </c>
      <c r="J648" s="56" t="s">
        <v>1612</v>
      </c>
      <c r="K648" s="56">
        <v>2017</v>
      </c>
      <c r="L648" s="52">
        <f t="shared" si="31"/>
        <v>31588.83</v>
      </c>
      <c r="M648" s="56">
        <f>LISTAS!$B$22*_xlfn.XLOOKUP(G648,LISTAS!$B$27:$B$36,LISTAS!$A$27:$A$36)*_xlfn.XLOOKUP(H648,LISTAS!$B$38:$B$47,LISTAS!$A$38:$A$47,,-1)*_xlfn.XLOOKUP(J648,LISTAS!$E$26:$H$26,LISTAS!$E$48:$H$48)*_xlfn.XLOOKUP(F648,LISTAS!$A$15:$A$18,LISTAS!$H$15:$H$18)</f>
        <v>2.7231750000000002E-2</v>
      </c>
      <c r="N648" s="54" cm="1">
        <f t="array" ref="N648">_xlfn.XLOOKUP(K648,LISTAS!$D$27:$D$47,_xlfn.XLOOKUP(J648,LISTAS!$E$26:$H$26,LISTAS!$E$27:$H$47))</f>
        <v>13920000</v>
      </c>
      <c r="O648" s="56" t="s">
        <v>1626</v>
      </c>
      <c r="P648" s="76" t="str">
        <f t="shared" ca="1" si="32"/>
        <v>Vencida</v>
      </c>
    </row>
    <row r="649" spans="1:16" x14ac:dyDescent="0.3">
      <c r="A649" s="58" t="s">
        <v>939</v>
      </c>
      <c r="B649" s="56" t="s">
        <v>97</v>
      </c>
      <c r="C649" s="50" t="str">
        <f>_xlfn.XLOOKUP(B649,CLIENTES!$A$2:$A$301,CLIENTES!$B$2:$B$301)</f>
        <v>Florencia Romero</v>
      </c>
      <c r="D649" s="60">
        <v>45300</v>
      </c>
      <c r="E649" s="60">
        <f t="shared" si="30"/>
        <v>45666</v>
      </c>
      <c r="F649" s="50" t="s">
        <v>1596</v>
      </c>
      <c r="G649" s="56" t="s">
        <v>1607</v>
      </c>
      <c r="H649" s="47">
        <v>75</v>
      </c>
      <c r="I649" s="60">
        <v>18752</v>
      </c>
      <c r="J649" s="56" t="s">
        <v>1612</v>
      </c>
      <c r="K649" s="56">
        <v>2025</v>
      </c>
      <c r="L649" s="52">
        <f t="shared" si="31"/>
        <v>69848.240000000005</v>
      </c>
      <c r="M649" s="56">
        <f>LISTAS!$B$22*_xlfn.XLOOKUP(G649,LISTAS!$B$27:$B$36,LISTAS!$A$27:$A$36)*_xlfn.XLOOKUP(H649,LISTAS!$B$38:$B$47,LISTAS!$A$38:$A$47,,-1)*_xlfn.XLOOKUP(J649,LISTAS!$E$26:$H$26,LISTAS!$E$48:$H$48)*_xlfn.XLOOKUP(F649,LISTAS!$A$15:$A$18,LISTAS!$H$15:$H$18)</f>
        <v>2.8470750000000003E-2</v>
      </c>
      <c r="N649" s="54" cm="1">
        <f t="array" ref="N649">_xlfn.XLOOKUP(K649,LISTAS!$D$27:$D$47,_xlfn.XLOOKUP(J649,LISTAS!$E$26:$H$26,LISTAS!$E$27:$H$47))</f>
        <v>29440000</v>
      </c>
      <c r="O649" s="56" t="s">
        <v>1623</v>
      </c>
      <c r="P649" s="76" t="str">
        <f t="shared" ca="1" si="32"/>
        <v>Vencida</v>
      </c>
    </row>
    <row r="650" spans="1:16" x14ac:dyDescent="0.3">
      <c r="A650" s="58" t="s">
        <v>940</v>
      </c>
      <c r="B650" s="56" t="s">
        <v>73</v>
      </c>
      <c r="C650" s="50" t="str">
        <f>_xlfn.XLOOKUP(B650,CLIENTES!$A$2:$A$301,CLIENTES!$B$2:$B$301)</f>
        <v>Florencia Vázquez</v>
      </c>
      <c r="D650" s="60">
        <v>44939</v>
      </c>
      <c r="E650" s="60">
        <f t="shared" si="30"/>
        <v>45304</v>
      </c>
      <c r="F650" s="50" t="s">
        <v>1598</v>
      </c>
      <c r="G650" s="56" t="s">
        <v>1604</v>
      </c>
      <c r="H650" s="47">
        <v>70</v>
      </c>
      <c r="I650" s="60">
        <v>20506</v>
      </c>
      <c r="J650" s="56" t="s">
        <v>1612</v>
      </c>
      <c r="K650" s="56">
        <v>2024</v>
      </c>
      <c r="L650" s="52">
        <f t="shared" si="31"/>
        <v>90087.406499999997</v>
      </c>
      <c r="M650" s="56">
        <f>LISTAS!$B$22*_xlfn.XLOOKUP(G650,LISTAS!$B$27:$B$36,LISTAS!$A$27:$A$36)*_xlfn.XLOOKUP(H650,LISTAS!$B$38:$B$47,LISTAS!$A$38:$A$47,,-1)*_xlfn.XLOOKUP(J650,LISTAS!$E$26:$H$26,LISTAS!$E$48:$H$48)*_xlfn.XLOOKUP(F650,LISTAS!$A$15:$A$18,LISTAS!$H$15:$H$18)</f>
        <v>4.0131E-2</v>
      </c>
      <c r="N650" s="54" cm="1">
        <f t="array" ref="N650">_xlfn.XLOOKUP(K650,LISTAS!$D$27:$D$47,_xlfn.XLOOKUP(J650,LISTAS!$E$26:$H$26,LISTAS!$E$27:$H$47))</f>
        <v>26938000</v>
      </c>
      <c r="O650" s="56" t="s">
        <v>1623</v>
      </c>
      <c r="P650" s="76" t="str">
        <f t="shared" ca="1" si="32"/>
        <v>Vencida</v>
      </c>
    </row>
    <row r="651" spans="1:16" x14ac:dyDescent="0.3">
      <c r="A651" s="58" t="s">
        <v>941</v>
      </c>
      <c r="B651" s="56" t="s">
        <v>215</v>
      </c>
      <c r="C651" s="50" t="str">
        <f>_xlfn.XLOOKUP(B651,CLIENTES!$A$2:$A$301,CLIENTES!$B$2:$B$301)</f>
        <v>Facundo Sánchez</v>
      </c>
      <c r="D651" s="60">
        <v>45411</v>
      </c>
      <c r="E651" s="60">
        <f t="shared" si="30"/>
        <v>45776</v>
      </c>
      <c r="F651" s="50" t="s">
        <v>1598</v>
      </c>
      <c r="G651" s="56" t="s">
        <v>1605</v>
      </c>
      <c r="H651" s="47">
        <v>76</v>
      </c>
      <c r="I651" s="60">
        <v>18247</v>
      </c>
      <c r="J651" s="56" t="s">
        <v>1609</v>
      </c>
      <c r="K651" s="56">
        <v>2009</v>
      </c>
      <c r="L651" s="52">
        <f t="shared" si="31"/>
        <v>16478.670000000002</v>
      </c>
      <c r="M651" s="56">
        <f>LISTAS!$B$22*_xlfn.XLOOKUP(G651,LISTAS!$B$27:$B$36,LISTAS!$A$27:$A$36)*_xlfn.XLOOKUP(H651,LISTAS!$B$38:$B$47,LISTAS!$A$38:$A$47,,-1)*_xlfn.XLOOKUP(J651,LISTAS!$E$26:$H$26,LISTAS!$E$48:$H$48)*_xlfn.XLOOKUP(F651,LISTAS!$A$15:$A$18,LISTAS!$H$15:$H$18)</f>
        <v>3.3930000000000002E-2</v>
      </c>
      <c r="N651" s="54" cm="1">
        <f t="array" ref="N651">_xlfn.XLOOKUP(K651,LISTAS!$D$27:$D$47,_xlfn.XLOOKUP(J651,LISTAS!$E$26:$H$26,LISTAS!$E$27:$H$47))</f>
        <v>5828000</v>
      </c>
      <c r="O651" s="56" t="s">
        <v>1624</v>
      </c>
      <c r="P651" s="76" t="str">
        <f t="shared" ca="1" si="32"/>
        <v>Vencida</v>
      </c>
    </row>
    <row r="652" spans="1:16" x14ac:dyDescent="0.3">
      <c r="A652" s="58" t="s">
        <v>942</v>
      </c>
      <c r="B652" s="56" t="s">
        <v>59</v>
      </c>
      <c r="C652" s="50" t="str">
        <f>_xlfn.XLOOKUP(B652,CLIENTES!$A$2:$A$301,CLIENTES!$B$2:$B$301)</f>
        <v>Lautaro Arias</v>
      </c>
      <c r="D652" s="60">
        <v>44706</v>
      </c>
      <c r="E652" s="60">
        <f t="shared" si="30"/>
        <v>45071</v>
      </c>
      <c r="F652" s="50" t="s">
        <v>1596</v>
      </c>
      <c r="G652" s="56" t="s">
        <v>1605</v>
      </c>
      <c r="H652" s="47">
        <v>69</v>
      </c>
      <c r="I652" s="60">
        <v>20960</v>
      </c>
      <c r="J652" s="56" t="s">
        <v>1611</v>
      </c>
      <c r="K652" s="56">
        <v>2016</v>
      </c>
      <c r="L652" s="52">
        <f t="shared" si="31"/>
        <v>30202.990499999996</v>
      </c>
      <c r="M652" s="56">
        <f>LISTAS!$B$22*_xlfn.XLOOKUP(G652,LISTAS!$B$27:$B$36,LISTAS!$A$27:$A$36)*_xlfn.XLOOKUP(H652,LISTAS!$B$38:$B$47,LISTAS!$A$38:$A$47,,-1)*_xlfn.XLOOKUP(J652,LISTAS!$E$26:$H$26,LISTAS!$E$48:$H$48)*_xlfn.XLOOKUP(F652,LISTAS!$A$15:$A$18,LISTAS!$H$15:$H$18)</f>
        <v>2.0234249999999995E-2</v>
      </c>
      <c r="N652" s="54" cm="1">
        <f t="array" ref="N652">_xlfn.XLOOKUP(K652,LISTAS!$D$27:$D$47,_xlfn.XLOOKUP(J652,LISTAS!$E$26:$H$26,LISTAS!$E$27:$H$47))</f>
        <v>17912000</v>
      </c>
      <c r="O652" s="56" t="s">
        <v>1623</v>
      </c>
      <c r="P652" s="76" t="str">
        <f t="shared" ca="1" si="32"/>
        <v>Vencida</v>
      </c>
    </row>
    <row r="653" spans="1:16" x14ac:dyDescent="0.3">
      <c r="A653" s="58" t="s">
        <v>943</v>
      </c>
      <c r="B653" s="56" t="s">
        <v>118</v>
      </c>
      <c r="C653" s="50" t="str">
        <f>_xlfn.XLOOKUP(B653,CLIENTES!$A$2:$A$301,CLIENTES!$B$2:$B$301)</f>
        <v>Joaquín Ramírez</v>
      </c>
      <c r="D653" s="60">
        <v>44964</v>
      </c>
      <c r="E653" s="60">
        <f t="shared" si="30"/>
        <v>45329</v>
      </c>
      <c r="F653" s="50" t="s">
        <v>1598</v>
      </c>
      <c r="G653" s="56" t="s">
        <v>1607</v>
      </c>
      <c r="H653" s="47">
        <v>60</v>
      </c>
      <c r="I653" s="60">
        <v>24138</v>
      </c>
      <c r="J653" s="56" t="s">
        <v>1612</v>
      </c>
      <c r="K653" s="56">
        <v>2017</v>
      </c>
      <c r="L653" s="52">
        <f t="shared" si="31"/>
        <v>36576.54</v>
      </c>
      <c r="M653" s="56">
        <f>LISTAS!$B$22*_xlfn.XLOOKUP(G653,LISTAS!$B$27:$B$36,LISTAS!$A$27:$A$36)*_xlfn.XLOOKUP(H653,LISTAS!$B$38:$B$47,LISTAS!$A$38:$A$47,,-1)*_xlfn.XLOOKUP(J653,LISTAS!$E$26:$H$26,LISTAS!$E$48:$H$48)*_xlfn.XLOOKUP(F653,LISTAS!$A$15:$A$18,LISTAS!$H$15:$H$18)</f>
        <v>3.1531500000000004E-2</v>
      </c>
      <c r="N653" s="54" cm="1">
        <f t="array" ref="N653">_xlfn.XLOOKUP(K653,LISTAS!$D$27:$D$47,_xlfn.XLOOKUP(J653,LISTAS!$E$26:$H$26,LISTAS!$E$27:$H$47))</f>
        <v>13920000</v>
      </c>
      <c r="O653" s="56" t="s">
        <v>1626</v>
      </c>
      <c r="P653" s="76" t="str">
        <f t="shared" ca="1" si="32"/>
        <v>Vencida</v>
      </c>
    </row>
    <row r="654" spans="1:16" x14ac:dyDescent="0.3">
      <c r="A654" s="58" t="s">
        <v>944</v>
      </c>
      <c r="B654" s="56" t="s">
        <v>227</v>
      </c>
      <c r="C654" s="50" t="str">
        <f>_xlfn.XLOOKUP(B654,CLIENTES!$A$2:$A$301,CLIENTES!$B$2:$B$301)</f>
        <v>Ignacio Molina</v>
      </c>
      <c r="D654" s="60">
        <v>45563</v>
      </c>
      <c r="E654" s="60">
        <f t="shared" si="30"/>
        <v>45928</v>
      </c>
      <c r="F654" s="50" t="s">
        <v>1597</v>
      </c>
      <c r="G654" s="56" t="s">
        <v>1607</v>
      </c>
      <c r="H654" s="47">
        <v>58</v>
      </c>
      <c r="I654" s="60">
        <v>24873</v>
      </c>
      <c r="J654" s="56" t="s">
        <v>1609</v>
      </c>
      <c r="K654" s="56">
        <v>2023</v>
      </c>
      <c r="L654" s="52">
        <f t="shared" si="31"/>
        <v>38621.183333333342</v>
      </c>
      <c r="M654" s="56">
        <f>LISTAS!$B$22*_xlfn.XLOOKUP(G654,LISTAS!$B$27:$B$36,LISTAS!$A$27:$A$36)*_xlfn.XLOOKUP(H654,LISTAS!$B$38:$B$47,LISTAS!$A$38:$A$47,,-1)*_xlfn.XLOOKUP(J654,LISTAS!$E$26:$H$26,LISTAS!$E$48:$H$48)*_xlfn.XLOOKUP(F654,LISTAS!$A$15:$A$18,LISTAS!$H$15:$H$18)</f>
        <v>2.4200000000000003E-2</v>
      </c>
      <c r="N654" s="54" cm="1">
        <f t="array" ref="N654">_xlfn.XLOOKUP(K654,LISTAS!$D$27:$D$47,_xlfn.XLOOKUP(J654,LISTAS!$E$26:$H$26,LISTAS!$E$27:$H$47))</f>
        <v>19151000</v>
      </c>
      <c r="O654" s="56" t="s">
        <v>1623</v>
      </c>
      <c r="P654" s="76" t="str">
        <f t="shared" ca="1" si="32"/>
        <v>Vencida</v>
      </c>
    </row>
    <row r="655" spans="1:16" x14ac:dyDescent="0.3">
      <c r="A655" s="58" t="s">
        <v>945</v>
      </c>
      <c r="B655" s="56" t="s">
        <v>73</v>
      </c>
      <c r="C655" s="50" t="str">
        <f>_xlfn.XLOOKUP(B655,CLIENTES!$A$2:$A$301,CLIENTES!$B$2:$B$301)</f>
        <v>Florencia Vázquez</v>
      </c>
      <c r="D655" s="60">
        <v>45158</v>
      </c>
      <c r="E655" s="60">
        <f t="shared" si="30"/>
        <v>45524</v>
      </c>
      <c r="F655" s="50" t="s">
        <v>1596</v>
      </c>
      <c r="G655" s="56" t="s">
        <v>1608</v>
      </c>
      <c r="H655" s="47">
        <v>35</v>
      </c>
      <c r="I655" s="60">
        <v>33107</v>
      </c>
      <c r="J655" s="56" t="s">
        <v>1610</v>
      </c>
      <c r="K655" s="56">
        <v>2010</v>
      </c>
      <c r="L655" s="52">
        <f t="shared" si="31"/>
        <v>14764.195416666667</v>
      </c>
      <c r="M655" s="56">
        <f>LISTAS!$B$22*_xlfn.XLOOKUP(G655,LISTAS!$B$27:$B$36,LISTAS!$A$27:$A$36)*_xlfn.XLOOKUP(H655,LISTAS!$B$38:$B$47,LISTAS!$A$38:$A$47,,-1)*_xlfn.XLOOKUP(J655,LISTAS!$E$26:$H$26,LISTAS!$E$48:$H$48)*_xlfn.XLOOKUP(F655,LISTAS!$A$15:$A$18,LISTAS!$H$15:$H$18)</f>
        <v>1.7765E-2</v>
      </c>
      <c r="N655" s="54" cm="1">
        <f t="array" ref="N655">_xlfn.XLOOKUP(K655,LISTAS!$D$27:$D$47,_xlfn.XLOOKUP(J655,LISTAS!$E$26:$H$26,LISTAS!$E$27:$H$47))</f>
        <v>9973000</v>
      </c>
      <c r="O655" s="56" t="s">
        <v>1623</v>
      </c>
      <c r="P655" s="76" t="str">
        <f t="shared" ca="1" si="32"/>
        <v>Vencida</v>
      </c>
    </row>
    <row r="656" spans="1:16" x14ac:dyDescent="0.3">
      <c r="A656" s="58" t="s">
        <v>946</v>
      </c>
      <c r="B656" s="56" t="s">
        <v>178</v>
      </c>
      <c r="C656" s="50" t="str">
        <f>_xlfn.XLOOKUP(B656,CLIENTES!$A$2:$A$301,CLIENTES!$B$2:$B$301)</f>
        <v>Lautaro Ortiz</v>
      </c>
      <c r="D656" s="60">
        <v>46139</v>
      </c>
      <c r="E656" s="60">
        <f t="shared" si="30"/>
        <v>46504</v>
      </c>
      <c r="F656" s="50" t="s">
        <v>1598</v>
      </c>
      <c r="G656" s="56" t="s">
        <v>1607</v>
      </c>
      <c r="H656" s="47">
        <v>69</v>
      </c>
      <c r="I656" s="60">
        <v>20804</v>
      </c>
      <c r="J656" s="56" t="s">
        <v>1611</v>
      </c>
      <c r="K656" s="56">
        <v>2013</v>
      </c>
      <c r="L656" s="52">
        <f t="shared" si="31"/>
        <v>44199.911708333326</v>
      </c>
      <c r="M656" s="56">
        <f>LISTAS!$B$22*_xlfn.XLOOKUP(G656,LISTAS!$B$27:$B$36,LISTAS!$A$27:$A$36)*_xlfn.XLOOKUP(H656,LISTAS!$B$38:$B$47,LISTAS!$A$38:$A$47,,-1)*_xlfn.XLOOKUP(J656,LISTAS!$E$26:$H$26,LISTAS!$E$48:$H$48)*_xlfn.XLOOKUP(F656,LISTAS!$A$15:$A$18,LISTAS!$H$15:$H$18)</f>
        <v>3.7823499999999996E-2</v>
      </c>
      <c r="N656" s="54" cm="1">
        <f t="array" ref="N656">_xlfn.XLOOKUP(K656,LISTAS!$D$27:$D$47,_xlfn.XLOOKUP(J656,LISTAS!$E$26:$H$26,LISTAS!$E$27:$H$47))</f>
        <v>14023000</v>
      </c>
      <c r="O656" s="56" t="s">
        <v>1623</v>
      </c>
      <c r="P656" s="76" t="str">
        <f t="shared" ca="1" si="32"/>
        <v>Vigente</v>
      </c>
    </row>
    <row r="657" spans="1:16" x14ac:dyDescent="0.3">
      <c r="A657" s="58" t="s">
        <v>947</v>
      </c>
      <c r="B657" s="56" t="s">
        <v>127</v>
      </c>
      <c r="C657" s="50" t="str">
        <f>_xlfn.XLOOKUP(B657,CLIENTES!$A$2:$A$301,CLIENTES!$B$2:$B$301)</f>
        <v>Franco Díaz</v>
      </c>
      <c r="D657" s="60">
        <v>44718</v>
      </c>
      <c r="E657" s="60">
        <f t="shared" si="30"/>
        <v>45083</v>
      </c>
      <c r="F657" s="50" t="s">
        <v>1595</v>
      </c>
      <c r="G657" s="56" t="s">
        <v>1600</v>
      </c>
      <c r="H657" s="47">
        <v>77</v>
      </c>
      <c r="I657" s="60">
        <v>18123</v>
      </c>
      <c r="J657" s="56" t="s">
        <v>1609</v>
      </c>
      <c r="K657" s="56">
        <v>2025</v>
      </c>
      <c r="L657" s="52">
        <f t="shared" si="31"/>
        <v>38352.499999999993</v>
      </c>
      <c r="M657" s="56">
        <f>LISTAS!$B$22*_xlfn.XLOOKUP(G657,LISTAS!$B$27:$B$36,LISTAS!$A$27:$A$36)*_xlfn.XLOOKUP(H657,LISTAS!$B$38:$B$47,LISTAS!$A$38:$A$47,,-1)*_xlfn.XLOOKUP(J657,LISTAS!$E$26:$H$26,LISTAS!$E$48:$H$48)*_xlfn.XLOOKUP(F657,LISTAS!$A$15:$A$18,LISTAS!$H$15:$H$18)</f>
        <v>2.0009999999999997E-2</v>
      </c>
      <c r="N657" s="54" cm="1">
        <f t="array" ref="N657">_xlfn.XLOOKUP(K657,LISTAS!$D$27:$D$47,_xlfn.XLOOKUP(J657,LISTAS!$E$26:$H$26,LISTAS!$E$27:$H$47))</f>
        <v>23000000</v>
      </c>
      <c r="O657" s="56" t="s">
        <v>1623</v>
      </c>
      <c r="P657" s="76" t="str">
        <f t="shared" ca="1" si="32"/>
        <v>Vencida</v>
      </c>
    </row>
    <row r="658" spans="1:16" x14ac:dyDescent="0.3">
      <c r="A658" s="58" t="s">
        <v>948</v>
      </c>
      <c r="B658" s="56" t="s">
        <v>78</v>
      </c>
      <c r="C658" s="50" t="str">
        <f>_xlfn.XLOOKUP(B658,CLIENTES!$A$2:$A$301,CLIENTES!$B$2:$B$301)</f>
        <v>Sofía Luna</v>
      </c>
      <c r="D658" s="60">
        <v>45048</v>
      </c>
      <c r="E658" s="60">
        <f t="shared" si="30"/>
        <v>45414</v>
      </c>
      <c r="F658" s="50" t="s">
        <v>1597</v>
      </c>
      <c r="G658" s="56" t="s">
        <v>1603</v>
      </c>
      <c r="H658" s="47">
        <v>79</v>
      </c>
      <c r="I658" s="60">
        <v>17318</v>
      </c>
      <c r="J658" s="56" t="s">
        <v>1610</v>
      </c>
      <c r="K658" s="56">
        <v>2024</v>
      </c>
      <c r="L658" s="52">
        <f t="shared" si="31"/>
        <v>93539.413000000015</v>
      </c>
      <c r="M658" s="56">
        <f>LISTAS!$B$22*_xlfn.XLOOKUP(G658,LISTAS!$B$27:$B$36,LISTAS!$A$27:$A$36)*_xlfn.XLOOKUP(H658,LISTAS!$B$38:$B$47,LISTAS!$A$38:$A$47,,-1)*_xlfn.XLOOKUP(J658,LISTAS!$E$26:$H$26,LISTAS!$E$48:$H$48)*_xlfn.XLOOKUP(F658,LISTAS!$A$15:$A$18,LISTAS!$H$15:$H$18)</f>
        <v>3.3335500000000004E-2</v>
      </c>
      <c r="N658" s="54" cm="1">
        <f t="array" ref="N658">_xlfn.XLOOKUP(K658,LISTAS!$D$27:$D$47,_xlfn.XLOOKUP(J658,LISTAS!$E$26:$H$26,LISTAS!$E$27:$H$47))</f>
        <v>33672000</v>
      </c>
      <c r="O658" s="56" t="s">
        <v>1623</v>
      </c>
      <c r="P658" s="76" t="str">
        <f t="shared" ca="1" si="32"/>
        <v>Vencida</v>
      </c>
    </row>
    <row r="659" spans="1:16" x14ac:dyDescent="0.3">
      <c r="A659" s="58" t="s">
        <v>949</v>
      </c>
      <c r="B659" s="56" t="s">
        <v>223</v>
      </c>
      <c r="C659" s="50" t="str">
        <f>_xlfn.XLOOKUP(B659,CLIENTES!$A$2:$A$301,CLIENTES!$B$2:$B$301)</f>
        <v>Daniel Herrera</v>
      </c>
      <c r="D659" s="60">
        <v>44841</v>
      </c>
      <c r="E659" s="60">
        <f t="shared" si="30"/>
        <v>45206</v>
      </c>
      <c r="F659" s="50" t="s">
        <v>1596</v>
      </c>
      <c r="G659" s="56" t="s">
        <v>1601</v>
      </c>
      <c r="H659" s="47">
        <v>55</v>
      </c>
      <c r="I659" s="60">
        <v>26030</v>
      </c>
      <c r="J659" s="56" t="s">
        <v>1610</v>
      </c>
      <c r="K659" s="56">
        <v>2024</v>
      </c>
      <c r="L659" s="52">
        <f t="shared" si="31"/>
        <v>60343.030000000006</v>
      </c>
      <c r="M659" s="56">
        <f>LISTAS!$B$22*_xlfn.XLOOKUP(G659,LISTAS!$B$27:$B$36,LISTAS!$A$27:$A$36)*_xlfn.XLOOKUP(H659,LISTAS!$B$38:$B$47,LISTAS!$A$38:$A$47,,-1)*_xlfn.XLOOKUP(J659,LISTAS!$E$26:$H$26,LISTAS!$E$48:$H$48)*_xlfn.XLOOKUP(F659,LISTAS!$A$15:$A$18,LISTAS!$H$15:$H$18)</f>
        <v>2.1505000000000003E-2</v>
      </c>
      <c r="N659" s="54" cm="1">
        <f t="array" ref="N659">_xlfn.XLOOKUP(K659,LISTAS!$D$27:$D$47,_xlfn.XLOOKUP(J659,LISTAS!$E$26:$H$26,LISTAS!$E$27:$H$47))</f>
        <v>33672000</v>
      </c>
      <c r="O659" s="56" t="s">
        <v>1623</v>
      </c>
      <c r="P659" s="76" t="str">
        <f t="shared" ca="1" si="32"/>
        <v>Vencida</v>
      </c>
    </row>
    <row r="660" spans="1:16" x14ac:dyDescent="0.3">
      <c r="A660" s="58" t="s">
        <v>950</v>
      </c>
      <c r="B660" s="56" t="s">
        <v>263</v>
      </c>
      <c r="C660" s="50" t="str">
        <f>_xlfn.XLOOKUP(B660,CLIENTES!$A$2:$A$301,CLIENTES!$B$2:$B$301)</f>
        <v>Bruno Núñez</v>
      </c>
      <c r="D660" s="60">
        <v>46057</v>
      </c>
      <c r="E660" s="60">
        <f t="shared" si="30"/>
        <v>46422</v>
      </c>
      <c r="F660" s="50" t="s">
        <v>1597</v>
      </c>
      <c r="G660" s="56" t="s">
        <v>1604</v>
      </c>
      <c r="H660" s="47">
        <v>28</v>
      </c>
      <c r="I660" s="60">
        <v>35899</v>
      </c>
      <c r="J660" s="56" t="s">
        <v>1611</v>
      </c>
      <c r="K660" s="56">
        <v>2026</v>
      </c>
      <c r="L660" s="52">
        <f t="shared" si="31"/>
        <v>119542.50000000001</v>
      </c>
      <c r="M660" s="56">
        <f>LISTAS!$B$22*_xlfn.XLOOKUP(G660,LISTAS!$B$27:$B$36,LISTAS!$A$27:$A$36)*_xlfn.XLOOKUP(H660,LISTAS!$B$38:$B$47,LISTAS!$A$38:$A$47,,-1)*_xlfn.XLOOKUP(J660,LISTAS!$E$26:$H$26,LISTAS!$E$48:$H$48)*_xlfn.XLOOKUP(F660,LISTAS!$A$15:$A$18,LISTAS!$H$15:$H$18)</f>
        <v>3.1878000000000004E-2</v>
      </c>
      <c r="N660" s="54" cm="1">
        <f t="array" ref="N660">_xlfn.XLOOKUP(K660,LISTAS!$D$27:$D$47,_xlfn.XLOOKUP(J660,LISTAS!$E$26:$H$26,LISTAS!$E$27:$H$47))</f>
        <v>45000000</v>
      </c>
      <c r="O660" s="56" t="s">
        <v>1623</v>
      </c>
      <c r="P660" s="76" t="str">
        <f t="shared" ca="1" si="32"/>
        <v>Vigente</v>
      </c>
    </row>
    <row r="661" spans="1:16" x14ac:dyDescent="0.3">
      <c r="A661" s="58" t="s">
        <v>951</v>
      </c>
      <c r="B661" s="56" t="s">
        <v>135</v>
      </c>
      <c r="C661" s="50" t="str">
        <f>_xlfn.XLOOKUP(B661,CLIENTES!$A$2:$A$301,CLIENTES!$B$2:$B$301)</f>
        <v>Gonzalo Pereyra</v>
      </c>
      <c r="D661" s="60">
        <v>45935</v>
      </c>
      <c r="E661" s="60">
        <f t="shared" si="30"/>
        <v>46300</v>
      </c>
      <c r="F661" s="50" t="s">
        <v>1595</v>
      </c>
      <c r="G661" s="56" t="s">
        <v>1603</v>
      </c>
      <c r="H661" s="47">
        <v>77</v>
      </c>
      <c r="I661" s="60">
        <v>17798</v>
      </c>
      <c r="J661" s="56" t="s">
        <v>1612</v>
      </c>
      <c r="K661" s="56">
        <v>2024</v>
      </c>
      <c r="L661" s="52">
        <f t="shared" si="31"/>
        <v>38962.449749999992</v>
      </c>
      <c r="M661" s="56">
        <f>LISTAS!$B$22*_xlfn.XLOOKUP(G661,LISTAS!$B$27:$B$36,LISTAS!$A$27:$A$36)*_xlfn.XLOOKUP(H661,LISTAS!$B$38:$B$47,LISTAS!$A$38:$A$47,,-1)*_xlfn.XLOOKUP(J661,LISTAS!$E$26:$H$26,LISTAS!$E$48:$H$48)*_xlfn.XLOOKUP(F661,LISTAS!$A$15:$A$18,LISTAS!$H$15:$H$18)</f>
        <v>1.7356499999999997E-2</v>
      </c>
      <c r="N661" s="54" cm="1">
        <f t="array" ref="N661">_xlfn.XLOOKUP(K661,LISTAS!$D$27:$D$47,_xlfn.XLOOKUP(J661,LISTAS!$E$26:$H$26,LISTAS!$E$27:$H$47))</f>
        <v>26938000</v>
      </c>
      <c r="O661" s="56" t="s">
        <v>1623</v>
      </c>
      <c r="P661" s="76" t="str">
        <f t="shared" ca="1" si="32"/>
        <v>Vigente</v>
      </c>
    </row>
    <row r="662" spans="1:16" x14ac:dyDescent="0.3">
      <c r="A662" s="58" t="s">
        <v>952</v>
      </c>
      <c r="B662" s="56" t="s">
        <v>234</v>
      </c>
      <c r="C662" s="50" t="str">
        <f>_xlfn.XLOOKUP(B662,CLIENTES!$A$2:$A$301,CLIENTES!$B$2:$B$301)</f>
        <v>Natalia Suárez</v>
      </c>
      <c r="D662" s="60">
        <v>46234</v>
      </c>
      <c r="E662" s="60">
        <f t="shared" si="30"/>
        <v>46599</v>
      </c>
      <c r="F662" s="50" t="s">
        <v>1597</v>
      </c>
      <c r="G662" s="56" t="s">
        <v>1608</v>
      </c>
      <c r="H662" s="47">
        <v>42</v>
      </c>
      <c r="I662" s="60">
        <v>30833</v>
      </c>
      <c r="J662" s="56" t="s">
        <v>1609</v>
      </c>
      <c r="K662" s="56">
        <v>2022</v>
      </c>
      <c r="L662" s="52">
        <f t="shared" si="31"/>
        <v>28834.423750000002</v>
      </c>
      <c r="M662" s="56">
        <f>LISTAS!$B$22*_xlfn.XLOOKUP(G662,LISTAS!$B$27:$B$36,LISTAS!$A$27:$A$36)*_xlfn.XLOOKUP(H662,LISTAS!$B$38:$B$47,LISTAS!$A$38:$A$47,,-1)*_xlfn.XLOOKUP(J662,LISTAS!$E$26:$H$26,LISTAS!$E$48:$H$48)*_xlfn.XLOOKUP(F662,LISTAS!$A$15:$A$18,LISTAS!$H$15:$H$18)</f>
        <v>1.9855000000000001E-2</v>
      </c>
      <c r="N662" s="54" cm="1">
        <f t="array" ref="N662">_xlfn.XLOOKUP(K662,LISTAS!$D$27:$D$47,_xlfn.XLOOKUP(J662,LISTAS!$E$26:$H$26,LISTAS!$E$27:$H$47))</f>
        <v>17427000</v>
      </c>
      <c r="O662" s="56" t="s">
        <v>1624</v>
      </c>
      <c r="P662" s="76" t="str">
        <f t="shared" ca="1" si="32"/>
        <v>Vigente</v>
      </c>
    </row>
    <row r="663" spans="1:16" x14ac:dyDescent="0.3">
      <c r="A663" s="58" t="s">
        <v>953</v>
      </c>
      <c r="B663" s="56" t="s">
        <v>194</v>
      </c>
      <c r="C663" s="50" t="str">
        <f>_xlfn.XLOOKUP(B663,CLIENTES!$A$2:$A$301,CLIENTES!$B$2:$B$301)</f>
        <v>Juan Pérez</v>
      </c>
      <c r="D663" s="60">
        <v>44823</v>
      </c>
      <c r="E663" s="60">
        <f t="shared" si="30"/>
        <v>45188</v>
      </c>
      <c r="F663" s="50" t="s">
        <v>1596</v>
      </c>
      <c r="G663" s="56" t="s">
        <v>1599</v>
      </c>
      <c r="H663" s="47">
        <v>25</v>
      </c>
      <c r="I663" s="60">
        <v>37086</v>
      </c>
      <c r="J663" s="56" t="s">
        <v>1611</v>
      </c>
      <c r="K663" s="56">
        <v>2023</v>
      </c>
      <c r="L663" s="52">
        <f t="shared" si="31"/>
        <v>80871.311999999991</v>
      </c>
      <c r="M663" s="56">
        <f>LISTAS!$B$22*_xlfn.XLOOKUP(G663,LISTAS!$B$27:$B$36,LISTAS!$A$27:$A$36)*_xlfn.XLOOKUP(H663,LISTAS!$B$38:$B$47,LISTAS!$A$38:$A$47,,-1)*_xlfn.XLOOKUP(J663,LISTAS!$E$26:$H$26,LISTAS!$E$48:$H$48)*_xlfn.XLOOKUP(F663,LISTAS!$A$15:$A$18,LISTAS!$H$15:$H$18)</f>
        <v>2.8151999999999996E-2</v>
      </c>
      <c r="N663" s="54" cm="1">
        <f t="array" ref="N663">_xlfn.XLOOKUP(K663,LISTAS!$D$27:$D$47,_xlfn.XLOOKUP(J663,LISTAS!$E$26:$H$26,LISTAS!$E$27:$H$47))</f>
        <v>34472000</v>
      </c>
      <c r="O663" s="56" t="s">
        <v>1624</v>
      </c>
      <c r="P663" s="76" t="str">
        <f t="shared" ca="1" si="32"/>
        <v>Vencida</v>
      </c>
    </row>
    <row r="664" spans="1:16" x14ac:dyDescent="0.3">
      <c r="A664" s="58" t="s">
        <v>954</v>
      </c>
      <c r="B664" s="56" t="s">
        <v>219</v>
      </c>
      <c r="C664" s="50" t="str">
        <f>_xlfn.XLOOKUP(B664,CLIENTES!$A$2:$A$301,CLIENTES!$B$2:$B$301)</f>
        <v>Joaquín Pereyra</v>
      </c>
      <c r="D664" s="60">
        <v>45217</v>
      </c>
      <c r="E664" s="60">
        <f t="shared" si="30"/>
        <v>45583</v>
      </c>
      <c r="F664" s="50" t="s">
        <v>1595</v>
      </c>
      <c r="G664" s="56" t="s">
        <v>1603</v>
      </c>
      <c r="H664" s="47">
        <v>53</v>
      </c>
      <c r="I664" s="60">
        <v>26851</v>
      </c>
      <c r="J664" s="56" t="s">
        <v>1610</v>
      </c>
      <c r="K664" s="56">
        <v>2021</v>
      </c>
      <c r="L664" s="52">
        <f t="shared" si="31"/>
        <v>26515.83</v>
      </c>
      <c r="M664" s="56">
        <f>LISTAS!$B$22*_xlfn.XLOOKUP(G664,LISTAS!$B$27:$B$36,LISTAS!$A$27:$A$36)*_xlfn.XLOOKUP(H664,LISTAS!$B$38:$B$47,LISTAS!$A$38:$A$47,,-1)*_xlfn.XLOOKUP(J664,LISTAS!$E$26:$H$26,LISTAS!$E$48:$H$48)*_xlfn.XLOOKUP(F664,LISTAS!$A$15:$A$18,LISTAS!$H$15:$H$18)</f>
        <v>1.2540000000000001E-2</v>
      </c>
      <c r="N664" s="54" cm="1">
        <f t="array" ref="N664">_xlfn.XLOOKUP(K664,LISTAS!$D$27:$D$47,_xlfn.XLOOKUP(J664,LISTAS!$E$26:$H$26,LISTAS!$E$27:$H$47))</f>
        <v>25374000</v>
      </c>
      <c r="O664" s="56" t="s">
        <v>1623</v>
      </c>
      <c r="P664" s="76" t="str">
        <f t="shared" ca="1" si="32"/>
        <v>Vencida</v>
      </c>
    </row>
    <row r="665" spans="1:16" x14ac:dyDescent="0.3">
      <c r="A665" s="58" t="s">
        <v>955</v>
      </c>
      <c r="B665" s="56" t="s">
        <v>17</v>
      </c>
      <c r="C665" s="50" t="str">
        <f>_xlfn.XLOOKUP(B665,CLIENTES!$A$2:$A$301,CLIENTES!$B$2:$B$301)</f>
        <v>Mariano Miranda</v>
      </c>
      <c r="D665" s="60">
        <v>45865</v>
      </c>
      <c r="E665" s="60">
        <f t="shared" si="30"/>
        <v>46230</v>
      </c>
      <c r="F665" s="50" t="s">
        <v>1596</v>
      </c>
      <c r="G665" s="56" t="s">
        <v>1601</v>
      </c>
      <c r="H665" s="47">
        <v>46</v>
      </c>
      <c r="I665" s="60">
        <v>29114</v>
      </c>
      <c r="J665" s="56" t="s">
        <v>1612</v>
      </c>
      <c r="K665" s="56">
        <v>2021</v>
      </c>
      <c r="L665" s="52">
        <f t="shared" si="31"/>
        <v>32987.778031249996</v>
      </c>
      <c r="M665" s="56">
        <f>LISTAS!$B$22*_xlfn.XLOOKUP(G665,LISTAS!$B$27:$B$36,LISTAS!$A$27:$A$36)*_xlfn.XLOOKUP(H665,LISTAS!$B$38:$B$47,LISTAS!$A$38:$A$47,,-1)*_xlfn.XLOOKUP(J665,LISTAS!$E$26:$H$26,LISTAS!$E$48:$H$48)*_xlfn.XLOOKUP(F665,LISTAS!$A$15:$A$18,LISTAS!$H$15:$H$18)</f>
        <v>1.9501124999999998E-2</v>
      </c>
      <c r="N665" s="54" cm="1">
        <f t="array" ref="N665">_xlfn.XLOOKUP(K665,LISTAS!$D$27:$D$47,_xlfn.XLOOKUP(J665,LISTAS!$E$26:$H$26,LISTAS!$E$27:$H$47))</f>
        <v>20299000</v>
      </c>
      <c r="O665" s="56" t="s">
        <v>1623</v>
      </c>
      <c r="P665" s="76" t="str">
        <f t="shared" ca="1" si="32"/>
        <v>Vencida</v>
      </c>
    </row>
    <row r="666" spans="1:16" x14ac:dyDescent="0.3">
      <c r="A666" s="58" t="s">
        <v>956</v>
      </c>
      <c r="B666" s="56" t="s">
        <v>123</v>
      </c>
      <c r="C666" s="50" t="str">
        <f>_xlfn.XLOOKUP(B666,CLIENTES!$A$2:$A$301,CLIENTES!$B$2:$B$301)</f>
        <v>Victoria Ramírez</v>
      </c>
      <c r="D666" s="60">
        <v>45486</v>
      </c>
      <c r="E666" s="60">
        <f t="shared" si="30"/>
        <v>45851</v>
      </c>
      <c r="F666" s="50" t="s">
        <v>1595</v>
      </c>
      <c r="G666" s="56" t="s">
        <v>1599</v>
      </c>
      <c r="H666" s="47">
        <v>45</v>
      </c>
      <c r="I666" s="60">
        <v>29658</v>
      </c>
      <c r="J666" s="56" t="s">
        <v>1609</v>
      </c>
      <c r="K666" s="56">
        <v>2018</v>
      </c>
      <c r="L666" s="52">
        <f t="shared" si="31"/>
        <v>13624.14</v>
      </c>
      <c r="M666" s="56">
        <f>LISTAS!$B$22*_xlfn.XLOOKUP(G666,LISTAS!$B$27:$B$36,LISTAS!$A$27:$A$36)*_xlfn.XLOOKUP(H666,LISTAS!$B$38:$B$47,LISTAS!$A$38:$A$47,,-1)*_xlfn.XLOOKUP(J666,LISTAS!$E$26:$H$26,LISTAS!$E$48:$H$48)*_xlfn.XLOOKUP(F666,LISTAS!$A$15:$A$18,LISTAS!$H$15:$H$18)</f>
        <v>1.3679999999999999E-2</v>
      </c>
      <c r="N666" s="54" cm="1">
        <f t="array" ref="N666">_xlfn.XLOOKUP(K666,LISTAS!$D$27:$D$47,_xlfn.XLOOKUP(J666,LISTAS!$E$26:$H$26,LISTAS!$E$27:$H$47))</f>
        <v>11951000</v>
      </c>
      <c r="O666" s="56" t="s">
        <v>1625</v>
      </c>
      <c r="P666" s="76" t="str">
        <f t="shared" ca="1" si="32"/>
        <v>Vencida</v>
      </c>
    </row>
    <row r="667" spans="1:16" x14ac:dyDescent="0.3">
      <c r="A667" s="58" t="s">
        <v>957</v>
      </c>
      <c r="B667" s="56" t="s">
        <v>53</v>
      </c>
      <c r="C667" s="50" t="str">
        <f>_xlfn.XLOOKUP(B667,CLIENTES!$A$2:$A$301,CLIENTES!$B$2:$B$301)</f>
        <v>Santiago Martínez</v>
      </c>
      <c r="D667" s="60">
        <v>46228</v>
      </c>
      <c r="E667" s="60">
        <f t="shared" si="30"/>
        <v>46593</v>
      </c>
      <c r="F667" s="50" t="s">
        <v>1595</v>
      </c>
      <c r="G667" s="56" t="s">
        <v>1606</v>
      </c>
      <c r="H667" s="47">
        <v>79</v>
      </c>
      <c r="I667" s="60">
        <v>17188</v>
      </c>
      <c r="J667" s="56" t="s">
        <v>1610</v>
      </c>
      <c r="K667" s="56">
        <v>2022</v>
      </c>
      <c r="L667" s="52">
        <f t="shared" si="31"/>
        <v>44474.979999999989</v>
      </c>
      <c r="M667" s="56">
        <f>LISTAS!$B$22*_xlfn.XLOOKUP(G667,LISTAS!$B$27:$B$36,LISTAS!$A$27:$A$36)*_xlfn.XLOOKUP(H667,LISTAS!$B$38:$B$47,LISTAS!$A$38:$A$47,,-1)*_xlfn.XLOOKUP(J667,LISTAS!$E$26:$H$26,LISTAS!$E$48:$H$48)*_xlfn.XLOOKUP(F667,LISTAS!$A$15:$A$18,LISTAS!$H$15:$H$18)</f>
        <v>1.9139999999999997E-2</v>
      </c>
      <c r="N667" s="54" cm="1">
        <f t="array" ref="N667">_xlfn.XLOOKUP(K667,LISTAS!$D$27:$D$47,_xlfn.XLOOKUP(J667,LISTAS!$E$26:$H$26,LISTAS!$E$27:$H$47))</f>
        <v>27884000</v>
      </c>
      <c r="O667" s="56" t="s">
        <v>1623</v>
      </c>
      <c r="P667" s="76" t="str">
        <f t="shared" ca="1" si="32"/>
        <v>Vigente</v>
      </c>
    </row>
    <row r="668" spans="1:16" x14ac:dyDescent="0.3">
      <c r="A668" s="58" t="s">
        <v>958</v>
      </c>
      <c r="B668" s="56" t="s">
        <v>199</v>
      </c>
      <c r="C668" s="50" t="str">
        <f>_xlfn.XLOOKUP(B668,CLIENTES!$A$2:$A$301,CLIENTES!$B$2:$B$301)</f>
        <v>Daniel Aguirre</v>
      </c>
      <c r="D668" s="60">
        <v>46029</v>
      </c>
      <c r="E668" s="60">
        <f t="shared" si="30"/>
        <v>46394</v>
      </c>
      <c r="F668" s="50" t="s">
        <v>1597</v>
      </c>
      <c r="G668" s="56" t="s">
        <v>1601</v>
      </c>
      <c r="H668" s="47">
        <v>49</v>
      </c>
      <c r="I668" s="60">
        <v>28038</v>
      </c>
      <c r="J668" s="56" t="s">
        <v>1611</v>
      </c>
      <c r="K668" s="56">
        <v>2023</v>
      </c>
      <c r="L668" s="52">
        <f t="shared" si="31"/>
        <v>79401.224833333326</v>
      </c>
      <c r="M668" s="56">
        <f>LISTAS!$B$22*_xlfn.XLOOKUP(G668,LISTAS!$B$27:$B$36,LISTAS!$A$27:$A$36)*_xlfn.XLOOKUP(H668,LISTAS!$B$38:$B$47,LISTAS!$A$38:$A$47,,-1)*_xlfn.XLOOKUP(J668,LISTAS!$E$26:$H$26,LISTAS!$E$48:$H$48)*_xlfn.XLOOKUP(F668,LISTAS!$A$15:$A$18,LISTAS!$H$15:$H$18)</f>
        <v>2.7640249999999998E-2</v>
      </c>
      <c r="N668" s="54" cm="1">
        <f t="array" ref="N668">_xlfn.XLOOKUP(K668,LISTAS!$D$27:$D$47,_xlfn.XLOOKUP(J668,LISTAS!$E$26:$H$26,LISTAS!$E$27:$H$47))</f>
        <v>34472000</v>
      </c>
      <c r="O668" s="56" t="s">
        <v>1625</v>
      </c>
      <c r="P668" s="76" t="str">
        <f t="shared" ca="1" si="32"/>
        <v>Vigente</v>
      </c>
    </row>
    <row r="669" spans="1:16" x14ac:dyDescent="0.3">
      <c r="A669" s="58" t="s">
        <v>959</v>
      </c>
      <c r="B669" s="56" t="s">
        <v>72</v>
      </c>
      <c r="C669" s="50" t="str">
        <f>_xlfn.XLOOKUP(B669,CLIENTES!$A$2:$A$301,CLIENTES!$B$2:$B$301)</f>
        <v>Valentina Domínguez</v>
      </c>
      <c r="D669" s="60">
        <v>46173</v>
      </c>
      <c r="E669" s="60">
        <f t="shared" si="30"/>
        <v>46538</v>
      </c>
      <c r="F669" s="50" t="s">
        <v>1596</v>
      </c>
      <c r="G669" s="56" t="s">
        <v>1606</v>
      </c>
      <c r="H669" s="47">
        <v>38</v>
      </c>
      <c r="I669" s="60">
        <v>32370</v>
      </c>
      <c r="J669" s="56" t="s">
        <v>1610</v>
      </c>
      <c r="K669" s="56">
        <v>2022</v>
      </c>
      <c r="L669" s="52">
        <f t="shared" si="31"/>
        <v>43452.566666666673</v>
      </c>
      <c r="M669" s="56">
        <f>LISTAS!$B$22*_xlfn.XLOOKUP(G669,LISTAS!$B$27:$B$36,LISTAS!$A$27:$A$36)*_xlfn.XLOOKUP(H669,LISTAS!$B$38:$B$47,LISTAS!$A$38:$A$47,,-1)*_xlfn.XLOOKUP(J669,LISTAS!$E$26:$H$26,LISTAS!$E$48:$H$48)*_xlfn.XLOOKUP(F669,LISTAS!$A$15:$A$18,LISTAS!$H$15:$H$18)</f>
        <v>1.8700000000000001E-2</v>
      </c>
      <c r="N669" s="54" cm="1">
        <f t="array" ref="N669">_xlfn.XLOOKUP(K669,LISTAS!$D$27:$D$47,_xlfn.XLOOKUP(J669,LISTAS!$E$26:$H$26,LISTAS!$E$27:$H$47))</f>
        <v>27884000</v>
      </c>
      <c r="O669" s="56" t="s">
        <v>1623</v>
      </c>
      <c r="P669" s="76" t="str">
        <f t="shared" ca="1" si="32"/>
        <v>Vigente</v>
      </c>
    </row>
    <row r="670" spans="1:16" x14ac:dyDescent="0.3">
      <c r="A670" s="58" t="s">
        <v>960</v>
      </c>
      <c r="B670" s="56" t="s">
        <v>231</v>
      </c>
      <c r="C670" s="50" t="str">
        <f>_xlfn.XLOOKUP(B670,CLIENTES!$A$2:$A$301,CLIENTES!$B$2:$B$301)</f>
        <v>Carolina Bravo</v>
      </c>
      <c r="D670" s="60">
        <v>45577</v>
      </c>
      <c r="E670" s="60">
        <f t="shared" si="30"/>
        <v>45942</v>
      </c>
      <c r="F670" s="50" t="s">
        <v>1597</v>
      </c>
      <c r="G670" s="56" t="s">
        <v>1603</v>
      </c>
      <c r="H670" s="47">
        <v>48</v>
      </c>
      <c r="I670" s="60">
        <v>28679</v>
      </c>
      <c r="J670" s="56" t="s">
        <v>1612</v>
      </c>
      <c r="K670" s="56">
        <v>2025</v>
      </c>
      <c r="L670" s="52">
        <f t="shared" si="31"/>
        <v>51146.48</v>
      </c>
      <c r="M670" s="56">
        <f>LISTAS!$B$22*_xlfn.XLOOKUP(G670,LISTAS!$B$27:$B$36,LISTAS!$A$27:$A$36)*_xlfn.XLOOKUP(H670,LISTAS!$B$38:$B$47,LISTAS!$A$38:$A$47,,-1)*_xlfn.XLOOKUP(J670,LISTAS!$E$26:$H$26,LISTAS!$E$48:$H$48)*_xlfn.XLOOKUP(F670,LISTAS!$A$15:$A$18,LISTAS!$H$15:$H$18)</f>
        <v>2.0847750000000002E-2</v>
      </c>
      <c r="N670" s="54" cm="1">
        <f t="array" ref="N670">_xlfn.XLOOKUP(K670,LISTAS!$D$27:$D$47,_xlfn.XLOOKUP(J670,LISTAS!$E$26:$H$26,LISTAS!$E$27:$H$47))</f>
        <v>29440000</v>
      </c>
      <c r="O670" s="56" t="s">
        <v>1625</v>
      </c>
      <c r="P670" s="76" t="str">
        <f t="shared" ca="1" si="32"/>
        <v>Vencida</v>
      </c>
    </row>
    <row r="671" spans="1:16" x14ac:dyDescent="0.3">
      <c r="A671" s="58" t="s">
        <v>961</v>
      </c>
      <c r="B671" s="56" t="s">
        <v>170</v>
      </c>
      <c r="C671" s="50" t="str">
        <f>_xlfn.XLOOKUP(B671,CLIENTES!$A$2:$A$301,CLIENTES!$B$2:$B$301)</f>
        <v>Camila Sosa</v>
      </c>
      <c r="D671" s="60">
        <v>44914</v>
      </c>
      <c r="E671" s="60">
        <f t="shared" si="30"/>
        <v>45279</v>
      </c>
      <c r="F671" s="50" t="s">
        <v>1598</v>
      </c>
      <c r="G671" s="56" t="s">
        <v>1608</v>
      </c>
      <c r="H671" s="47">
        <v>80</v>
      </c>
      <c r="I671" s="60">
        <v>16964</v>
      </c>
      <c r="J671" s="56" t="s">
        <v>1609</v>
      </c>
      <c r="K671" s="56">
        <v>2019</v>
      </c>
      <c r="L671" s="52">
        <f t="shared" si="31"/>
        <v>39196.532916666671</v>
      </c>
      <c r="M671" s="56">
        <f>LISTAS!$B$22*_xlfn.XLOOKUP(G671,LISTAS!$B$27:$B$36,LISTAS!$A$27:$A$36)*_xlfn.XLOOKUP(H671,LISTAS!$B$38:$B$47,LISTAS!$A$38:$A$47,,-1)*_xlfn.XLOOKUP(J671,LISTAS!$E$26:$H$26,LISTAS!$E$48:$H$48)*_xlfn.XLOOKUP(F671,LISTAS!$A$15:$A$18,LISTAS!$H$15:$H$18)</f>
        <v>3.5815E-2</v>
      </c>
      <c r="N671" s="54" cm="1">
        <f t="array" ref="N671">_xlfn.XLOOKUP(K671,LISTAS!$D$27:$D$47,_xlfn.XLOOKUP(J671,LISTAS!$E$26:$H$26,LISTAS!$E$27:$H$47))</f>
        <v>13133000</v>
      </c>
      <c r="O671" s="56" t="s">
        <v>1623</v>
      </c>
      <c r="P671" s="76" t="str">
        <f t="shared" ca="1" si="32"/>
        <v>Vencida</v>
      </c>
    </row>
    <row r="672" spans="1:16" x14ac:dyDescent="0.3">
      <c r="A672" s="58" t="s">
        <v>962</v>
      </c>
      <c r="B672" s="56" t="s">
        <v>268</v>
      </c>
      <c r="C672" s="50" t="str">
        <f>_xlfn.XLOOKUP(B672,CLIENTES!$A$2:$A$301,CLIENTES!$B$2:$B$301)</f>
        <v>Natalia Quiroga</v>
      </c>
      <c r="D672" s="60">
        <v>46124</v>
      </c>
      <c r="E672" s="60">
        <f t="shared" si="30"/>
        <v>46489</v>
      </c>
      <c r="F672" s="50" t="s">
        <v>1596</v>
      </c>
      <c r="G672" s="56" t="s">
        <v>1607</v>
      </c>
      <c r="H672" s="47">
        <v>48</v>
      </c>
      <c r="I672" s="60">
        <v>28426</v>
      </c>
      <c r="J672" s="56" t="s">
        <v>1610</v>
      </c>
      <c r="K672" s="56">
        <v>2024</v>
      </c>
      <c r="L672" s="52">
        <f t="shared" si="31"/>
        <v>54833.449000000015</v>
      </c>
      <c r="M672" s="56">
        <f>LISTAS!$B$22*_xlfn.XLOOKUP(G672,LISTAS!$B$27:$B$36,LISTAS!$A$27:$A$36)*_xlfn.XLOOKUP(H672,LISTAS!$B$38:$B$47,LISTAS!$A$38:$A$47,,-1)*_xlfn.XLOOKUP(J672,LISTAS!$E$26:$H$26,LISTAS!$E$48:$H$48)*_xlfn.XLOOKUP(F672,LISTAS!$A$15:$A$18,LISTAS!$H$15:$H$18)</f>
        <v>1.9541500000000003E-2</v>
      </c>
      <c r="N672" s="54" cm="1">
        <f t="array" ref="N672">_xlfn.XLOOKUP(K672,LISTAS!$D$27:$D$47,_xlfn.XLOOKUP(J672,LISTAS!$E$26:$H$26,LISTAS!$E$27:$H$47))</f>
        <v>33672000</v>
      </c>
      <c r="O672" s="56" t="s">
        <v>1623</v>
      </c>
      <c r="P672" s="76" t="str">
        <f t="shared" ca="1" si="32"/>
        <v>Vigente</v>
      </c>
    </row>
    <row r="673" spans="1:16" x14ac:dyDescent="0.3">
      <c r="A673" s="58" t="s">
        <v>963</v>
      </c>
      <c r="B673" s="56" t="s">
        <v>92</v>
      </c>
      <c r="C673" s="50" t="str">
        <f>_xlfn.XLOOKUP(B673,CLIENTES!$A$2:$A$301,CLIENTES!$B$2:$B$301)</f>
        <v>Rodrigo Méndez</v>
      </c>
      <c r="D673" s="60">
        <v>45884</v>
      </c>
      <c r="E673" s="60">
        <f t="shared" si="30"/>
        <v>46249</v>
      </c>
      <c r="F673" s="50" t="s">
        <v>1597</v>
      </c>
      <c r="G673" s="56" t="s">
        <v>1608</v>
      </c>
      <c r="H673" s="47">
        <v>45</v>
      </c>
      <c r="I673" s="60">
        <v>29783</v>
      </c>
      <c r="J673" s="56" t="s">
        <v>1610</v>
      </c>
      <c r="K673" s="56">
        <v>2024</v>
      </c>
      <c r="L673" s="52">
        <f t="shared" si="31"/>
        <v>61284.443000000007</v>
      </c>
      <c r="M673" s="56">
        <f>LISTAS!$B$22*_xlfn.XLOOKUP(G673,LISTAS!$B$27:$B$36,LISTAS!$A$27:$A$36)*_xlfn.XLOOKUP(H673,LISTAS!$B$38:$B$47,LISTAS!$A$38:$A$47,,-1)*_xlfn.XLOOKUP(J673,LISTAS!$E$26:$H$26,LISTAS!$E$48:$H$48)*_xlfn.XLOOKUP(F673,LISTAS!$A$15:$A$18,LISTAS!$H$15:$H$18)</f>
        <v>2.1840500000000002E-2</v>
      </c>
      <c r="N673" s="54" cm="1">
        <f t="array" ref="N673">_xlfn.XLOOKUP(K673,LISTAS!$D$27:$D$47,_xlfn.XLOOKUP(J673,LISTAS!$E$26:$H$26,LISTAS!$E$27:$H$47))</f>
        <v>33672000</v>
      </c>
      <c r="O673" s="56" t="s">
        <v>1624</v>
      </c>
      <c r="P673" s="76" t="str">
        <f t="shared" ca="1" si="32"/>
        <v>Vencida</v>
      </c>
    </row>
    <row r="674" spans="1:16" x14ac:dyDescent="0.3">
      <c r="A674" s="58" t="s">
        <v>964</v>
      </c>
      <c r="B674" s="56" t="s">
        <v>39</v>
      </c>
      <c r="C674" s="50" t="str">
        <f>_xlfn.XLOOKUP(B674,CLIENTES!$A$2:$A$301,CLIENTES!$B$2:$B$301)</f>
        <v>Juan Romero</v>
      </c>
      <c r="D674" s="60">
        <v>45528</v>
      </c>
      <c r="E674" s="60">
        <f t="shared" si="30"/>
        <v>45893</v>
      </c>
      <c r="F674" s="50" t="s">
        <v>1598</v>
      </c>
      <c r="G674" s="56" t="s">
        <v>1600</v>
      </c>
      <c r="H674" s="47">
        <v>71</v>
      </c>
      <c r="I674" s="60">
        <v>20261</v>
      </c>
      <c r="J674" s="56" t="s">
        <v>1612</v>
      </c>
      <c r="K674" s="56">
        <v>2015</v>
      </c>
      <c r="L674" s="52">
        <f t="shared" si="31"/>
        <v>42920.104500000001</v>
      </c>
      <c r="M674" s="56">
        <f>LISTAS!$B$22*_xlfn.XLOOKUP(G674,LISTAS!$B$27:$B$36,LISTAS!$A$27:$A$36)*_xlfn.XLOOKUP(H674,LISTAS!$B$38:$B$47,LISTAS!$A$38:$A$47,,-1)*_xlfn.XLOOKUP(J674,LISTAS!$E$26:$H$26,LISTAS!$E$48:$H$48)*_xlfn.XLOOKUP(F674,LISTAS!$A$15:$A$18,LISTAS!$H$15:$H$18)</f>
        <v>4.3952999999999999E-2</v>
      </c>
      <c r="N674" s="54" cm="1">
        <f t="array" ref="N674">_xlfn.XLOOKUP(K674,LISTAS!$D$27:$D$47,_xlfn.XLOOKUP(J674,LISTAS!$E$26:$H$26,LISTAS!$E$27:$H$47))</f>
        <v>11718000</v>
      </c>
      <c r="O674" s="56" t="s">
        <v>1623</v>
      </c>
      <c r="P674" s="76" t="str">
        <f t="shared" ca="1" si="32"/>
        <v>Vencida</v>
      </c>
    </row>
    <row r="675" spans="1:16" x14ac:dyDescent="0.3">
      <c r="A675" s="58" t="s">
        <v>965</v>
      </c>
      <c r="B675" s="56" t="s">
        <v>8</v>
      </c>
      <c r="C675" s="50" t="str">
        <f>_xlfn.XLOOKUP(B675,CLIENTES!$A$2:$A$301,CLIENTES!$B$2:$B$301)</f>
        <v>Mariana Sánchez</v>
      </c>
      <c r="D675" s="60">
        <v>45935</v>
      </c>
      <c r="E675" s="60">
        <f t="shared" si="30"/>
        <v>46300</v>
      </c>
      <c r="F675" s="50" t="s">
        <v>1597</v>
      </c>
      <c r="G675" s="56" t="s">
        <v>1606</v>
      </c>
      <c r="H675" s="47">
        <v>19</v>
      </c>
      <c r="I675" s="60">
        <v>39073</v>
      </c>
      <c r="J675" s="56" t="s">
        <v>1612</v>
      </c>
      <c r="K675" s="56">
        <v>2025</v>
      </c>
      <c r="L675" s="52">
        <f t="shared" si="31"/>
        <v>85008</v>
      </c>
      <c r="M675" s="56">
        <f>LISTAS!$B$22*_xlfn.XLOOKUP(G675,LISTAS!$B$27:$B$36,LISTAS!$A$27:$A$36)*_xlfn.XLOOKUP(H675,LISTAS!$B$38:$B$47,LISTAS!$A$38:$A$47,,-1)*_xlfn.XLOOKUP(J675,LISTAS!$E$26:$H$26,LISTAS!$E$48:$H$48)*_xlfn.XLOOKUP(F675,LISTAS!$A$15:$A$18,LISTAS!$H$15:$H$18)</f>
        <v>3.465E-2</v>
      </c>
      <c r="N675" s="54" cm="1">
        <f t="array" ref="N675">_xlfn.XLOOKUP(K675,LISTAS!$D$27:$D$47,_xlfn.XLOOKUP(J675,LISTAS!$E$26:$H$26,LISTAS!$E$27:$H$47))</f>
        <v>29440000</v>
      </c>
      <c r="O675" s="56" t="s">
        <v>1623</v>
      </c>
      <c r="P675" s="76" t="str">
        <f t="shared" ca="1" si="32"/>
        <v>Vigente</v>
      </c>
    </row>
    <row r="676" spans="1:16" x14ac:dyDescent="0.3">
      <c r="A676" s="58" t="s">
        <v>966</v>
      </c>
      <c r="B676" s="56" t="s">
        <v>46</v>
      </c>
      <c r="C676" s="50" t="str">
        <f>_xlfn.XLOOKUP(B676,CLIENTES!$A$2:$A$301,CLIENTES!$B$2:$B$301)</f>
        <v>Gonzalo Molina</v>
      </c>
      <c r="D676" s="60">
        <v>45592</v>
      </c>
      <c r="E676" s="60">
        <f t="shared" si="30"/>
        <v>45957</v>
      </c>
      <c r="F676" s="50" t="s">
        <v>1595</v>
      </c>
      <c r="G676" s="56" t="s">
        <v>1608</v>
      </c>
      <c r="H676" s="47">
        <v>46</v>
      </c>
      <c r="I676" s="60">
        <v>29371</v>
      </c>
      <c r="J676" s="56" t="s">
        <v>1611</v>
      </c>
      <c r="K676" s="56">
        <v>2024</v>
      </c>
      <c r="L676" s="52">
        <f t="shared" si="31"/>
        <v>39315.742874999996</v>
      </c>
      <c r="M676" s="56">
        <f>LISTAS!$B$22*_xlfn.XLOOKUP(G676,LISTAS!$B$27:$B$36,LISTAS!$A$27:$A$36)*_xlfn.XLOOKUP(H676,LISTAS!$B$38:$B$47,LISTAS!$A$38:$A$47,,-1)*_xlfn.XLOOKUP(J676,LISTAS!$E$26:$H$26,LISTAS!$E$48:$H$48)*_xlfn.XLOOKUP(F676,LISTAS!$A$15:$A$18,LISTAS!$H$15:$H$18)</f>
        <v>1.2454499999999999E-2</v>
      </c>
      <c r="N676" s="54" cm="1">
        <f t="array" ref="N676">_xlfn.XLOOKUP(K676,LISTAS!$D$27:$D$47,_xlfn.XLOOKUP(J676,LISTAS!$E$26:$H$26,LISTAS!$E$27:$H$47))</f>
        <v>37881000</v>
      </c>
      <c r="O676" s="56" t="s">
        <v>1626</v>
      </c>
      <c r="P676" s="76" t="str">
        <f t="shared" ca="1" si="32"/>
        <v>Vencida</v>
      </c>
    </row>
    <row r="677" spans="1:16" x14ac:dyDescent="0.3">
      <c r="A677" s="58" t="s">
        <v>967</v>
      </c>
      <c r="B677" s="56" t="s">
        <v>149</v>
      </c>
      <c r="C677" s="50" t="str">
        <f>_xlfn.XLOOKUP(B677,CLIENTES!$A$2:$A$301,CLIENTES!$B$2:$B$301)</f>
        <v>Santiago Bravo</v>
      </c>
      <c r="D677" s="60">
        <v>45760</v>
      </c>
      <c r="E677" s="60">
        <f t="shared" si="30"/>
        <v>46125</v>
      </c>
      <c r="F677" s="50" t="s">
        <v>1598</v>
      </c>
      <c r="G677" s="56" t="s">
        <v>1605</v>
      </c>
      <c r="H677" s="47">
        <v>67</v>
      </c>
      <c r="I677" s="60">
        <v>21658</v>
      </c>
      <c r="J677" s="56" t="s">
        <v>1610</v>
      </c>
      <c r="K677" s="56">
        <v>2023</v>
      </c>
      <c r="L677" s="52">
        <f t="shared" si="31"/>
        <v>75586.1535</v>
      </c>
      <c r="M677" s="56">
        <f>LISTAS!$B$22*_xlfn.XLOOKUP(G677,LISTAS!$B$27:$B$36,LISTAS!$A$27:$A$36)*_xlfn.XLOOKUP(H677,LISTAS!$B$38:$B$47,LISTAS!$A$38:$A$47,,-1)*_xlfn.XLOOKUP(J677,LISTAS!$E$26:$H$26,LISTAS!$E$48:$H$48)*_xlfn.XLOOKUP(F677,LISTAS!$A$15:$A$18,LISTAS!$H$15:$H$18)</f>
        <v>2.9601000000000002E-2</v>
      </c>
      <c r="N677" s="54" cm="1">
        <f t="array" ref="N677">_xlfn.XLOOKUP(K677,LISTAS!$D$27:$D$47,_xlfn.XLOOKUP(J677,LISTAS!$E$26:$H$26,LISTAS!$E$27:$H$47))</f>
        <v>30642000</v>
      </c>
      <c r="O677" s="56" t="s">
        <v>1624</v>
      </c>
      <c r="P677" s="76" t="str">
        <f t="shared" ca="1" si="32"/>
        <v>Vencida</v>
      </c>
    </row>
    <row r="678" spans="1:16" x14ac:dyDescent="0.3">
      <c r="A678" s="58" t="s">
        <v>968</v>
      </c>
      <c r="B678" s="56" t="s">
        <v>66</v>
      </c>
      <c r="C678" s="50" t="str">
        <f>_xlfn.XLOOKUP(B678,CLIENTES!$A$2:$A$301,CLIENTES!$B$2:$B$301)</f>
        <v>Tomás Pérez</v>
      </c>
      <c r="D678" s="60">
        <v>45941</v>
      </c>
      <c r="E678" s="60">
        <f t="shared" si="30"/>
        <v>46306</v>
      </c>
      <c r="F678" s="50" t="s">
        <v>1597</v>
      </c>
      <c r="G678" s="56" t="s">
        <v>1604</v>
      </c>
      <c r="H678" s="47">
        <v>43</v>
      </c>
      <c r="I678" s="60">
        <v>30346</v>
      </c>
      <c r="J678" s="56" t="s">
        <v>1609</v>
      </c>
      <c r="K678" s="56">
        <v>2017</v>
      </c>
      <c r="L678" s="52">
        <f t="shared" si="31"/>
        <v>19887.65625</v>
      </c>
      <c r="M678" s="56">
        <f>LISTAS!$B$22*_xlfn.XLOOKUP(G678,LISTAS!$B$27:$B$36,LISTAS!$A$27:$A$36)*_xlfn.XLOOKUP(H678,LISTAS!$B$38:$B$47,LISTAS!$A$38:$A$47,,-1)*_xlfn.XLOOKUP(J678,LISTAS!$E$26:$H$26,LISTAS!$E$48:$H$48)*_xlfn.XLOOKUP(F678,LISTAS!$A$15:$A$18,LISTAS!$H$15:$H$18)</f>
        <v>2.1944999999999999E-2</v>
      </c>
      <c r="N678" s="54" cm="1">
        <f t="array" ref="N678">_xlfn.XLOOKUP(K678,LISTAS!$D$27:$D$47,_xlfn.XLOOKUP(J678,LISTAS!$E$26:$H$26,LISTAS!$E$27:$H$47))</f>
        <v>10875000</v>
      </c>
      <c r="O678" s="56" t="s">
        <v>1625</v>
      </c>
      <c r="P678" s="76" t="str">
        <f t="shared" ca="1" si="32"/>
        <v>Vigente</v>
      </c>
    </row>
    <row r="679" spans="1:16" x14ac:dyDescent="0.3">
      <c r="A679" s="58" t="s">
        <v>969</v>
      </c>
      <c r="B679" s="56" t="s">
        <v>65</v>
      </c>
      <c r="C679" s="50" t="str">
        <f>_xlfn.XLOOKUP(B679,CLIENTES!$A$2:$A$301,CLIENTES!$B$2:$B$301)</f>
        <v>Ignacio Castro</v>
      </c>
      <c r="D679" s="60">
        <v>44460</v>
      </c>
      <c r="E679" s="60">
        <f t="shared" si="30"/>
        <v>44825</v>
      </c>
      <c r="F679" s="50" t="s">
        <v>1598</v>
      </c>
      <c r="G679" s="56" t="s">
        <v>1608</v>
      </c>
      <c r="H679" s="47">
        <v>73</v>
      </c>
      <c r="I679" s="60">
        <v>19502</v>
      </c>
      <c r="J679" s="56" t="s">
        <v>1609</v>
      </c>
      <c r="K679" s="56">
        <v>2021</v>
      </c>
      <c r="L679" s="52">
        <f t="shared" si="31"/>
        <v>45700.351666666662</v>
      </c>
      <c r="M679" s="56">
        <f>LISTAS!$B$22*_xlfn.XLOOKUP(G679,LISTAS!$B$27:$B$36,LISTAS!$A$27:$A$36)*_xlfn.XLOOKUP(H679,LISTAS!$B$38:$B$47,LISTAS!$A$38:$A$47,,-1)*_xlfn.XLOOKUP(J679,LISTAS!$E$26:$H$26,LISTAS!$E$48:$H$48)*_xlfn.XLOOKUP(F679,LISTAS!$A$15:$A$18,LISTAS!$H$15:$H$18)</f>
        <v>3.458E-2</v>
      </c>
      <c r="N679" s="54" cm="1">
        <f t="array" ref="N679">_xlfn.XLOOKUP(K679,LISTAS!$D$27:$D$47,_xlfn.XLOOKUP(J679,LISTAS!$E$26:$H$26,LISTAS!$E$27:$H$47))</f>
        <v>15859000</v>
      </c>
      <c r="O679" s="56" t="s">
        <v>1625</v>
      </c>
      <c r="P679" s="76" t="str">
        <f t="shared" ca="1" si="32"/>
        <v>Vencida</v>
      </c>
    </row>
    <row r="680" spans="1:16" x14ac:dyDescent="0.3">
      <c r="A680" s="58" t="s">
        <v>970</v>
      </c>
      <c r="B680" s="56" t="s">
        <v>143</v>
      </c>
      <c r="C680" s="50" t="str">
        <f>_xlfn.XLOOKUP(B680,CLIENTES!$A$2:$A$301,CLIENTES!$B$2:$B$301)</f>
        <v>Tomás Ramírez</v>
      </c>
      <c r="D680" s="60">
        <v>45577</v>
      </c>
      <c r="E680" s="60">
        <f t="shared" si="30"/>
        <v>45942</v>
      </c>
      <c r="F680" s="50" t="s">
        <v>1595</v>
      </c>
      <c r="G680" s="56" t="s">
        <v>1601</v>
      </c>
      <c r="H680" s="47">
        <v>23</v>
      </c>
      <c r="I680" s="60">
        <v>37834</v>
      </c>
      <c r="J680" s="56" t="s">
        <v>1612</v>
      </c>
      <c r="K680" s="56">
        <v>2022</v>
      </c>
      <c r="L680" s="52">
        <f t="shared" si="31"/>
        <v>36363.198375</v>
      </c>
      <c r="M680" s="56">
        <f>LISTAS!$B$22*_xlfn.XLOOKUP(G680,LISTAS!$B$27:$B$36,LISTAS!$A$27:$A$36)*_xlfn.XLOOKUP(H680,LISTAS!$B$38:$B$47,LISTAS!$A$38:$A$47,,-1)*_xlfn.XLOOKUP(J680,LISTAS!$E$26:$H$26,LISTAS!$E$48:$H$48)*_xlfn.XLOOKUP(F680,LISTAS!$A$15:$A$18,LISTAS!$H$15:$H$18)</f>
        <v>1.9561499999999999E-2</v>
      </c>
      <c r="N680" s="54" cm="1">
        <f t="array" ref="N680">_xlfn.XLOOKUP(K680,LISTAS!$D$27:$D$47,_xlfn.XLOOKUP(J680,LISTAS!$E$26:$H$26,LISTAS!$E$27:$H$47))</f>
        <v>22307000</v>
      </c>
      <c r="O680" s="56" t="s">
        <v>1624</v>
      </c>
      <c r="P680" s="76" t="str">
        <f t="shared" ca="1" si="32"/>
        <v>Vencida</v>
      </c>
    </row>
    <row r="681" spans="1:16" x14ac:dyDescent="0.3">
      <c r="A681" s="58" t="s">
        <v>971</v>
      </c>
      <c r="B681" s="56" t="s">
        <v>61</v>
      </c>
      <c r="C681" s="50" t="str">
        <f>_xlfn.XLOOKUP(B681,CLIENTES!$A$2:$A$301,CLIENTES!$B$2:$B$301)</f>
        <v>Mariana Ponce</v>
      </c>
      <c r="D681" s="60">
        <v>45924</v>
      </c>
      <c r="E681" s="60">
        <f t="shared" si="30"/>
        <v>46289</v>
      </c>
      <c r="F681" s="50" t="s">
        <v>1595</v>
      </c>
      <c r="G681" s="56" t="s">
        <v>1603</v>
      </c>
      <c r="H681" s="47">
        <v>29</v>
      </c>
      <c r="I681" s="60">
        <v>35582</v>
      </c>
      <c r="J681" s="56" t="s">
        <v>1611</v>
      </c>
      <c r="K681" s="56">
        <v>2015</v>
      </c>
      <c r="L681" s="52">
        <f t="shared" si="31"/>
        <v>21603.968999999994</v>
      </c>
      <c r="M681" s="56">
        <f>LISTAS!$B$22*_xlfn.XLOOKUP(G681,LISTAS!$B$27:$B$36,LISTAS!$A$27:$A$36)*_xlfn.XLOOKUP(H681,LISTAS!$B$38:$B$47,LISTAS!$A$38:$A$47,,-1)*_xlfn.XLOOKUP(J681,LISTAS!$E$26:$H$26,LISTAS!$E$48:$H$48)*_xlfn.XLOOKUP(F681,LISTAS!$A$15:$A$18,LISTAS!$H$15:$H$18)</f>
        <v>1.5731999999999996E-2</v>
      </c>
      <c r="N681" s="54" cm="1">
        <f t="array" ref="N681">_xlfn.XLOOKUP(K681,LISTAS!$D$27:$D$47,_xlfn.XLOOKUP(J681,LISTAS!$E$26:$H$26,LISTAS!$E$27:$H$47))</f>
        <v>16479000</v>
      </c>
      <c r="O681" s="56" t="s">
        <v>1623</v>
      </c>
      <c r="P681" s="76" t="str">
        <f t="shared" ca="1" si="32"/>
        <v>Vigente</v>
      </c>
    </row>
    <row r="682" spans="1:16" x14ac:dyDescent="0.3">
      <c r="A682" s="58" t="s">
        <v>972</v>
      </c>
      <c r="B682" s="56" t="s">
        <v>273</v>
      </c>
      <c r="C682" s="50" t="str">
        <f>_xlfn.XLOOKUP(B682,CLIENTES!$A$2:$A$301,CLIENTES!$B$2:$B$301)</f>
        <v>Nicolás Ramírez</v>
      </c>
      <c r="D682" s="60">
        <v>45576</v>
      </c>
      <c r="E682" s="60">
        <f t="shared" si="30"/>
        <v>45941</v>
      </c>
      <c r="F682" s="50" t="s">
        <v>1598</v>
      </c>
      <c r="G682" s="56" t="s">
        <v>1599</v>
      </c>
      <c r="H682" s="47">
        <v>39</v>
      </c>
      <c r="I682" s="60">
        <v>31963</v>
      </c>
      <c r="J682" s="56" t="s">
        <v>1609</v>
      </c>
      <c r="K682" s="56">
        <v>2014</v>
      </c>
      <c r="L682" s="52">
        <f t="shared" si="31"/>
        <v>21897.200000000001</v>
      </c>
      <c r="M682" s="56">
        <f>LISTAS!$B$22*_xlfn.XLOOKUP(G682,LISTAS!$B$27:$B$36,LISTAS!$A$27:$A$36)*_xlfn.XLOOKUP(H682,LISTAS!$B$38:$B$47,LISTAS!$A$38:$A$47,,-1)*_xlfn.XLOOKUP(J682,LISTAS!$E$26:$H$26,LISTAS!$E$48:$H$48)*_xlfn.XLOOKUP(F682,LISTAS!$A$15:$A$18,LISTAS!$H$15:$H$18)</f>
        <v>3.1200000000000002E-2</v>
      </c>
      <c r="N682" s="54" cm="1">
        <f t="array" ref="N682">_xlfn.XLOOKUP(K682,LISTAS!$D$27:$D$47,_xlfn.XLOOKUP(J682,LISTAS!$E$26:$H$26,LISTAS!$E$27:$H$47))</f>
        <v>8422000</v>
      </c>
      <c r="O682" s="56" t="s">
        <v>1624</v>
      </c>
      <c r="P682" s="76" t="str">
        <f t="shared" ca="1" si="32"/>
        <v>Vencida</v>
      </c>
    </row>
    <row r="683" spans="1:16" x14ac:dyDescent="0.3">
      <c r="A683" s="58" t="s">
        <v>973</v>
      </c>
      <c r="B683" s="56" t="s">
        <v>237</v>
      </c>
      <c r="C683" s="50" t="str">
        <f>_xlfn.XLOOKUP(B683,CLIENTES!$A$2:$A$301,CLIENTES!$B$2:$B$301)</f>
        <v>Florencia Peralta</v>
      </c>
      <c r="D683" s="60">
        <v>45090</v>
      </c>
      <c r="E683" s="60">
        <f t="shared" si="30"/>
        <v>45456</v>
      </c>
      <c r="F683" s="50" t="s">
        <v>1595</v>
      </c>
      <c r="G683" s="56" t="s">
        <v>1605</v>
      </c>
      <c r="H683" s="47">
        <v>45</v>
      </c>
      <c r="I683" s="60">
        <v>29579</v>
      </c>
      <c r="J683" s="56" t="s">
        <v>1610</v>
      </c>
      <c r="K683" s="56">
        <v>2023</v>
      </c>
      <c r="L683" s="52">
        <f t="shared" si="31"/>
        <v>28818.801000000007</v>
      </c>
      <c r="M683" s="56">
        <f>LISTAS!$B$22*_xlfn.XLOOKUP(G683,LISTAS!$B$27:$B$36,LISTAS!$A$27:$A$36)*_xlfn.XLOOKUP(H683,LISTAS!$B$38:$B$47,LISTAS!$A$38:$A$47,,-1)*_xlfn.XLOOKUP(J683,LISTAS!$E$26:$H$26,LISTAS!$E$48:$H$48)*_xlfn.XLOOKUP(F683,LISTAS!$A$15:$A$18,LISTAS!$H$15:$H$18)</f>
        <v>1.1286000000000003E-2</v>
      </c>
      <c r="N683" s="54" cm="1">
        <f t="array" ref="N683">_xlfn.XLOOKUP(K683,LISTAS!$D$27:$D$47,_xlfn.XLOOKUP(J683,LISTAS!$E$26:$H$26,LISTAS!$E$27:$H$47))</f>
        <v>30642000</v>
      </c>
      <c r="O683" s="56" t="s">
        <v>1623</v>
      </c>
      <c r="P683" s="76" t="str">
        <f t="shared" ca="1" si="32"/>
        <v>Vencida</v>
      </c>
    </row>
    <row r="684" spans="1:16" x14ac:dyDescent="0.3">
      <c r="A684" s="58" t="s">
        <v>974</v>
      </c>
      <c r="B684" s="56" t="s">
        <v>132</v>
      </c>
      <c r="C684" s="50" t="str">
        <f>_xlfn.XLOOKUP(B684,CLIENTES!$A$2:$A$301,CLIENTES!$B$2:$B$301)</f>
        <v>Paula Roldán</v>
      </c>
      <c r="D684" s="60">
        <v>46180</v>
      </c>
      <c r="E684" s="60">
        <f t="shared" si="30"/>
        <v>46545</v>
      </c>
      <c r="F684" s="50" t="s">
        <v>1598</v>
      </c>
      <c r="G684" s="56" t="s">
        <v>1601</v>
      </c>
      <c r="H684" s="47">
        <v>23</v>
      </c>
      <c r="I684" s="60">
        <v>37616</v>
      </c>
      <c r="J684" s="56" t="s">
        <v>1611</v>
      </c>
      <c r="K684" s="56">
        <v>2024</v>
      </c>
      <c r="L684" s="52">
        <f t="shared" si="31"/>
        <v>146535.54581249997</v>
      </c>
      <c r="M684" s="56">
        <f>LISTAS!$B$22*_xlfn.XLOOKUP(G684,LISTAS!$B$27:$B$36,LISTAS!$A$27:$A$36)*_xlfn.XLOOKUP(H684,LISTAS!$B$38:$B$47,LISTAS!$A$38:$A$47,,-1)*_xlfn.XLOOKUP(J684,LISTAS!$E$26:$H$26,LISTAS!$E$48:$H$48)*_xlfn.XLOOKUP(F684,LISTAS!$A$15:$A$18,LISTAS!$H$15:$H$18)</f>
        <v>4.6419749999999996E-2</v>
      </c>
      <c r="N684" s="54" cm="1">
        <f t="array" ref="N684">_xlfn.XLOOKUP(K684,LISTAS!$D$27:$D$47,_xlfn.XLOOKUP(J684,LISTAS!$E$26:$H$26,LISTAS!$E$27:$H$47))</f>
        <v>37881000</v>
      </c>
      <c r="O684" s="56" t="s">
        <v>1624</v>
      </c>
      <c r="P684" s="76" t="str">
        <f t="shared" ca="1" si="32"/>
        <v>Vigente</v>
      </c>
    </row>
    <row r="685" spans="1:16" x14ac:dyDescent="0.3">
      <c r="A685" s="58" t="s">
        <v>975</v>
      </c>
      <c r="B685" s="56" t="s">
        <v>169</v>
      </c>
      <c r="C685" s="50" t="str">
        <f>_xlfn.XLOOKUP(B685,CLIENTES!$A$2:$A$301,CLIENTES!$B$2:$B$301)</f>
        <v>Pablo Ruiz</v>
      </c>
      <c r="D685" s="60">
        <v>44734</v>
      </c>
      <c r="E685" s="60">
        <f t="shared" si="30"/>
        <v>45099</v>
      </c>
      <c r="F685" s="50" t="s">
        <v>1595</v>
      </c>
      <c r="G685" s="56" t="s">
        <v>1602</v>
      </c>
      <c r="H685" s="47">
        <v>74</v>
      </c>
      <c r="I685" s="60">
        <v>18886</v>
      </c>
      <c r="J685" s="56" t="s">
        <v>1611</v>
      </c>
      <c r="K685" s="56">
        <v>2021</v>
      </c>
      <c r="L685" s="52">
        <f t="shared" si="31"/>
        <v>48257.012999999984</v>
      </c>
      <c r="M685" s="56">
        <f>LISTAS!$B$22*_xlfn.XLOOKUP(G685,LISTAS!$B$27:$B$36,LISTAS!$A$27:$A$36)*_xlfn.XLOOKUP(H685,LISTAS!$B$38:$B$47,LISTAS!$A$38:$A$47,,-1)*_xlfn.XLOOKUP(J685,LISTAS!$E$26:$H$26,LISTAS!$E$48:$H$48)*_xlfn.XLOOKUP(F685,LISTAS!$A$15:$A$18,LISTAS!$H$15:$H$18)</f>
        <v>2.0285999999999995E-2</v>
      </c>
      <c r="N685" s="54" cm="1">
        <f t="array" ref="N685">_xlfn.XLOOKUP(K685,LISTAS!$D$27:$D$47,_xlfn.XLOOKUP(J685,LISTAS!$E$26:$H$26,LISTAS!$E$27:$H$47))</f>
        <v>28546000</v>
      </c>
      <c r="O685" s="56" t="s">
        <v>1624</v>
      </c>
      <c r="P685" s="76" t="str">
        <f t="shared" ca="1" si="32"/>
        <v>Vencida</v>
      </c>
    </row>
    <row r="686" spans="1:16" x14ac:dyDescent="0.3">
      <c r="A686" s="58" t="s">
        <v>976</v>
      </c>
      <c r="B686" s="56" t="s">
        <v>52</v>
      </c>
      <c r="C686" s="50" t="str">
        <f>_xlfn.XLOOKUP(B686,CLIENTES!$A$2:$A$301,CLIENTES!$B$2:$B$301)</f>
        <v>Maximiliano González</v>
      </c>
      <c r="D686" s="60">
        <v>46128</v>
      </c>
      <c r="E686" s="60">
        <f t="shared" si="30"/>
        <v>46493</v>
      </c>
      <c r="F686" s="50" t="s">
        <v>1595</v>
      </c>
      <c r="G686" s="56" t="s">
        <v>1605</v>
      </c>
      <c r="H686" s="47">
        <v>31</v>
      </c>
      <c r="I686" s="60">
        <v>34679</v>
      </c>
      <c r="J686" s="56" t="s">
        <v>1610</v>
      </c>
      <c r="K686" s="56">
        <v>2017</v>
      </c>
      <c r="L686" s="52">
        <f t="shared" si="31"/>
        <v>17226.000000000004</v>
      </c>
      <c r="M686" s="56">
        <f>LISTAS!$B$22*_xlfn.XLOOKUP(G686,LISTAS!$B$27:$B$36,LISTAS!$A$27:$A$36)*_xlfn.XLOOKUP(H686,LISTAS!$B$38:$B$47,LISTAS!$A$38:$A$47,,-1)*_xlfn.XLOOKUP(J686,LISTAS!$E$26:$H$26,LISTAS!$E$48:$H$48)*_xlfn.XLOOKUP(F686,LISTAS!$A$15:$A$18,LISTAS!$H$15:$H$18)</f>
        <v>1.1880000000000003E-2</v>
      </c>
      <c r="N686" s="54" cm="1">
        <f t="array" ref="N686">_xlfn.XLOOKUP(K686,LISTAS!$D$27:$D$47,_xlfn.XLOOKUP(J686,LISTAS!$E$26:$H$26,LISTAS!$E$27:$H$47))</f>
        <v>17400000</v>
      </c>
      <c r="O686" s="56" t="s">
        <v>1624</v>
      </c>
      <c r="P686" s="76" t="str">
        <f t="shared" ca="1" si="32"/>
        <v>Vigente</v>
      </c>
    </row>
    <row r="687" spans="1:16" x14ac:dyDescent="0.3">
      <c r="A687" s="58" t="s">
        <v>977</v>
      </c>
      <c r="B687" s="56" t="s">
        <v>115</v>
      </c>
      <c r="C687" s="50" t="str">
        <f>_xlfn.XLOOKUP(B687,CLIENTES!$A$2:$A$301,CLIENTES!$B$2:$B$301)</f>
        <v>Martín Pérez</v>
      </c>
      <c r="D687" s="60">
        <v>45763</v>
      </c>
      <c r="E687" s="60">
        <f t="shared" si="30"/>
        <v>46128</v>
      </c>
      <c r="F687" s="50" t="s">
        <v>1595</v>
      </c>
      <c r="G687" s="56" t="s">
        <v>1604</v>
      </c>
      <c r="H687" s="47">
        <v>45</v>
      </c>
      <c r="I687" s="60">
        <v>29708</v>
      </c>
      <c r="J687" s="56" t="s">
        <v>1611</v>
      </c>
      <c r="K687" s="56">
        <v>2024</v>
      </c>
      <c r="L687" s="52">
        <f t="shared" si="31"/>
        <v>43454.242124999997</v>
      </c>
      <c r="M687" s="56">
        <f>LISTAS!$B$22*_xlfn.XLOOKUP(G687,LISTAS!$B$27:$B$36,LISTAS!$A$27:$A$36)*_xlfn.XLOOKUP(H687,LISTAS!$B$38:$B$47,LISTAS!$A$38:$A$47,,-1)*_xlfn.XLOOKUP(J687,LISTAS!$E$26:$H$26,LISTAS!$E$48:$H$48)*_xlfn.XLOOKUP(F687,LISTAS!$A$15:$A$18,LISTAS!$H$15:$H$18)</f>
        <v>1.3765499999999998E-2</v>
      </c>
      <c r="N687" s="54" cm="1">
        <f t="array" ref="N687">_xlfn.XLOOKUP(K687,LISTAS!$D$27:$D$47,_xlfn.XLOOKUP(J687,LISTAS!$E$26:$H$26,LISTAS!$E$27:$H$47))</f>
        <v>37881000</v>
      </c>
      <c r="O687" s="56" t="s">
        <v>1625</v>
      </c>
      <c r="P687" s="76" t="str">
        <f t="shared" ca="1" si="32"/>
        <v>Vencida</v>
      </c>
    </row>
    <row r="688" spans="1:16" x14ac:dyDescent="0.3">
      <c r="A688" s="58" t="s">
        <v>978</v>
      </c>
      <c r="B688" s="56" t="s">
        <v>191</v>
      </c>
      <c r="C688" s="50" t="str">
        <f>_xlfn.XLOOKUP(B688,CLIENTES!$A$2:$A$301,CLIENTES!$B$2:$B$301)</f>
        <v>Mateo Fernández</v>
      </c>
      <c r="D688" s="60">
        <v>46181</v>
      </c>
      <c r="E688" s="60">
        <f t="shared" si="30"/>
        <v>46546</v>
      </c>
      <c r="F688" s="50" t="s">
        <v>1597</v>
      </c>
      <c r="G688" s="56" t="s">
        <v>1607</v>
      </c>
      <c r="H688" s="47">
        <v>56</v>
      </c>
      <c r="I688" s="60">
        <v>25437</v>
      </c>
      <c r="J688" s="56" t="s">
        <v>1611</v>
      </c>
      <c r="K688" s="56">
        <v>2025</v>
      </c>
      <c r="L688" s="52">
        <f t="shared" si="31"/>
        <v>96013.5</v>
      </c>
      <c r="M688" s="56">
        <f>LISTAS!$B$22*_xlfn.XLOOKUP(G688,LISTAS!$B$27:$B$36,LISTAS!$A$27:$A$36)*_xlfn.XLOOKUP(H688,LISTAS!$B$38:$B$47,LISTAS!$A$38:$A$47,,-1)*_xlfn.XLOOKUP(J688,LISTAS!$E$26:$H$26,LISTAS!$E$48:$H$48)*_xlfn.XLOOKUP(F688,LISTAS!$A$15:$A$18,LISTAS!$H$15:$H$18)</f>
        <v>2.7830000000000001E-2</v>
      </c>
      <c r="N688" s="54" cm="1">
        <f t="array" ref="N688">_xlfn.XLOOKUP(K688,LISTAS!$D$27:$D$47,_xlfn.XLOOKUP(J688,LISTAS!$E$26:$H$26,LISTAS!$E$27:$H$47))</f>
        <v>41400000</v>
      </c>
      <c r="O688" s="56" t="s">
        <v>1625</v>
      </c>
      <c r="P688" s="76" t="str">
        <f t="shared" ca="1" si="32"/>
        <v>Vigente</v>
      </c>
    </row>
    <row r="689" spans="1:16" x14ac:dyDescent="0.3">
      <c r="A689" s="58" t="s">
        <v>979</v>
      </c>
      <c r="B689" s="56" t="s">
        <v>170</v>
      </c>
      <c r="C689" s="50" t="str">
        <f>_xlfn.XLOOKUP(B689,CLIENTES!$A$2:$A$301,CLIENTES!$B$2:$B$301)</f>
        <v>Camila Sosa</v>
      </c>
      <c r="D689" s="60">
        <v>45043</v>
      </c>
      <c r="E689" s="60">
        <f t="shared" si="30"/>
        <v>45409</v>
      </c>
      <c r="F689" s="50" t="s">
        <v>1597</v>
      </c>
      <c r="G689" s="56" t="s">
        <v>1608</v>
      </c>
      <c r="H689" s="47">
        <v>62</v>
      </c>
      <c r="I689" s="60">
        <v>23506</v>
      </c>
      <c r="J689" s="56" t="s">
        <v>1612</v>
      </c>
      <c r="K689" s="56">
        <v>2024</v>
      </c>
      <c r="L689" s="52">
        <f t="shared" si="31"/>
        <v>51726.010875000007</v>
      </c>
      <c r="M689" s="56">
        <f>LISTAS!$B$22*_xlfn.XLOOKUP(G689,LISTAS!$B$27:$B$36,LISTAS!$A$27:$A$36)*_xlfn.XLOOKUP(H689,LISTAS!$B$38:$B$47,LISTAS!$A$38:$A$47,,-1)*_xlfn.XLOOKUP(J689,LISTAS!$E$26:$H$26,LISTAS!$E$48:$H$48)*_xlfn.XLOOKUP(F689,LISTAS!$A$15:$A$18,LISTAS!$H$15:$H$18)</f>
        <v>2.3042250000000004E-2</v>
      </c>
      <c r="N689" s="54" cm="1">
        <f t="array" ref="N689">_xlfn.XLOOKUP(K689,LISTAS!$D$27:$D$47,_xlfn.XLOOKUP(J689,LISTAS!$E$26:$H$26,LISTAS!$E$27:$H$47))</f>
        <v>26938000</v>
      </c>
      <c r="O689" s="56" t="s">
        <v>1624</v>
      </c>
      <c r="P689" s="76" t="str">
        <f t="shared" ca="1" si="32"/>
        <v>Vencida</v>
      </c>
    </row>
    <row r="690" spans="1:16" x14ac:dyDescent="0.3">
      <c r="A690" s="58" t="s">
        <v>980</v>
      </c>
      <c r="B690" s="56" t="s">
        <v>283</v>
      </c>
      <c r="C690" s="50" t="str">
        <f>_xlfn.XLOOKUP(B690,CLIENTES!$A$2:$A$301,CLIENTES!$B$2:$B$301)</f>
        <v>Lautaro Méndez</v>
      </c>
      <c r="D690" s="60">
        <v>45080</v>
      </c>
      <c r="E690" s="60">
        <f t="shared" si="30"/>
        <v>45446</v>
      </c>
      <c r="F690" s="50" t="s">
        <v>1597</v>
      </c>
      <c r="G690" s="56" t="s">
        <v>1601</v>
      </c>
      <c r="H690" s="47">
        <v>61</v>
      </c>
      <c r="I690" s="60">
        <v>23898</v>
      </c>
      <c r="J690" s="56" t="s">
        <v>1609</v>
      </c>
      <c r="K690" s="56">
        <v>2023</v>
      </c>
      <c r="L690" s="52">
        <f t="shared" si="31"/>
        <v>42395.52625000001</v>
      </c>
      <c r="M690" s="56">
        <f>LISTAS!$B$22*_xlfn.XLOOKUP(G690,LISTAS!$B$27:$B$36,LISTAS!$A$27:$A$36)*_xlfn.XLOOKUP(H690,LISTAS!$B$38:$B$47,LISTAS!$A$38:$A$47,,-1)*_xlfn.XLOOKUP(J690,LISTAS!$E$26:$H$26,LISTAS!$E$48:$H$48)*_xlfn.XLOOKUP(F690,LISTAS!$A$15:$A$18,LISTAS!$H$15:$H$18)</f>
        <v>2.6565000000000005E-2</v>
      </c>
      <c r="N690" s="54" cm="1">
        <f t="array" ref="N690">_xlfn.XLOOKUP(K690,LISTAS!$D$27:$D$47,_xlfn.XLOOKUP(J690,LISTAS!$E$26:$H$26,LISTAS!$E$27:$H$47))</f>
        <v>19151000</v>
      </c>
      <c r="O690" s="56" t="s">
        <v>1623</v>
      </c>
      <c r="P690" s="76" t="str">
        <f t="shared" ca="1" si="32"/>
        <v>Vencida</v>
      </c>
    </row>
    <row r="691" spans="1:16" x14ac:dyDescent="0.3">
      <c r="A691" s="58" t="s">
        <v>981</v>
      </c>
      <c r="B691" s="56" t="s">
        <v>242</v>
      </c>
      <c r="C691" s="50" t="str">
        <f>_xlfn.XLOOKUP(B691,CLIENTES!$A$2:$A$301,CLIENTES!$B$2:$B$301)</f>
        <v>Malena Vega</v>
      </c>
      <c r="D691" s="60">
        <v>45507</v>
      </c>
      <c r="E691" s="60">
        <f t="shared" si="30"/>
        <v>45872</v>
      </c>
      <c r="F691" s="50" t="s">
        <v>1596</v>
      </c>
      <c r="G691" s="56" t="s">
        <v>1600</v>
      </c>
      <c r="H691" s="47">
        <v>28</v>
      </c>
      <c r="I691" s="60">
        <v>35780</v>
      </c>
      <c r="J691" s="56" t="s">
        <v>1609</v>
      </c>
      <c r="K691" s="56">
        <v>2013</v>
      </c>
      <c r="L691" s="52">
        <f t="shared" si="31"/>
        <v>15231.404999999999</v>
      </c>
      <c r="M691" s="56">
        <f>LISTAS!$B$22*_xlfn.XLOOKUP(G691,LISTAS!$B$27:$B$36,LISTAS!$A$27:$A$36)*_xlfn.XLOOKUP(H691,LISTAS!$B$38:$B$47,LISTAS!$A$38:$A$47,,-1)*_xlfn.XLOOKUP(J691,LISTAS!$E$26:$H$26,LISTAS!$E$48:$H$48)*_xlfn.XLOOKUP(F691,LISTAS!$A$15:$A$18,LISTAS!$H$15:$H$18)</f>
        <v>2.3459999999999998E-2</v>
      </c>
      <c r="N691" s="54" cm="1">
        <f t="array" ref="N691">_xlfn.XLOOKUP(K691,LISTAS!$D$27:$D$47,_xlfn.XLOOKUP(J691,LISTAS!$E$26:$H$26,LISTAS!$E$27:$H$47))</f>
        <v>7791000</v>
      </c>
      <c r="O691" s="56" t="s">
        <v>1625</v>
      </c>
      <c r="P691" s="76" t="str">
        <f t="shared" ca="1" si="32"/>
        <v>Vencida</v>
      </c>
    </row>
    <row r="692" spans="1:16" x14ac:dyDescent="0.3">
      <c r="A692" s="58" t="s">
        <v>982</v>
      </c>
      <c r="B692" s="56" t="s">
        <v>172</v>
      </c>
      <c r="C692" s="50" t="str">
        <f>_xlfn.XLOOKUP(B692,CLIENTES!$A$2:$A$301,CLIENTES!$B$2:$B$301)</f>
        <v>Rodrigo Molina</v>
      </c>
      <c r="D692" s="60">
        <v>44887</v>
      </c>
      <c r="E692" s="60">
        <f t="shared" si="30"/>
        <v>45252</v>
      </c>
      <c r="F692" s="50" t="s">
        <v>1597</v>
      </c>
      <c r="G692" s="56" t="s">
        <v>1603</v>
      </c>
      <c r="H692" s="47">
        <v>79</v>
      </c>
      <c r="I692" s="60">
        <v>17140</v>
      </c>
      <c r="J692" s="56" t="s">
        <v>1611</v>
      </c>
      <c r="K692" s="56">
        <v>2020</v>
      </c>
      <c r="L692" s="52">
        <f t="shared" si="31"/>
        <v>75443.161062500003</v>
      </c>
      <c r="M692" s="56">
        <f>LISTAS!$B$22*_xlfn.XLOOKUP(G692,LISTAS!$B$27:$B$36,LISTAS!$A$27:$A$36)*_xlfn.XLOOKUP(H692,LISTAS!$B$38:$B$47,LISTAS!$A$38:$A$47,,-1)*_xlfn.XLOOKUP(J692,LISTAS!$E$26:$H$26,LISTAS!$E$48:$H$48)*_xlfn.XLOOKUP(F692,LISTAS!$A$15:$A$18,LISTAS!$H$15:$H$18)</f>
        <v>3.485075E-2</v>
      </c>
      <c r="N692" s="54" cm="1">
        <f t="array" ref="N692">_xlfn.XLOOKUP(K692,LISTAS!$D$27:$D$47,_xlfn.XLOOKUP(J692,LISTAS!$E$26:$H$26,LISTAS!$E$27:$H$47))</f>
        <v>25977000</v>
      </c>
      <c r="O692" s="56" t="s">
        <v>1623</v>
      </c>
      <c r="P692" s="76" t="str">
        <f t="shared" ca="1" si="32"/>
        <v>Vencida</v>
      </c>
    </row>
    <row r="693" spans="1:16" x14ac:dyDescent="0.3">
      <c r="A693" s="58" t="s">
        <v>983</v>
      </c>
      <c r="B693" s="56" t="s">
        <v>184</v>
      </c>
      <c r="C693" s="50" t="str">
        <f>_xlfn.XLOOKUP(B693,CLIENTES!$A$2:$A$301,CLIENTES!$B$2:$B$301)</f>
        <v>Camila Vega</v>
      </c>
      <c r="D693" s="60">
        <v>45612</v>
      </c>
      <c r="E693" s="60">
        <f t="shared" si="30"/>
        <v>45977</v>
      </c>
      <c r="F693" s="50" t="s">
        <v>1596</v>
      </c>
      <c r="G693" s="56" t="s">
        <v>1603</v>
      </c>
      <c r="H693" s="47">
        <v>40</v>
      </c>
      <c r="I693" s="60">
        <v>31611</v>
      </c>
      <c r="J693" s="56" t="s">
        <v>1612</v>
      </c>
      <c r="K693" s="56">
        <v>2022</v>
      </c>
      <c r="L693" s="52">
        <f t="shared" si="31"/>
        <v>29946.450406249995</v>
      </c>
      <c r="M693" s="56">
        <f>LISTAS!$B$22*_xlfn.XLOOKUP(G693,LISTAS!$B$27:$B$36,LISTAS!$A$27:$A$36)*_xlfn.XLOOKUP(H693,LISTAS!$B$38:$B$47,LISTAS!$A$38:$A$47,,-1)*_xlfn.XLOOKUP(J693,LISTAS!$E$26:$H$26,LISTAS!$E$48:$H$48)*_xlfn.XLOOKUP(F693,LISTAS!$A$15:$A$18,LISTAS!$H$15:$H$18)</f>
        <v>1.6109624999999999E-2</v>
      </c>
      <c r="N693" s="54" cm="1">
        <f t="array" ref="N693">_xlfn.XLOOKUP(K693,LISTAS!$D$27:$D$47,_xlfn.XLOOKUP(J693,LISTAS!$E$26:$H$26,LISTAS!$E$27:$H$47))</f>
        <v>22307000</v>
      </c>
      <c r="O693" s="56" t="s">
        <v>1623</v>
      </c>
      <c r="P693" s="76" t="str">
        <f t="shared" ca="1" si="32"/>
        <v>Vencida</v>
      </c>
    </row>
    <row r="694" spans="1:16" x14ac:dyDescent="0.3">
      <c r="A694" s="58" t="s">
        <v>984</v>
      </c>
      <c r="B694" s="56" t="s">
        <v>197</v>
      </c>
      <c r="C694" s="50" t="str">
        <f>_xlfn.XLOOKUP(B694,CLIENTES!$A$2:$A$301,CLIENTES!$B$2:$B$301)</f>
        <v>Sofía Mansilla</v>
      </c>
      <c r="D694" s="60">
        <v>44961</v>
      </c>
      <c r="E694" s="60">
        <f t="shared" si="30"/>
        <v>45326</v>
      </c>
      <c r="F694" s="50" t="s">
        <v>1595</v>
      </c>
      <c r="G694" s="56" t="s">
        <v>1608</v>
      </c>
      <c r="H694" s="47">
        <v>73</v>
      </c>
      <c r="I694" s="60">
        <v>19455</v>
      </c>
      <c r="J694" s="56" t="s">
        <v>1610</v>
      </c>
      <c r="K694" s="56">
        <v>2023</v>
      </c>
      <c r="L694" s="52">
        <f t="shared" si="31"/>
        <v>44829.245999999992</v>
      </c>
      <c r="M694" s="56">
        <f>LISTAS!$B$22*_xlfn.XLOOKUP(G694,LISTAS!$B$27:$B$36,LISTAS!$A$27:$A$36)*_xlfn.XLOOKUP(H694,LISTAS!$B$38:$B$47,LISTAS!$A$38:$A$47,,-1)*_xlfn.XLOOKUP(J694,LISTAS!$E$26:$H$26,LISTAS!$E$48:$H$48)*_xlfn.XLOOKUP(F694,LISTAS!$A$15:$A$18,LISTAS!$H$15:$H$18)</f>
        <v>1.7555999999999999E-2</v>
      </c>
      <c r="N694" s="54" cm="1">
        <f t="array" ref="N694">_xlfn.XLOOKUP(K694,LISTAS!$D$27:$D$47,_xlfn.XLOOKUP(J694,LISTAS!$E$26:$H$26,LISTAS!$E$27:$H$47))</f>
        <v>30642000</v>
      </c>
      <c r="O694" s="56" t="s">
        <v>1626</v>
      </c>
      <c r="P694" s="76" t="str">
        <f t="shared" ca="1" si="32"/>
        <v>Vencida</v>
      </c>
    </row>
    <row r="695" spans="1:16" x14ac:dyDescent="0.3">
      <c r="A695" s="58" t="s">
        <v>985</v>
      </c>
      <c r="B695" s="56" t="s">
        <v>283</v>
      </c>
      <c r="C695" s="50" t="str">
        <f>_xlfn.XLOOKUP(B695,CLIENTES!$A$2:$A$301,CLIENTES!$B$2:$B$301)</f>
        <v>Lautaro Méndez</v>
      </c>
      <c r="D695" s="60">
        <v>46112</v>
      </c>
      <c r="E695" s="60">
        <f t="shared" si="30"/>
        <v>46477</v>
      </c>
      <c r="F695" s="50" t="s">
        <v>1595</v>
      </c>
      <c r="G695" s="56" t="s">
        <v>1601</v>
      </c>
      <c r="H695" s="47">
        <v>18</v>
      </c>
      <c r="I695" s="60">
        <v>39465</v>
      </c>
      <c r="J695" s="56" t="s">
        <v>1610</v>
      </c>
      <c r="K695" s="56">
        <v>2024</v>
      </c>
      <c r="L695" s="52">
        <f t="shared" si="31"/>
        <v>63892.62</v>
      </c>
      <c r="M695" s="56">
        <f>LISTAS!$B$22*_xlfn.XLOOKUP(G695,LISTAS!$B$27:$B$36,LISTAS!$A$27:$A$36)*_xlfn.XLOOKUP(H695,LISTAS!$B$38:$B$47,LISTAS!$A$38:$A$47,,-1)*_xlfn.XLOOKUP(J695,LISTAS!$E$26:$H$26,LISTAS!$E$48:$H$48)*_xlfn.XLOOKUP(F695,LISTAS!$A$15:$A$18,LISTAS!$H$15:$H$18)</f>
        <v>2.2770000000000002E-2</v>
      </c>
      <c r="N695" s="54" cm="1">
        <f t="array" ref="N695">_xlfn.XLOOKUP(K695,LISTAS!$D$27:$D$47,_xlfn.XLOOKUP(J695,LISTAS!$E$26:$H$26,LISTAS!$E$27:$H$47))</f>
        <v>33672000</v>
      </c>
      <c r="O695" s="56" t="s">
        <v>1623</v>
      </c>
      <c r="P695" s="76" t="str">
        <f t="shared" ca="1" si="32"/>
        <v>Vigente</v>
      </c>
    </row>
    <row r="696" spans="1:16" x14ac:dyDescent="0.3">
      <c r="A696" s="58" t="s">
        <v>986</v>
      </c>
      <c r="B696" s="56" t="s">
        <v>33</v>
      </c>
      <c r="C696" s="50" t="str">
        <f>_xlfn.XLOOKUP(B696,CLIENTES!$A$2:$A$301,CLIENTES!$B$2:$B$301)</f>
        <v>Daniel Suárez</v>
      </c>
      <c r="D696" s="60">
        <v>44971</v>
      </c>
      <c r="E696" s="60">
        <f t="shared" si="30"/>
        <v>45336</v>
      </c>
      <c r="F696" s="50" t="s">
        <v>1596</v>
      </c>
      <c r="G696" s="56" t="s">
        <v>1602</v>
      </c>
      <c r="H696" s="47">
        <v>77</v>
      </c>
      <c r="I696" s="60">
        <v>18070</v>
      </c>
      <c r="J696" s="56" t="s">
        <v>1612</v>
      </c>
      <c r="K696" s="56">
        <v>2017</v>
      </c>
      <c r="L696" s="52">
        <f t="shared" si="31"/>
        <v>31524.884999999998</v>
      </c>
      <c r="M696" s="56">
        <f>LISTAS!$B$22*_xlfn.XLOOKUP(G696,LISTAS!$B$27:$B$36,LISTAS!$A$27:$A$36)*_xlfn.XLOOKUP(H696,LISTAS!$B$38:$B$47,LISTAS!$A$38:$A$47,,-1)*_xlfn.XLOOKUP(J696,LISTAS!$E$26:$H$26,LISTAS!$E$48:$H$48)*_xlfn.XLOOKUP(F696,LISTAS!$A$15:$A$18,LISTAS!$H$15:$H$18)</f>
        <v>2.7176624999999999E-2</v>
      </c>
      <c r="N696" s="54" cm="1">
        <f t="array" ref="N696">_xlfn.XLOOKUP(K696,LISTAS!$D$27:$D$47,_xlfn.XLOOKUP(J696,LISTAS!$E$26:$H$26,LISTAS!$E$27:$H$47))</f>
        <v>13920000</v>
      </c>
      <c r="O696" s="56" t="s">
        <v>1624</v>
      </c>
      <c r="P696" s="76" t="str">
        <f t="shared" ca="1" si="32"/>
        <v>Vencida</v>
      </c>
    </row>
    <row r="697" spans="1:16" x14ac:dyDescent="0.3">
      <c r="A697" s="58" t="s">
        <v>987</v>
      </c>
      <c r="B697" s="56" t="s">
        <v>11</v>
      </c>
      <c r="C697" s="50" t="str">
        <f>_xlfn.XLOOKUP(B697,CLIENTES!$A$2:$A$301,CLIENTES!$B$2:$B$301)</f>
        <v>Andrés Cabrera</v>
      </c>
      <c r="D697" s="60">
        <v>44958</v>
      </c>
      <c r="E697" s="60">
        <f t="shared" si="30"/>
        <v>45323</v>
      </c>
      <c r="F697" s="50" t="s">
        <v>1596</v>
      </c>
      <c r="G697" s="56" t="s">
        <v>1601</v>
      </c>
      <c r="H697" s="47">
        <v>67</v>
      </c>
      <c r="I697" s="60">
        <v>21693</v>
      </c>
      <c r="J697" s="56" t="s">
        <v>1609</v>
      </c>
      <c r="K697" s="56">
        <v>2021</v>
      </c>
      <c r="L697" s="52">
        <f t="shared" si="31"/>
        <v>29712.497291666663</v>
      </c>
      <c r="M697" s="56">
        <f>LISTAS!$B$22*_xlfn.XLOOKUP(G697,LISTAS!$B$27:$B$36,LISTAS!$A$27:$A$36)*_xlfn.XLOOKUP(H697,LISTAS!$B$38:$B$47,LISTAS!$A$38:$A$47,,-1)*_xlfn.XLOOKUP(J697,LISTAS!$E$26:$H$26,LISTAS!$E$48:$H$48)*_xlfn.XLOOKUP(F697,LISTAS!$A$15:$A$18,LISTAS!$H$15:$H$18)</f>
        <v>2.2482499999999999E-2</v>
      </c>
      <c r="N697" s="54" cm="1">
        <f t="array" ref="N697">_xlfn.XLOOKUP(K697,LISTAS!$D$27:$D$47,_xlfn.XLOOKUP(J697,LISTAS!$E$26:$H$26,LISTAS!$E$27:$H$47))</f>
        <v>15859000</v>
      </c>
      <c r="O697" s="56" t="s">
        <v>1623</v>
      </c>
      <c r="P697" s="76" t="str">
        <f t="shared" ca="1" si="32"/>
        <v>Vencida</v>
      </c>
    </row>
    <row r="698" spans="1:16" x14ac:dyDescent="0.3">
      <c r="A698" s="58" t="s">
        <v>988</v>
      </c>
      <c r="B698" s="56" t="s">
        <v>19</v>
      </c>
      <c r="C698" s="50" t="str">
        <f>_xlfn.XLOOKUP(B698,CLIENTES!$A$2:$A$301,CLIENTES!$B$2:$B$301)</f>
        <v>Daniela Silva</v>
      </c>
      <c r="D698" s="60">
        <v>45046</v>
      </c>
      <c r="E698" s="60">
        <f t="shared" si="30"/>
        <v>45412</v>
      </c>
      <c r="F698" s="50" t="s">
        <v>1595</v>
      </c>
      <c r="G698" s="56" t="s">
        <v>1604</v>
      </c>
      <c r="H698" s="47">
        <v>70</v>
      </c>
      <c r="I698" s="60">
        <v>20380</v>
      </c>
      <c r="J698" s="56" t="s">
        <v>1610</v>
      </c>
      <c r="K698" s="56">
        <v>2016</v>
      </c>
      <c r="L698" s="52">
        <f t="shared" si="31"/>
        <v>25744.257000000001</v>
      </c>
      <c r="M698" s="56">
        <f>LISTAS!$B$22*_xlfn.XLOOKUP(G698,LISTAS!$B$27:$B$36,LISTAS!$A$27:$A$36)*_xlfn.XLOOKUP(H698,LISTAS!$B$38:$B$47,LISTAS!$A$38:$A$47,,-1)*_xlfn.XLOOKUP(J698,LISTAS!$E$26:$H$26,LISTAS!$E$48:$H$48)*_xlfn.XLOOKUP(F698,LISTAS!$A$15:$A$18,LISTAS!$H$15:$H$18)</f>
        <v>1.9404000000000001E-2</v>
      </c>
      <c r="N698" s="54" cm="1">
        <f t="array" ref="N698">_xlfn.XLOOKUP(K698,LISTAS!$D$27:$D$47,_xlfn.XLOOKUP(J698,LISTAS!$E$26:$H$26,LISTAS!$E$27:$H$47))</f>
        <v>15921000</v>
      </c>
      <c r="O698" s="56" t="s">
        <v>1623</v>
      </c>
      <c r="P698" s="76" t="str">
        <f t="shared" ca="1" si="32"/>
        <v>Vencida</v>
      </c>
    </row>
    <row r="699" spans="1:16" x14ac:dyDescent="0.3">
      <c r="A699" s="58" t="s">
        <v>989</v>
      </c>
      <c r="B699" s="56" t="s">
        <v>192</v>
      </c>
      <c r="C699" s="50" t="str">
        <f>_xlfn.XLOOKUP(B699,CLIENTES!$A$2:$A$301,CLIENTES!$B$2:$B$301)</f>
        <v>Franco Díaz</v>
      </c>
      <c r="D699" s="60">
        <v>45710</v>
      </c>
      <c r="E699" s="60">
        <f t="shared" si="30"/>
        <v>46075</v>
      </c>
      <c r="F699" s="50" t="s">
        <v>1596</v>
      </c>
      <c r="G699" s="56" t="s">
        <v>1605</v>
      </c>
      <c r="H699" s="47">
        <v>63</v>
      </c>
      <c r="I699" s="60">
        <v>23034</v>
      </c>
      <c r="J699" s="56" t="s">
        <v>1611</v>
      </c>
      <c r="K699" s="56">
        <v>2020</v>
      </c>
      <c r="L699" s="52">
        <f t="shared" si="31"/>
        <v>39993.215062499999</v>
      </c>
      <c r="M699" s="56">
        <f>LISTAS!$B$22*_xlfn.XLOOKUP(G699,LISTAS!$B$27:$B$36,LISTAS!$A$27:$A$36)*_xlfn.XLOOKUP(H699,LISTAS!$B$38:$B$47,LISTAS!$A$38:$A$47,,-1)*_xlfn.XLOOKUP(J699,LISTAS!$E$26:$H$26,LISTAS!$E$48:$H$48)*_xlfn.XLOOKUP(F699,LISTAS!$A$15:$A$18,LISTAS!$H$15:$H$18)</f>
        <v>1.8474750000000002E-2</v>
      </c>
      <c r="N699" s="54" cm="1">
        <f t="array" ref="N699">_xlfn.XLOOKUP(K699,LISTAS!$D$27:$D$47,_xlfn.XLOOKUP(J699,LISTAS!$E$26:$H$26,LISTAS!$E$27:$H$47))</f>
        <v>25977000</v>
      </c>
      <c r="O699" s="56" t="s">
        <v>1625</v>
      </c>
      <c r="P699" s="76" t="str">
        <f t="shared" ca="1" si="32"/>
        <v>Vencida</v>
      </c>
    </row>
    <row r="700" spans="1:16" x14ac:dyDescent="0.3">
      <c r="A700" s="58" t="s">
        <v>990</v>
      </c>
      <c r="B700" s="56" t="s">
        <v>107</v>
      </c>
      <c r="C700" s="50" t="str">
        <f>_xlfn.XLOOKUP(B700,CLIENTES!$A$2:$A$301,CLIENTES!$B$2:$B$301)</f>
        <v>Emiliano Rojas</v>
      </c>
      <c r="D700" s="60">
        <v>45318</v>
      </c>
      <c r="E700" s="60">
        <f t="shared" si="30"/>
        <v>45684</v>
      </c>
      <c r="F700" s="50" t="s">
        <v>1595</v>
      </c>
      <c r="G700" s="56" t="s">
        <v>1601</v>
      </c>
      <c r="H700" s="47">
        <v>78</v>
      </c>
      <c r="I700" s="60">
        <v>17553</v>
      </c>
      <c r="J700" s="56" t="s">
        <v>1611</v>
      </c>
      <c r="K700" s="56">
        <v>2021</v>
      </c>
      <c r="L700" s="52">
        <f t="shared" si="31"/>
        <v>54740.523249999991</v>
      </c>
      <c r="M700" s="56">
        <f>LISTAS!$B$22*_xlfn.XLOOKUP(G700,LISTAS!$B$27:$B$36,LISTAS!$A$27:$A$36)*_xlfn.XLOOKUP(H700,LISTAS!$B$38:$B$47,LISTAS!$A$38:$A$47,,-1)*_xlfn.XLOOKUP(J700,LISTAS!$E$26:$H$26,LISTAS!$E$48:$H$48)*_xlfn.XLOOKUP(F700,LISTAS!$A$15:$A$18,LISTAS!$H$15:$H$18)</f>
        <v>2.3011499999999997E-2</v>
      </c>
      <c r="N700" s="54" cm="1">
        <f t="array" ref="N700">_xlfn.XLOOKUP(K700,LISTAS!$D$27:$D$47,_xlfn.XLOOKUP(J700,LISTAS!$E$26:$H$26,LISTAS!$E$27:$H$47))</f>
        <v>28546000</v>
      </c>
      <c r="O700" s="56" t="s">
        <v>1626</v>
      </c>
      <c r="P700" s="76" t="str">
        <f t="shared" ca="1" si="32"/>
        <v>Vencida</v>
      </c>
    </row>
    <row r="701" spans="1:16" x14ac:dyDescent="0.3">
      <c r="A701" s="58" t="s">
        <v>991</v>
      </c>
      <c r="B701" s="56" t="s">
        <v>135</v>
      </c>
      <c r="C701" s="50" t="str">
        <f>_xlfn.XLOOKUP(B701,CLIENTES!$A$2:$A$301,CLIENTES!$B$2:$B$301)</f>
        <v>Gonzalo Pereyra</v>
      </c>
      <c r="D701" s="60">
        <v>45865</v>
      </c>
      <c r="E701" s="60">
        <f t="shared" si="30"/>
        <v>46230</v>
      </c>
      <c r="F701" s="50" t="s">
        <v>1597</v>
      </c>
      <c r="G701" s="56" t="s">
        <v>1604</v>
      </c>
      <c r="H701" s="47">
        <v>31</v>
      </c>
      <c r="I701" s="60">
        <v>34798</v>
      </c>
      <c r="J701" s="56" t="s">
        <v>1610</v>
      </c>
      <c r="K701" s="56">
        <v>2019</v>
      </c>
      <c r="L701" s="52">
        <f t="shared" si="31"/>
        <v>44492.910000000011</v>
      </c>
      <c r="M701" s="56">
        <f>LISTAS!$B$22*_xlfn.XLOOKUP(G701,LISTAS!$B$27:$B$36,LISTAS!$A$27:$A$36)*_xlfn.XLOOKUP(H701,LISTAS!$B$38:$B$47,LISTAS!$A$38:$A$47,,-1)*_xlfn.XLOOKUP(J701,LISTAS!$E$26:$H$26,LISTAS!$E$48:$H$48)*_xlfn.XLOOKUP(F701,LISTAS!$A$15:$A$18,LISTAS!$H$15:$H$18)</f>
        <v>2.5410000000000005E-2</v>
      </c>
      <c r="N701" s="54" cm="1">
        <f t="array" ref="N701">_xlfn.XLOOKUP(K701,LISTAS!$D$27:$D$47,_xlfn.XLOOKUP(J701,LISTAS!$E$26:$H$26,LISTAS!$E$27:$H$47))</f>
        <v>21012000</v>
      </c>
      <c r="O701" s="56" t="s">
        <v>1623</v>
      </c>
      <c r="P701" s="76" t="str">
        <f t="shared" ca="1" si="32"/>
        <v>Vencida</v>
      </c>
    </row>
    <row r="702" spans="1:16" x14ac:dyDescent="0.3">
      <c r="A702" s="58" t="s">
        <v>992</v>
      </c>
      <c r="B702" s="56" t="s">
        <v>23</v>
      </c>
      <c r="C702" s="50" t="str">
        <f>_xlfn.XLOOKUP(B702,CLIENTES!$A$2:$A$301,CLIENTES!$B$2:$B$301)</f>
        <v>Tomás Álvarez</v>
      </c>
      <c r="D702" s="60">
        <v>45176</v>
      </c>
      <c r="E702" s="60">
        <f t="shared" si="30"/>
        <v>45542</v>
      </c>
      <c r="F702" s="50" t="s">
        <v>1596</v>
      </c>
      <c r="G702" s="56" t="s">
        <v>1604</v>
      </c>
      <c r="H702" s="47">
        <v>32</v>
      </c>
      <c r="I702" s="60">
        <v>34387</v>
      </c>
      <c r="J702" s="56" t="s">
        <v>1609</v>
      </c>
      <c r="K702" s="56">
        <v>2024</v>
      </c>
      <c r="L702" s="52">
        <f t="shared" si="31"/>
        <v>31304.4375</v>
      </c>
      <c r="M702" s="56">
        <f>LISTAS!$B$22*_xlfn.XLOOKUP(G702,LISTAS!$B$27:$B$36,LISTAS!$A$27:$A$36)*_xlfn.XLOOKUP(H702,LISTAS!$B$38:$B$47,LISTAS!$A$38:$A$47,,-1)*_xlfn.XLOOKUP(J702,LISTAS!$E$26:$H$26,LISTAS!$E$48:$H$48)*_xlfn.XLOOKUP(F702,LISTAS!$A$15:$A$18,LISTAS!$H$15:$H$18)</f>
        <v>1.7850000000000001E-2</v>
      </c>
      <c r="N702" s="54" cm="1">
        <f t="array" ref="N702">_xlfn.XLOOKUP(K702,LISTAS!$D$27:$D$47,_xlfn.XLOOKUP(J702,LISTAS!$E$26:$H$26,LISTAS!$E$27:$H$47))</f>
        <v>21045000</v>
      </c>
      <c r="O702" s="56" t="s">
        <v>1625</v>
      </c>
      <c r="P702" s="76" t="str">
        <f t="shared" ca="1" si="32"/>
        <v>Vencida</v>
      </c>
    </row>
    <row r="703" spans="1:16" x14ac:dyDescent="0.3">
      <c r="A703" s="58" t="s">
        <v>993</v>
      </c>
      <c r="B703" s="56" t="s">
        <v>64</v>
      </c>
      <c r="C703" s="50" t="str">
        <f>_xlfn.XLOOKUP(B703,CLIENTES!$A$2:$A$301,CLIENTES!$B$2:$B$301)</f>
        <v>Matías Herrera</v>
      </c>
      <c r="D703" s="60">
        <v>45232</v>
      </c>
      <c r="E703" s="60">
        <f t="shared" si="30"/>
        <v>45598</v>
      </c>
      <c r="F703" s="50" t="s">
        <v>1596</v>
      </c>
      <c r="G703" s="56" t="s">
        <v>1600</v>
      </c>
      <c r="H703" s="47">
        <v>45</v>
      </c>
      <c r="I703" s="60">
        <v>29647</v>
      </c>
      <c r="J703" s="56" t="s">
        <v>1610</v>
      </c>
      <c r="K703" s="56">
        <v>2026</v>
      </c>
      <c r="L703" s="52">
        <f t="shared" si="31"/>
        <v>68099.166666666672</v>
      </c>
      <c r="M703" s="56">
        <f>LISTAS!$B$22*_xlfn.XLOOKUP(G703,LISTAS!$B$27:$B$36,LISTAS!$A$27:$A$36)*_xlfn.XLOOKUP(H703,LISTAS!$B$38:$B$47,LISTAS!$A$38:$A$47,,-1)*_xlfn.XLOOKUP(J703,LISTAS!$E$26:$H$26,LISTAS!$E$48:$H$48)*_xlfn.XLOOKUP(F703,LISTAS!$A$15:$A$18,LISTAS!$H$15:$H$18)</f>
        <v>2.042975E-2</v>
      </c>
      <c r="N703" s="54" cm="1">
        <f t="array" ref="N703">_xlfn.XLOOKUP(K703,LISTAS!$D$27:$D$47,_xlfn.XLOOKUP(J703,LISTAS!$E$26:$H$26,LISTAS!$E$27:$H$47))</f>
        <v>40000000</v>
      </c>
      <c r="O703" s="56" t="s">
        <v>1623</v>
      </c>
      <c r="P703" s="76" t="str">
        <f t="shared" ca="1" si="32"/>
        <v>Vencida</v>
      </c>
    </row>
    <row r="704" spans="1:16" x14ac:dyDescent="0.3">
      <c r="A704" s="58" t="s">
        <v>994</v>
      </c>
      <c r="B704" s="56" t="s">
        <v>123</v>
      </c>
      <c r="C704" s="50" t="str">
        <f>_xlfn.XLOOKUP(B704,CLIENTES!$A$2:$A$301,CLIENTES!$B$2:$B$301)</f>
        <v>Victoria Ramírez</v>
      </c>
      <c r="D704" s="60">
        <v>45024</v>
      </c>
      <c r="E704" s="60">
        <f t="shared" si="30"/>
        <v>45390</v>
      </c>
      <c r="F704" s="50" t="s">
        <v>1597</v>
      </c>
      <c r="G704" s="56" t="s">
        <v>1604</v>
      </c>
      <c r="H704" s="47">
        <v>51</v>
      </c>
      <c r="I704" s="60">
        <v>27332</v>
      </c>
      <c r="J704" s="56" t="s">
        <v>1611</v>
      </c>
      <c r="K704" s="56">
        <v>2020</v>
      </c>
      <c r="L704" s="52">
        <f t="shared" si="31"/>
        <v>57506.583750000013</v>
      </c>
      <c r="M704" s="56">
        <f>LISTAS!$B$22*_xlfn.XLOOKUP(G704,LISTAS!$B$27:$B$36,LISTAS!$A$27:$A$36)*_xlfn.XLOOKUP(H704,LISTAS!$B$38:$B$47,LISTAS!$A$38:$A$47,,-1)*_xlfn.XLOOKUP(J704,LISTAS!$E$26:$H$26,LISTAS!$E$48:$H$48)*_xlfn.XLOOKUP(F704,LISTAS!$A$15:$A$18,LISTAS!$H$15:$H$18)</f>
        <v>2.6565000000000005E-2</v>
      </c>
      <c r="N704" s="54" cm="1">
        <f t="array" ref="N704">_xlfn.XLOOKUP(K704,LISTAS!$D$27:$D$47,_xlfn.XLOOKUP(J704,LISTAS!$E$26:$H$26,LISTAS!$E$27:$H$47))</f>
        <v>25977000</v>
      </c>
      <c r="O704" s="56" t="s">
        <v>1623</v>
      </c>
      <c r="P704" s="76" t="str">
        <f t="shared" ca="1" si="32"/>
        <v>Vencida</v>
      </c>
    </row>
    <row r="705" spans="1:16" x14ac:dyDescent="0.3">
      <c r="A705" s="58" t="s">
        <v>995</v>
      </c>
      <c r="B705" s="56" t="s">
        <v>189</v>
      </c>
      <c r="C705" s="50" t="str">
        <f>_xlfn.XLOOKUP(B705,CLIENTES!$A$2:$A$301,CLIENTES!$B$2:$B$301)</f>
        <v>Valentina Navarro</v>
      </c>
      <c r="D705" s="60">
        <v>45542</v>
      </c>
      <c r="E705" s="60">
        <f t="shared" si="30"/>
        <v>45907</v>
      </c>
      <c r="F705" s="50" t="s">
        <v>1598</v>
      </c>
      <c r="G705" s="56" t="s">
        <v>1605</v>
      </c>
      <c r="H705" s="47">
        <v>33</v>
      </c>
      <c r="I705" s="60">
        <v>34177</v>
      </c>
      <c r="J705" s="56" t="s">
        <v>1612</v>
      </c>
      <c r="K705" s="56">
        <v>2018</v>
      </c>
      <c r="L705" s="52">
        <f t="shared" si="31"/>
        <v>31320.607500000009</v>
      </c>
      <c r="M705" s="56">
        <f>LISTAS!$B$22*_xlfn.XLOOKUP(G705,LISTAS!$B$27:$B$36,LISTAS!$A$27:$A$36)*_xlfn.XLOOKUP(H705,LISTAS!$B$38:$B$47,LISTAS!$A$38:$A$47,,-1)*_xlfn.XLOOKUP(J705,LISTAS!$E$26:$H$26,LISTAS!$E$48:$H$48)*_xlfn.XLOOKUP(F705,LISTAS!$A$15:$A$18,LISTAS!$H$15:$H$18)</f>
        <v>2.4570000000000005E-2</v>
      </c>
      <c r="N705" s="54" cm="1">
        <f t="array" ref="N705">_xlfn.XLOOKUP(K705,LISTAS!$D$27:$D$47,_xlfn.XLOOKUP(J705,LISTAS!$E$26:$H$26,LISTAS!$E$27:$H$47))</f>
        <v>15297000</v>
      </c>
      <c r="O705" s="56" t="s">
        <v>1624</v>
      </c>
      <c r="P705" s="76" t="str">
        <f t="shared" ca="1" si="32"/>
        <v>Vencida</v>
      </c>
    </row>
    <row r="706" spans="1:16" x14ac:dyDescent="0.3">
      <c r="A706" s="58" t="s">
        <v>996</v>
      </c>
      <c r="B706" s="56" t="s">
        <v>263</v>
      </c>
      <c r="C706" s="50" t="str">
        <f>_xlfn.XLOOKUP(B706,CLIENTES!$A$2:$A$301,CLIENTES!$B$2:$B$301)</f>
        <v>Bruno Núñez</v>
      </c>
      <c r="D706" s="60">
        <v>45810</v>
      </c>
      <c r="E706" s="60">
        <f t="shared" si="30"/>
        <v>46175</v>
      </c>
      <c r="F706" s="50" t="s">
        <v>1596</v>
      </c>
      <c r="G706" s="56" t="s">
        <v>1599</v>
      </c>
      <c r="H706" s="47">
        <v>33</v>
      </c>
      <c r="I706" s="60">
        <v>33999</v>
      </c>
      <c r="J706" s="56" t="s">
        <v>1611</v>
      </c>
      <c r="K706" s="56">
        <v>2024</v>
      </c>
      <c r="L706" s="52">
        <f t="shared" si="31"/>
        <v>74057.354999999996</v>
      </c>
      <c r="M706" s="56">
        <f>LISTAS!$B$22*_xlfn.XLOOKUP(G706,LISTAS!$B$27:$B$36,LISTAS!$A$27:$A$36)*_xlfn.XLOOKUP(H706,LISTAS!$B$38:$B$47,LISTAS!$A$38:$A$47,,-1)*_xlfn.XLOOKUP(J706,LISTAS!$E$26:$H$26,LISTAS!$E$48:$H$48)*_xlfn.XLOOKUP(F706,LISTAS!$A$15:$A$18,LISTAS!$H$15:$H$18)</f>
        <v>2.3459999999999998E-2</v>
      </c>
      <c r="N706" s="54" cm="1">
        <f t="array" ref="N706">_xlfn.XLOOKUP(K706,LISTAS!$D$27:$D$47,_xlfn.XLOOKUP(J706,LISTAS!$E$26:$H$26,LISTAS!$E$27:$H$47))</f>
        <v>37881000</v>
      </c>
      <c r="O706" s="56" t="s">
        <v>1623</v>
      </c>
      <c r="P706" s="76" t="str">
        <f t="shared" ca="1" si="32"/>
        <v>Vencida</v>
      </c>
    </row>
    <row r="707" spans="1:16" x14ac:dyDescent="0.3">
      <c r="A707" s="58" t="s">
        <v>997</v>
      </c>
      <c r="B707" s="56" t="s">
        <v>121</v>
      </c>
      <c r="C707" s="50" t="str">
        <f>_xlfn.XLOOKUP(B707,CLIENTES!$A$2:$A$301,CLIENTES!$B$2:$B$301)</f>
        <v>Camila Ponce</v>
      </c>
      <c r="D707" s="60">
        <v>44538</v>
      </c>
      <c r="E707" s="60">
        <f t="shared" ref="E707:E770" si="33">EDATE(D707,12)</f>
        <v>44903</v>
      </c>
      <c r="F707" s="50" t="s">
        <v>1595</v>
      </c>
      <c r="G707" s="56" t="s">
        <v>1599</v>
      </c>
      <c r="H707" s="47">
        <v>69</v>
      </c>
      <c r="I707" s="60">
        <v>20820</v>
      </c>
      <c r="J707" s="56" t="s">
        <v>1611</v>
      </c>
      <c r="K707" s="56">
        <v>2024</v>
      </c>
      <c r="L707" s="52">
        <f t="shared" ref="L707:L770" si="34">(N707*M707)/12</f>
        <v>60117.146999999997</v>
      </c>
      <c r="M707" s="56">
        <f>LISTAS!$B$22*_xlfn.XLOOKUP(G707,LISTAS!$B$27:$B$36,LISTAS!$A$27:$A$36)*_xlfn.XLOOKUP(H707,LISTAS!$B$38:$B$47,LISTAS!$A$38:$A$47,,-1)*_xlfn.XLOOKUP(J707,LISTAS!$E$26:$H$26,LISTAS!$E$48:$H$48)*_xlfn.XLOOKUP(F707,LISTAS!$A$15:$A$18,LISTAS!$H$15:$H$18)</f>
        <v>1.9043999999999998E-2</v>
      </c>
      <c r="N707" s="54" cm="1">
        <f t="array" ref="N707">_xlfn.XLOOKUP(K707,LISTAS!$D$27:$D$47,_xlfn.XLOOKUP(J707,LISTAS!$E$26:$H$26,LISTAS!$E$27:$H$47))</f>
        <v>37881000</v>
      </c>
      <c r="O707" s="56" t="s">
        <v>1623</v>
      </c>
      <c r="P707" s="76" t="str">
        <f t="shared" ref="P707:P770" ca="1" si="35">IF(TODAY()&lt;D707,"Pendiente",IF(TODAY()&gt;E707,"Vencida","Vigente"))</f>
        <v>Vencida</v>
      </c>
    </row>
    <row r="708" spans="1:16" x14ac:dyDescent="0.3">
      <c r="A708" s="58" t="s">
        <v>998</v>
      </c>
      <c r="B708" s="56" t="s">
        <v>239</v>
      </c>
      <c r="C708" s="50" t="str">
        <f>_xlfn.XLOOKUP(B708,CLIENTES!$A$2:$A$301,CLIENTES!$B$2:$B$301)</f>
        <v>Matías Flores</v>
      </c>
      <c r="D708" s="60">
        <v>45013</v>
      </c>
      <c r="E708" s="60">
        <f t="shared" si="33"/>
        <v>45379</v>
      </c>
      <c r="F708" s="50" t="s">
        <v>1595</v>
      </c>
      <c r="G708" s="56" t="s">
        <v>1600</v>
      </c>
      <c r="H708" s="47">
        <v>50</v>
      </c>
      <c r="I708" s="60">
        <v>27826</v>
      </c>
      <c r="J708" s="56" t="s">
        <v>1610</v>
      </c>
      <c r="K708" s="56">
        <v>2018</v>
      </c>
      <c r="L708" s="52">
        <f t="shared" si="34"/>
        <v>24188.065000000002</v>
      </c>
      <c r="M708" s="56">
        <f>LISTAS!$B$22*_xlfn.XLOOKUP(G708,LISTAS!$B$27:$B$36,LISTAS!$A$27:$A$36)*_xlfn.XLOOKUP(H708,LISTAS!$B$38:$B$47,LISTAS!$A$38:$A$47,,-1)*_xlfn.XLOOKUP(J708,LISTAS!$E$26:$H$26,LISTAS!$E$48:$H$48)*_xlfn.XLOOKUP(F708,LISTAS!$A$15:$A$18,LISTAS!$H$15:$H$18)</f>
        <v>1.5180000000000001E-2</v>
      </c>
      <c r="N708" s="54" cm="1">
        <f t="array" ref="N708">_xlfn.XLOOKUP(K708,LISTAS!$D$27:$D$47,_xlfn.XLOOKUP(J708,LISTAS!$E$26:$H$26,LISTAS!$E$27:$H$47))</f>
        <v>19121000</v>
      </c>
      <c r="O708" s="56" t="s">
        <v>1623</v>
      </c>
      <c r="P708" s="76" t="str">
        <f t="shared" ca="1" si="35"/>
        <v>Vencida</v>
      </c>
    </row>
    <row r="709" spans="1:16" x14ac:dyDescent="0.3">
      <c r="A709" s="58" t="s">
        <v>999</v>
      </c>
      <c r="B709" s="56" t="s">
        <v>160</v>
      </c>
      <c r="C709" s="50" t="str">
        <f>_xlfn.XLOOKUP(B709,CLIENTES!$A$2:$A$301,CLIENTES!$B$2:$B$301)</f>
        <v>Gabriela Sosa</v>
      </c>
      <c r="D709" s="60">
        <v>46181</v>
      </c>
      <c r="E709" s="60">
        <f t="shared" si="33"/>
        <v>46546</v>
      </c>
      <c r="F709" s="50" t="s">
        <v>1597</v>
      </c>
      <c r="G709" s="56" t="s">
        <v>1604</v>
      </c>
      <c r="H709" s="47">
        <v>19</v>
      </c>
      <c r="I709" s="60">
        <v>39199</v>
      </c>
      <c r="J709" s="56" t="s">
        <v>1610</v>
      </c>
      <c r="K709" s="56">
        <v>2021</v>
      </c>
      <c r="L709" s="52">
        <f t="shared" si="34"/>
        <v>80594.16750000001</v>
      </c>
      <c r="M709" s="56">
        <f>LISTAS!$B$22*_xlfn.XLOOKUP(G709,LISTAS!$B$27:$B$36,LISTAS!$A$27:$A$36)*_xlfn.XLOOKUP(H709,LISTAS!$B$38:$B$47,LISTAS!$A$38:$A$47,,-1)*_xlfn.XLOOKUP(J709,LISTAS!$E$26:$H$26,LISTAS!$E$48:$H$48)*_xlfn.XLOOKUP(F709,LISTAS!$A$15:$A$18,LISTAS!$H$15:$H$18)</f>
        <v>3.8115000000000003E-2</v>
      </c>
      <c r="N709" s="54" cm="1">
        <f t="array" ref="N709">_xlfn.XLOOKUP(K709,LISTAS!$D$27:$D$47,_xlfn.XLOOKUP(J709,LISTAS!$E$26:$H$26,LISTAS!$E$27:$H$47))</f>
        <v>25374000</v>
      </c>
      <c r="O709" s="56" t="s">
        <v>1623</v>
      </c>
      <c r="P709" s="76" t="str">
        <f t="shared" ca="1" si="35"/>
        <v>Vigente</v>
      </c>
    </row>
    <row r="710" spans="1:16" x14ac:dyDescent="0.3">
      <c r="A710" s="58" t="s">
        <v>1000</v>
      </c>
      <c r="B710" s="56" t="s">
        <v>185</v>
      </c>
      <c r="C710" s="50" t="str">
        <f>_xlfn.XLOOKUP(B710,CLIENTES!$A$2:$A$301,CLIENTES!$B$2:$B$301)</f>
        <v>Mateo Gómez</v>
      </c>
      <c r="D710" s="60">
        <v>46169</v>
      </c>
      <c r="E710" s="60">
        <f t="shared" si="33"/>
        <v>46534</v>
      </c>
      <c r="F710" s="50" t="s">
        <v>1595</v>
      </c>
      <c r="G710" s="56" t="s">
        <v>1601</v>
      </c>
      <c r="H710" s="47">
        <v>59</v>
      </c>
      <c r="I710" s="60">
        <v>24365</v>
      </c>
      <c r="J710" s="56" t="s">
        <v>1612</v>
      </c>
      <c r="K710" s="56">
        <v>2023</v>
      </c>
      <c r="L710" s="52">
        <f t="shared" si="34"/>
        <v>29599.447499999998</v>
      </c>
      <c r="M710" s="56">
        <f>LISTAS!$B$22*_xlfn.XLOOKUP(G710,LISTAS!$B$27:$B$36,LISTAS!$A$27:$A$36)*_xlfn.XLOOKUP(H710,LISTAS!$B$38:$B$47,LISTAS!$A$38:$A$47,,-1)*_xlfn.XLOOKUP(J710,LISTAS!$E$26:$H$26,LISTAS!$E$48:$H$48)*_xlfn.XLOOKUP(F710,LISTAS!$A$15:$A$18,LISTAS!$H$15:$H$18)</f>
        <v>1.4489999999999999E-2</v>
      </c>
      <c r="N710" s="54" cm="1">
        <f t="array" ref="N710">_xlfn.XLOOKUP(K710,LISTAS!$D$27:$D$47,_xlfn.XLOOKUP(J710,LISTAS!$E$26:$H$26,LISTAS!$E$27:$H$47))</f>
        <v>24513000</v>
      </c>
      <c r="O710" s="56" t="s">
        <v>1623</v>
      </c>
      <c r="P710" s="76" t="str">
        <f t="shared" ca="1" si="35"/>
        <v>Vigente</v>
      </c>
    </row>
    <row r="711" spans="1:16" x14ac:dyDescent="0.3">
      <c r="A711" s="58" t="s">
        <v>1001</v>
      </c>
      <c r="B711" s="56" t="s">
        <v>50</v>
      </c>
      <c r="C711" s="50" t="str">
        <f>_xlfn.XLOOKUP(B711,CLIENTES!$A$2:$A$301,CLIENTES!$B$2:$B$301)</f>
        <v>Agustín Medina</v>
      </c>
      <c r="D711" s="60">
        <v>45342</v>
      </c>
      <c r="E711" s="60">
        <f t="shared" si="33"/>
        <v>45708</v>
      </c>
      <c r="F711" s="50" t="s">
        <v>1595</v>
      </c>
      <c r="G711" s="56" t="s">
        <v>1607</v>
      </c>
      <c r="H711" s="47">
        <v>49</v>
      </c>
      <c r="I711" s="60">
        <v>28120</v>
      </c>
      <c r="J711" s="56" t="s">
        <v>1610</v>
      </c>
      <c r="K711" s="56">
        <v>2025</v>
      </c>
      <c r="L711" s="52">
        <f t="shared" si="34"/>
        <v>42301.600000000006</v>
      </c>
      <c r="M711" s="56">
        <f>LISTAS!$B$22*_xlfn.XLOOKUP(G711,LISTAS!$B$27:$B$36,LISTAS!$A$27:$A$36)*_xlfn.XLOOKUP(H711,LISTAS!$B$38:$B$47,LISTAS!$A$38:$A$47,,-1)*_xlfn.XLOOKUP(J711,LISTAS!$E$26:$H$26,LISTAS!$E$48:$H$48)*_xlfn.XLOOKUP(F711,LISTAS!$A$15:$A$18,LISTAS!$H$15:$H$18)</f>
        <v>1.3794000000000002E-2</v>
      </c>
      <c r="N711" s="54" cm="1">
        <f t="array" ref="N711">_xlfn.XLOOKUP(K711,LISTAS!$D$27:$D$47,_xlfn.XLOOKUP(J711,LISTAS!$E$26:$H$26,LISTAS!$E$27:$H$47))</f>
        <v>36800000</v>
      </c>
      <c r="O711" s="56" t="s">
        <v>1626</v>
      </c>
      <c r="P711" s="76" t="str">
        <f t="shared" ca="1" si="35"/>
        <v>Vencida</v>
      </c>
    </row>
    <row r="712" spans="1:16" x14ac:dyDescent="0.3">
      <c r="A712" s="58" t="s">
        <v>1002</v>
      </c>
      <c r="B712" s="56" t="s">
        <v>153</v>
      </c>
      <c r="C712" s="50" t="str">
        <f>_xlfn.XLOOKUP(B712,CLIENTES!$A$2:$A$301,CLIENTES!$B$2:$B$301)</f>
        <v>Mateo Arias</v>
      </c>
      <c r="D712" s="60">
        <v>44623</v>
      </c>
      <c r="E712" s="60">
        <f t="shared" si="33"/>
        <v>44988</v>
      </c>
      <c r="F712" s="50" t="s">
        <v>1596</v>
      </c>
      <c r="G712" s="56" t="s">
        <v>1599</v>
      </c>
      <c r="H712" s="47">
        <v>22</v>
      </c>
      <c r="I712" s="60">
        <v>38022</v>
      </c>
      <c r="J712" s="56" t="s">
        <v>1611</v>
      </c>
      <c r="K712" s="56">
        <v>2025</v>
      </c>
      <c r="L712" s="52">
        <f t="shared" si="34"/>
        <v>109264.95</v>
      </c>
      <c r="M712" s="56">
        <f>LISTAS!$B$22*_xlfn.XLOOKUP(G712,LISTAS!$B$27:$B$36,LISTAS!$A$27:$A$36)*_xlfn.XLOOKUP(H712,LISTAS!$B$38:$B$47,LISTAS!$A$38:$A$47,,-1)*_xlfn.XLOOKUP(J712,LISTAS!$E$26:$H$26,LISTAS!$E$48:$H$48)*_xlfn.XLOOKUP(F712,LISTAS!$A$15:$A$18,LISTAS!$H$15:$H$18)</f>
        <v>3.1670999999999998E-2</v>
      </c>
      <c r="N712" s="54" cm="1">
        <f t="array" ref="N712">_xlfn.XLOOKUP(K712,LISTAS!$D$27:$D$47,_xlfn.XLOOKUP(J712,LISTAS!$E$26:$H$26,LISTAS!$E$27:$H$47))</f>
        <v>41400000</v>
      </c>
      <c r="O712" s="56" t="s">
        <v>1624</v>
      </c>
      <c r="P712" s="76" t="str">
        <f t="shared" ca="1" si="35"/>
        <v>Vencida</v>
      </c>
    </row>
    <row r="713" spans="1:16" x14ac:dyDescent="0.3">
      <c r="A713" s="58" t="s">
        <v>1003</v>
      </c>
      <c r="B713" s="56" t="s">
        <v>117</v>
      </c>
      <c r="C713" s="50" t="str">
        <f>_xlfn.XLOOKUP(B713,CLIENTES!$A$2:$A$301,CLIENTES!$B$2:$B$301)</f>
        <v>Gonzalo Gómez</v>
      </c>
      <c r="D713" s="60">
        <v>44624</v>
      </c>
      <c r="E713" s="60">
        <f t="shared" si="33"/>
        <v>44989</v>
      </c>
      <c r="F713" s="50" t="s">
        <v>1595</v>
      </c>
      <c r="G713" s="56" t="s">
        <v>1608</v>
      </c>
      <c r="H713" s="47">
        <v>37</v>
      </c>
      <c r="I713" s="60">
        <v>32491</v>
      </c>
      <c r="J713" s="56" t="s">
        <v>1612</v>
      </c>
      <c r="K713" s="56">
        <v>2023</v>
      </c>
      <c r="L713" s="52">
        <f t="shared" si="34"/>
        <v>24451.717499999999</v>
      </c>
      <c r="M713" s="56">
        <f>LISTAS!$B$22*_xlfn.XLOOKUP(G713,LISTAS!$B$27:$B$36,LISTAS!$A$27:$A$36)*_xlfn.XLOOKUP(H713,LISTAS!$B$38:$B$47,LISTAS!$A$38:$A$47,,-1)*_xlfn.XLOOKUP(J713,LISTAS!$E$26:$H$26,LISTAS!$E$48:$H$48)*_xlfn.XLOOKUP(F713,LISTAS!$A$15:$A$18,LISTAS!$H$15:$H$18)</f>
        <v>1.197E-2</v>
      </c>
      <c r="N713" s="54" cm="1">
        <f t="array" ref="N713">_xlfn.XLOOKUP(K713,LISTAS!$D$27:$D$47,_xlfn.XLOOKUP(J713,LISTAS!$E$26:$H$26,LISTAS!$E$27:$H$47))</f>
        <v>24513000</v>
      </c>
      <c r="O713" s="56" t="s">
        <v>1623</v>
      </c>
      <c r="P713" s="76" t="str">
        <f t="shared" ca="1" si="35"/>
        <v>Vencida</v>
      </c>
    </row>
    <row r="714" spans="1:16" x14ac:dyDescent="0.3">
      <c r="A714" s="58" t="s">
        <v>1004</v>
      </c>
      <c r="B714" s="56" t="s">
        <v>120</v>
      </c>
      <c r="C714" s="50" t="str">
        <f>_xlfn.XLOOKUP(B714,CLIENTES!$A$2:$A$301,CLIENTES!$B$2:$B$301)</f>
        <v>Micaela Fernández</v>
      </c>
      <c r="D714" s="60">
        <v>45199</v>
      </c>
      <c r="E714" s="60">
        <f t="shared" si="33"/>
        <v>45565</v>
      </c>
      <c r="F714" s="50" t="s">
        <v>1596</v>
      </c>
      <c r="G714" s="56" t="s">
        <v>1607</v>
      </c>
      <c r="H714" s="47">
        <v>35</v>
      </c>
      <c r="I714" s="60">
        <v>33425</v>
      </c>
      <c r="J714" s="56" t="s">
        <v>1609</v>
      </c>
      <c r="K714" s="56">
        <v>2018</v>
      </c>
      <c r="L714" s="52">
        <f t="shared" si="34"/>
        <v>18623.641666666666</v>
      </c>
      <c r="M714" s="56">
        <f>LISTAS!$B$22*_xlfn.XLOOKUP(G714,LISTAS!$B$27:$B$36,LISTAS!$A$27:$A$36)*_xlfn.XLOOKUP(H714,LISTAS!$B$38:$B$47,LISTAS!$A$38:$A$47,,-1)*_xlfn.XLOOKUP(J714,LISTAS!$E$26:$H$26,LISTAS!$E$48:$H$48)*_xlfn.XLOOKUP(F714,LISTAS!$A$15:$A$18,LISTAS!$H$15:$H$18)</f>
        <v>1.8700000000000001E-2</v>
      </c>
      <c r="N714" s="54" cm="1">
        <f t="array" ref="N714">_xlfn.XLOOKUP(K714,LISTAS!$D$27:$D$47,_xlfn.XLOOKUP(J714,LISTAS!$E$26:$H$26,LISTAS!$E$27:$H$47))</f>
        <v>11951000</v>
      </c>
      <c r="O714" s="56" t="s">
        <v>1624</v>
      </c>
      <c r="P714" s="76" t="str">
        <f t="shared" ca="1" si="35"/>
        <v>Vencida</v>
      </c>
    </row>
    <row r="715" spans="1:16" x14ac:dyDescent="0.3">
      <c r="A715" s="58" t="s">
        <v>1005</v>
      </c>
      <c r="B715" s="56" t="s">
        <v>82</v>
      </c>
      <c r="C715" s="50" t="str">
        <f>_xlfn.XLOOKUP(B715,CLIENTES!$A$2:$A$301,CLIENTES!$B$2:$B$301)</f>
        <v>Lucas Martínez</v>
      </c>
      <c r="D715" s="60">
        <v>45446</v>
      </c>
      <c r="E715" s="60">
        <f t="shared" si="33"/>
        <v>45811</v>
      </c>
      <c r="F715" s="50" t="s">
        <v>1598</v>
      </c>
      <c r="G715" s="56" t="s">
        <v>1607</v>
      </c>
      <c r="H715" s="47">
        <v>68</v>
      </c>
      <c r="I715" s="60">
        <v>21168</v>
      </c>
      <c r="J715" s="56" t="s">
        <v>1612</v>
      </c>
      <c r="K715" s="56">
        <v>2023</v>
      </c>
      <c r="L715" s="52">
        <f t="shared" si="34"/>
        <v>70545.349875</v>
      </c>
      <c r="M715" s="56">
        <f>LISTAS!$B$22*_xlfn.XLOOKUP(G715,LISTAS!$B$27:$B$36,LISTAS!$A$27:$A$36)*_xlfn.XLOOKUP(H715,LISTAS!$B$38:$B$47,LISTAS!$A$38:$A$47,,-1)*_xlfn.XLOOKUP(J715,LISTAS!$E$26:$H$26,LISTAS!$E$48:$H$48)*_xlfn.XLOOKUP(F715,LISTAS!$A$15:$A$18,LISTAS!$H$15:$H$18)</f>
        <v>3.4534500000000003E-2</v>
      </c>
      <c r="N715" s="54" cm="1">
        <f t="array" ref="N715">_xlfn.XLOOKUP(K715,LISTAS!$D$27:$D$47,_xlfn.XLOOKUP(J715,LISTAS!$E$26:$H$26,LISTAS!$E$27:$H$47))</f>
        <v>24513000</v>
      </c>
      <c r="O715" s="56" t="s">
        <v>1625</v>
      </c>
      <c r="P715" s="76" t="str">
        <f t="shared" ca="1" si="35"/>
        <v>Vencida</v>
      </c>
    </row>
    <row r="716" spans="1:16" x14ac:dyDescent="0.3">
      <c r="A716" s="58" t="s">
        <v>1006</v>
      </c>
      <c r="B716" s="56" t="s">
        <v>134</v>
      </c>
      <c r="C716" s="50" t="str">
        <f>_xlfn.XLOOKUP(B716,CLIENTES!$A$2:$A$301,CLIENTES!$B$2:$B$301)</f>
        <v>Micaela Bravo</v>
      </c>
      <c r="D716" s="60">
        <v>44907</v>
      </c>
      <c r="E716" s="60">
        <f t="shared" si="33"/>
        <v>45272</v>
      </c>
      <c r="F716" s="50" t="s">
        <v>1596</v>
      </c>
      <c r="G716" s="56" t="s">
        <v>1599</v>
      </c>
      <c r="H716" s="47">
        <v>43</v>
      </c>
      <c r="I716" s="60">
        <v>30542</v>
      </c>
      <c r="J716" s="56" t="s">
        <v>1609</v>
      </c>
      <c r="K716" s="56">
        <v>2024</v>
      </c>
      <c r="L716" s="52">
        <f t="shared" si="34"/>
        <v>33987.675000000003</v>
      </c>
      <c r="M716" s="56">
        <f>LISTAS!$B$22*_xlfn.XLOOKUP(G716,LISTAS!$B$27:$B$36,LISTAS!$A$27:$A$36)*_xlfn.XLOOKUP(H716,LISTAS!$B$38:$B$47,LISTAS!$A$38:$A$47,,-1)*_xlfn.XLOOKUP(J716,LISTAS!$E$26:$H$26,LISTAS!$E$48:$H$48)*_xlfn.XLOOKUP(F716,LISTAS!$A$15:$A$18,LISTAS!$H$15:$H$18)</f>
        <v>1.9380000000000001E-2</v>
      </c>
      <c r="N716" s="54" cm="1">
        <f t="array" ref="N716">_xlfn.XLOOKUP(K716,LISTAS!$D$27:$D$47,_xlfn.XLOOKUP(J716,LISTAS!$E$26:$H$26,LISTAS!$E$27:$H$47))</f>
        <v>21045000</v>
      </c>
      <c r="O716" s="56" t="s">
        <v>1623</v>
      </c>
      <c r="P716" s="76" t="str">
        <f t="shared" ca="1" si="35"/>
        <v>Vencida</v>
      </c>
    </row>
    <row r="717" spans="1:16" x14ac:dyDescent="0.3">
      <c r="A717" s="58" t="s">
        <v>1007</v>
      </c>
      <c r="B717" s="56" t="s">
        <v>6</v>
      </c>
      <c r="C717" s="50" t="str">
        <f>_xlfn.XLOOKUP(B717,CLIENTES!$A$2:$A$301,CLIENTES!$B$2:$B$301)</f>
        <v>Gonzalo Flores</v>
      </c>
      <c r="D717" s="60">
        <v>44466</v>
      </c>
      <c r="E717" s="60">
        <f t="shared" si="33"/>
        <v>44831</v>
      </c>
      <c r="F717" s="50" t="s">
        <v>1598</v>
      </c>
      <c r="G717" s="56" t="s">
        <v>1599</v>
      </c>
      <c r="H717" s="47">
        <v>49</v>
      </c>
      <c r="I717" s="60">
        <v>28244</v>
      </c>
      <c r="J717" s="56" t="s">
        <v>1611</v>
      </c>
      <c r="K717" s="56">
        <v>2021</v>
      </c>
      <c r="L717" s="52">
        <f t="shared" si="34"/>
        <v>81084.913</v>
      </c>
      <c r="M717" s="56">
        <f>LISTAS!$B$22*_xlfn.XLOOKUP(G717,LISTAS!$B$27:$B$36,LISTAS!$A$27:$A$36)*_xlfn.XLOOKUP(H717,LISTAS!$B$38:$B$47,LISTAS!$A$38:$A$47,,-1)*_xlfn.XLOOKUP(J717,LISTAS!$E$26:$H$26,LISTAS!$E$48:$H$48)*_xlfn.XLOOKUP(F717,LISTAS!$A$15:$A$18,LISTAS!$H$15:$H$18)</f>
        <v>3.4085999999999998E-2</v>
      </c>
      <c r="N717" s="54" cm="1">
        <f t="array" ref="N717">_xlfn.XLOOKUP(K717,LISTAS!$D$27:$D$47,_xlfn.XLOOKUP(J717,LISTAS!$E$26:$H$26,LISTAS!$E$27:$H$47))</f>
        <v>28546000</v>
      </c>
      <c r="O717" s="56" t="s">
        <v>1624</v>
      </c>
      <c r="P717" s="76" t="str">
        <f t="shared" ca="1" si="35"/>
        <v>Vencida</v>
      </c>
    </row>
    <row r="718" spans="1:16" x14ac:dyDescent="0.3">
      <c r="A718" s="58" t="s">
        <v>1008</v>
      </c>
      <c r="B718" s="56" t="s">
        <v>48</v>
      </c>
      <c r="C718" s="50" t="str">
        <f>_xlfn.XLOOKUP(B718,CLIENTES!$A$2:$A$301,CLIENTES!$B$2:$B$301)</f>
        <v>Alejandro Herrera</v>
      </c>
      <c r="D718" s="60">
        <v>44531</v>
      </c>
      <c r="E718" s="60">
        <f t="shared" si="33"/>
        <v>44896</v>
      </c>
      <c r="F718" s="50" t="s">
        <v>1595</v>
      </c>
      <c r="G718" s="56" t="s">
        <v>1607</v>
      </c>
      <c r="H718" s="47">
        <v>29</v>
      </c>
      <c r="I718" s="60">
        <v>35491</v>
      </c>
      <c r="J718" s="56" t="s">
        <v>1612</v>
      </c>
      <c r="K718" s="56">
        <v>2024</v>
      </c>
      <c r="L718" s="52">
        <f t="shared" si="34"/>
        <v>37336.068000000007</v>
      </c>
      <c r="M718" s="56">
        <f>LISTAS!$B$22*_xlfn.XLOOKUP(G718,LISTAS!$B$27:$B$36,LISTAS!$A$27:$A$36)*_xlfn.XLOOKUP(H718,LISTAS!$B$38:$B$47,LISTAS!$A$38:$A$47,,-1)*_xlfn.XLOOKUP(J718,LISTAS!$E$26:$H$26,LISTAS!$E$48:$H$48)*_xlfn.XLOOKUP(F718,LISTAS!$A$15:$A$18,LISTAS!$H$15:$H$18)</f>
        <v>1.6632000000000001E-2</v>
      </c>
      <c r="N718" s="54" cm="1">
        <f t="array" ref="N718">_xlfn.XLOOKUP(K718,LISTAS!$D$27:$D$47,_xlfn.XLOOKUP(J718,LISTAS!$E$26:$H$26,LISTAS!$E$27:$H$47))</f>
        <v>26938000</v>
      </c>
      <c r="O718" s="56" t="s">
        <v>1625</v>
      </c>
      <c r="P718" s="76" t="str">
        <f t="shared" ca="1" si="35"/>
        <v>Vencida</v>
      </c>
    </row>
    <row r="719" spans="1:16" x14ac:dyDescent="0.3">
      <c r="A719" s="58" t="s">
        <v>1009</v>
      </c>
      <c r="B719" s="56" t="s">
        <v>102</v>
      </c>
      <c r="C719" s="50" t="str">
        <f>_xlfn.XLOOKUP(B719,CLIENTES!$A$2:$A$301,CLIENTES!$B$2:$B$301)</f>
        <v>Lucas Romero</v>
      </c>
      <c r="D719" s="60">
        <v>44776</v>
      </c>
      <c r="E719" s="60">
        <f t="shared" si="33"/>
        <v>45141</v>
      </c>
      <c r="F719" s="50" t="s">
        <v>1598</v>
      </c>
      <c r="G719" s="56" t="s">
        <v>1607</v>
      </c>
      <c r="H719" s="47">
        <v>48</v>
      </c>
      <c r="I719" s="60">
        <v>28433</v>
      </c>
      <c r="J719" s="56" t="s">
        <v>1611</v>
      </c>
      <c r="K719" s="56">
        <v>2007</v>
      </c>
      <c r="L719" s="52">
        <f t="shared" si="34"/>
        <v>24006.959166666667</v>
      </c>
      <c r="M719" s="56">
        <f>LISTAS!$B$22*_xlfn.XLOOKUP(G719,LISTAS!$B$27:$B$36,LISTAS!$A$27:$A$36)*_xlfn.XLOOKUP(H719,LISTAS!$B$38:$B$47,LISTAS!$A$38:$A$47,,-1)*_xlfn.XLOOKUP(J719,LISTAS!$E$26:$H$26,LISTAS!$E$48:$H$48)*_xlfn.XLOOKUP(F719,LISTAS!$A$15:$A$18,LISTAS!$H$15:$H$18)</f>
        <v>3.1245500000000002E-2</v>
      </c>
      <c r="N719" s="54" cm="1">
        <f t="array" ref="N719">_xlfn.XLOOKUP(K719,LISTAS!$D$27:$D$47,_xlfn.XLOOKUP(J719,LISTAS!$E$26:$H$26,LISTAS!$E$27:$H$47))</f>
        <v>9220000</v>
      </c>
      <c r="O719" s="56" t="s">
        <v>1623</v>
      </c>
      <c r="P719" s="76" t="str">
        <f t="shared" ca="1" si="35"/>
        <v>Vencida</v>
      </c>
    </row>
    <row r="720" spans="1:16" x14ac:dyDescent="0.3">
      <c r="A720" s="58" t="s">
        <v>1010</v>
      </c>
      <c r="B720" s="56" t="s">
        <v>288</v>
      </c>
      <c r="C720" s="50" t="str">
        <f>_xlfn.XLOOKUP(B720,CLIENTES!$A$2:$A$301,CLIENTES!$B$2:$B$301)</f>
        <v>Nicolás Torres</v>
      </c>
      <c r="D720" s="60">
        <v>46202</v>
      </c>
      <c r="E720" s="60">
        <f t="shared" si="33"/>
        <v>46567</v>
      </c>
      <c r="F720" s="50" t="s">
        <v>1595</v>
      </c>
      <c r="G720" s="56" t="s">
        <v>1602</v>
      </c>
      <c r="H720" s="47">
        <v>18</v>
      </c>
      <c r="I720" s="60">
        <v>39627</v>
      </c>
      <c r="J720" s="56" t="s">
        <v>1609</v>
      </c>
      <c r="K720" s="56">
        <v>2025</v>
      </c>
      <c r="L720" s="52">
        <f t="shared" si="34"/>
        <v>36225</v>
      </c>
      <c r="M720" s="56">
        <f>LISTAS!$B$22*_xlfn.XLOOKUP(G720,LISTAS!$B$27:$B$36,LISTAS!$A$27:$A$36)*_xlfn.XLOOKUP(H720,LISTAS!$B$38:$B$47,LISTAS!$A$38:$A$47,,-1)*_xlfn.XLOOKUP(J720,LISTAS!$E$26:$H$26,LISTAS!$E$48:$H$48)*_xlfn.XLOOKUP(F720,LISTAS!$A$15:$A$18,LISTAS!$H$15:$H$18)</f>
        <v>1.89E-2</v>
      </c>
      <c r="N720" s="54" cm="1">
        <f t="array" ref="N720">_xlfn.XLOOKUP(K720,LISTAS!$D$27:$D$47,_xlfn.XLOOKUP(J720,LISTAS!$E$26:$H$26,LISTAS!$E$27:$H$47))</f>
        <v>23000000</v>
      </c>
      <c r="O720" s="56" t="s">
        <v>1623</v>
      </c>
      <c r="P720" s="76" t="str">
        <f t="shared" ca="1" si="35"/>
        <v>Vigente</v>
      </c>
    </row>
    <row r="721" spans="1:16" x14ac:dyDescent="0.3">
      <c r="A721" s="58" t="s">
        <v>1011</v>
      </c>
      <c r="B721" s="56" t="s">
        <v>156</v>
      </c>
      <c r="C721" s="50" t="str">
        <f>_xlfn.XLOOKUP(B721,CLIENTES!$A$2:$A$301,CLIENTES!$B$2:$B$301)</f>
        <v>Victoria Méndez</v>
      </c>
      <c r="D721" s="60">
        <v>46075</v>
      </c>
      <c r="E721" s="60">
        <f t="shared" si="33"/>
        <v>46440</v>
      </c>
      <c r="F721" s="50" t="s">
        <v>1595</v>
      </c>
      <c r="G721" s="56" t="s">
        <v>1599</v>
      </c>
      <c r="H721" s="47">
        <v>56</v>
      </c>
      <c r="I721" s="60">
        <v>25675</v>
      </c>
      <c r="J721" s="56" t="s">
        <v>1610</v>
      </c>
      <c r="K721" s="56">
        <v>2021</v>
      </c>
      <c r="L721" s="52">
        <f t="shared" si="34"/>
        <v>33493.68</v>
      </c>
      <c r="M721" s="56">
        <f>LISTAS!$B$22*_xlfn.XLOOKUP(G721,LISTAS!$B$27:$B$36,LISTAS!$A$27:$A$36)*_xlfn.XLOOKUP(H721,LISTAS!$B$38:$B$47,LISTAS!$A$38:$A$47,,-1)*_xlfn.XLOOKUP(J721,LISTAS!$E$26:$H$26,LISTAS!$E$48:$H$48)*_xlfn.XLOOKUP(F721,LISTAS!$A$15:$A$18,LISTAS!$H$15:$H$18)</f>
        <v>1.584E-2</v>
      </c>
      <c r="N721" s="54" cm="1">
        <f t="array" ref="N721">_xlfn.XLOOKUP(K721,LISTAS!$D$27:$D$47,_xlfn.XLOOKUP(J721,LISTAS!$E$26:$H$26,LISTAS!$E$27:$H$47))</f>
        <v>25374000</v>
      </c>
      <c r="O721" s="56" t="s">
        <v>1624</v>
      </c>
      <c r="P721" s="76" t="str">
        <f t="shared" ca="1" si="35"/>
        <v>Vigente</v>
      </c>
    </row>
    <row r="722" spans="1:16" x14ac:dyDescent="0.3">
      <c r="A722" s="58" t="s">
        <v>1012</v>
      </c>
      <c r="B722" s="56" t="s">
        <v>4</v>
      </c>
      <c r="C722" s="50" t="str">
        <f>_xlfn.XLOOKUP(B722,CLIENTES!$A$2:$A$301,CLIENTES!$B$2:$B$301)</f>
        <v>Sebastián Ortiz</v>
      </c>
      <c r="D722" s="60">
        <v>45579</v>
      </c>
      <c r="E722" s="60">
        <f t="shared" si="33"/>
        <v>45944</v>
      </c>
      <c r="F722" s="50" t="s">
        <v>1597</v>
      </c>
      <c r="G722" s="56" t="s">
        <v>1606</v>
      </c>
      <c r="H722" s="47">
        <v>39</v>
      </c>
      <c r="I722" s="60">
        <v>31743</v>
      </c>
      <c r="J722" s="56" t="s">
        <v>1611</v>
      </c>
      <c r="K722" s="56">
        <v>2020</v>
      </c>
      <c r="L722" s="52">
        <f t="shared" si="34"/>
        <v>54768.17500000001</v>
      </c>
      <c r="M722" s="56">
        <f>LISTAS!$B$22*_xlfn.XLOOKUP(G722,LISTAS!$B$27:$B$36,LISTAS!$A$27:$A$36)*_xlfn.XLOOKUP(H722,LISTAS!$B$38:$B$47,LISTAS!$A$38:$A$47,,-1)*_xlfn.XLOOKUP(J722,LISTAS!$E$26:$H$26,LISTAS!$E$48:$H$48)*_xlfn.XLOOKUP(F722,LISTAS!$A$15:$A$18,LISTAS!$H$15:$H$18)</f>
        <v>2.5300000000000003E-2</v>
      </c>
      <c r="N722" s="54" cm="1">
        <f t="array" ref="N722">_xlfn.XLOOKUP(K722,LISTAS!$D$27:$D$47,_xlfn.XLOOKUP(J722,LISTAS!$E$26:$H$26,LISTAS!$E$27:$H$47))</f>
        <v>25977000</v>
      </c>
      <c r="O722" s="56" t="s">
        <v>1625</v>
      </c>
      <c r="P722" s="76" t="str">
        <f t="shared" ca="1" si="35"/>
        <v>Vencida</v>
      </c>
    </row>
    <row r="723" spans="1:16" x14ac:dyDescent="0.3">
      <c r="A723" s="58" t="s">
        <v>1013</v>
      </c>
      <c r="B723" s="56" t="s">
        <v>113</v>
      </c>
      <c r="C723" s="50" t="str">
        <f>_xlfn.XLOOKUP(B723,CLIENTES!$A$2:$A$301,CLIENTES!$B$2:$B$301)</f>
        <v>Federico Ruiz</v>
      </c>
      <c r="D723" s="60">
        <v>44647</v>
      </c>
      <c r="E723" s="60">
        <f t="shared" si="33"/>
        <v>45012</v>
      </c>
      <c r="F723" s="50" t="s">
        <v>1597</v>
      </c>
      <c r="G723" s="56" t="s">
        <v>1601</v>
      </c>
      <c r="H723" s="47">
        <v>43</v>
      </c>
      <c r="I723" s="60">
        <v>30243</v>
      </c>
      <c r="J723" s="56" t="s">
        <v>1609</v>
      </c>
      <c r="K723" s="56">
        <v>2020</v>
      </c>
      <c r="L723" s="52">
        <f t="shared" si="34"/>
        <v>28906.093333333334</v>
      </c>
      <c r="M723" s="56">
        <f>LISTAS!$B$22*_xlfn.XLOOKUP(G723,LISTAS!$B$27:$B$36,LISTAS!$A$27:$A$36)*_xlfn.XLOOKUP(H723,LISTAS!$B$38:$B$47,LISTAS!$A$38:$A$47,,-1)*_xlfn.XLOOKUP(J723,LISTAS!$E$26:$H$26,LISTAS!$E$48:$H$48)*_xlfn.XLOOKUP(F723,LISTAS!$A$15:$A$18,LISTAS!$H$15:$H$18)</f>
        <v>2.4035000000000001E-2</v>
      </c>
      <c r="N723" s="54" cm="1">
        <f t="array" ref="N723">_xlfn.XLOOKUP(K723,LISTAS!$D$27:$D$47,_xlfn.XLOOKUP(J723,LISTAS!$E$26:$H$26,LISTAS!$E$27:$H$47))</f>
        <v>14432000</v>
      </c>
      <c r="O723" s="56" t="s">
        <v>1624</v>
      </c>
      <c r="P723" s="76" t="str">
        <f t="shared" ca="1" si="35"/>
        <v>Vencida</v>
      </c>
    </row>
    <row r="724" spans="1:16" x14ac:dyDescent="0.3">
      <c r="A724" s="58" t="s">
        <v>1014</v>
      </c>
      <c r="B724" s="56" t="s">
        <v>9</v>
      </c>
      <c r="C724" s="50" t="str">
        <f>_xlfn.XLOOKUP(B724,CLIENTES!$A$2:$A$301,CLIENTES!$B$2:$B$301)</f>
        <v>Fernando Pereyra</v>
      </c>
      <c r="D724" s="60">
        <v>45062</v>
      </c>
      <c r="E724" s="60">
        <f t="shared" si="33"/>
        <v>45428</v>
      </c>
      <c r="F724" s="50" t="s">
        <v>1595</v>
      </c>
      <c r="G724" s="56" t="s">
        <v>1600</v>
      </c>
      <c r="H724" s="47">
        <v>60</v>
      </c>
      <c r="I724" s="60">
        <v>24154</v>
      </c>
      <c r="J724" s="56" t="s">
        <v>1612</v>
      </c>
      <c r="K724" s="56">
        <v>2020</v>
      </c>
      <c r="L724" s="52">
        <f t="shared" si="34"/>
        <v>23420.187000000002</v>
      </c>
      <c r="M724" s="56">
        <f>LISTAS!$B$22*_xlfn.XLOOKUP(G724,LISTAS!$B$27:$B$36,LISTAS!$A$27:$A$36)*_xlfn.XLOOKUP(H724,LISTAS!$B$38:$B$47,LISTAS!$A$38:$A$47,,-1)*_xlfn.XLOOKUP(J724,LISTAS!$E$26:$H$26,LISTAS!$E$48:$H$48)*_xlfn.XLOOKUP(F724,LISTAS!$A$15:$A$18,LISTAS!$H$15:$H$18)</f>
        <v>1.5214500000000001E-2</v>
      </c>
      <c r="N724" s="54" cm="1">
        <f t="array" ref="N724">_xlfn.XLOOKUP(K724,LISTAS!$D$27:$D$47,_xlfn.XLOOKUP(J724,LISTAS!$E$26:$H$26,LISTAS!$E$27:$H$47))</f>
        <v>18472000</v>
      </c>
      <c r="O724" s="56" t="s">
        <v>1623</v>
      </c>
      <c r="P724" s="76" t="str">
        <f t="shared" ca="1" si="35"/>
        <v>Vencida</v>
      </c>
    </row>
    <row r="725" spans="1:16" x14ac:dyDescent="0.3">
      <c r="A725" s="58" t="s">
        <v>1015</v>
      </c>
      <c r="B725" s="56" t="s">
        <v>179</v>
      </c>
      <c r="C725" s="50" t="str">
        <f>_xlfn.XLOOKUP(B725,CLIENTES!$A$2:$A$301,CLIENTES!$B$2:$B$301)</f>
        <v>Pedro Gómez</v>
      </c>
      <c r="D725" s="60">
        <v>44921</v>
      </c>
      <c r="E725" s="60">
        <f t="shared" si="33"/>
        <v>45286</v>
      </c>
      <c r="F725" s="50" t="s">
        <v>1595</v>
      </c>
      <c r="G725" s="56" t="s">
        <v>1604</v>
      </c>
      <c r="H725" s="47">
        <v>38</v>
      </c>
      <c r="I725" s="60">
        <v>32112</v>
      </c>
      <c r="J725" s="56" t="s">
        <v>1610</v>
      </c>
      <c r="K725" s="56">
        <v>2026</v>
      </c>
      <c r="L725" s="52">
        <f t="shared" si="34"/>
        <v>46200</v>
      </c>
      <c r="M725" s="56">
        <f>LISTAS!$B$22*_xlfn.XLOOKUP(G725,LISTAS!$B$27:$B$36,LISTAS!$A$27:$A$36)*_xlfn.XLOOKUP(H725,LISTAS!$B$38:$B$47,LISTAS!$A$38:$A$47,,-1)*_xlfn.XLOOKUP(J725,LISTAS!$E$26:$H$26,LISTAS!$E$48:$H$48)*_xlfn.XLOOKUP(F725,LISTAS!$A$15:$A$18,LISTAS!$H$15:$H$18)</f>
        <v>1.3860000000000001E-2</v>
      </c>
      <c r="N725" s="54" cm="1">
        <f t="array" ref="N725">_xlfn.XLOOKUP(K725,LISTAS!$D$27:$D$47,_xlfn.XLOOKUP(J725,LISTAS!$E$26:$H$26,LISTAS!$E$27:$H$47))</f>
        <v>40000000</v>
      </c>
      <c r="O725" s="56" t="s">
        <v>1623</v>
      </c>
      <c r="P725" s="76" t="str">
        <f t="shared" ca="1" si="35"/>
        <v>Vencida</v>
      </c>
    </row>
    <row r="726" spans="1:16" x14ac:dyDescent="0.3">
      <c r="A726" s="58" t="s">
        <v>1016</v>
      </c>
      <c r="B726" s="56" t="s">
        <v>103</v>
      </c>
      <c r="C726" s="50" t="str">
        <f>_xlfn.XLOOKUP(B726,CLIENTES!$A$2:$A$301,CLIENTES!$B$2:$B$301)</f>
        <v>Gabriel Pereyra</v>
      </c>
      <c r="D726" s="60">
        <v>45329</v>
      </c>
      <c r="E726" s="60">
        <f t="shared" si="33"/>
        <v>45695</v>
      </c>
      <c r="F726" s="50" t="s">
        <v>1598</v>
      </c>
      <c r="G726" s="56" t="s">
        <v>1602</v>
      </c>
      <c r="H726" s="47">
        <v>59</v>
      </c>
      <c r="I726" s="60">
        <v>24592</v>
      </c>
      <c r="J726" s="56" t="s">
        <v>1610</v>
      </c>
      <c r="K726" s="56">
        <v>2019</v>
      </c>
      <c r="L726" s="52">
        <f t="shared" si="34"/>
        <v>52582.530000000006</v>
      </c>
      <c r="M726" s="56">
        <f>LISTAS!$B$22*_xlfn.XLOOKUP(G726,LISTAS!$B$27:$B$36,LISTAS!$A$27:$A$36)*_xlfn.XLOOKUP(H726,LISTAS!$B$38:$B$47,LISTAS!$A$38:$A$47,,-1)*_xlfn.XLOOKUP(J726,LISTAS!$E$26:$H$26,LISTAS!$E$48:$H$48)*_xlfn.XLOOKUP(F726,LISTAS!$A$15:$A$18,LISTAS!$H$15:$H$18)</f>
        <v>3.0030000000000005E-2</v>
      </c>
      <c r="N726" s="54" cm="1">
        <f t="array" ref="N726">_xlfn.XLOOKUP(K726,LISTAS!$D$27:$D$47,_xlfn.XLOOKUP(J726,LISTAS!$E$26:$H$26,LISTAS!$E$27:$H$47))</f>
        <v>21012000</v>
      </c>
      <c r="O726" s="56" t="s">
        <v>1624</v>
      </c>
      <c r="P726" s="76" t="str">
        <f t="shared" ca="1" si="35"/>
        <v>Vencida</v>
      </c>
    </row>
    <row r="727" spans="1:16" x14ac:dyDescent="0.3">
      <c r="A727" s="58" t="s">
        <v>1017</v>
      </c>
      <c r="B727" s="56" t="s">
        <v>274</v>
      </c>
      <c r="C727" s="50" t="str">
        <f>_xlfn.XLOOKUP(B727,CLIENTES!$A$2:$A$301,CLIENTES!$B$2:$B$301)</f>
        <v>Lautaro Medina</v>
      </c>
      <c r="D727" s="60">
        <v>44433</v>
      </c>
      <c r="E727" s="60">
        <f t="shared" si="33"/>
        <v>44798</v>
      </c>
      <c r="F727" s="50" t="s">
        <v>1598</v>
      </c>
      <c r="G727" s="56" t="s">
        <v>1602</v>
      </c>
      <c r="H727" s="47">
        <v>63</v>
      </c>
      <c r="I727" s="60">
        <v>22889</v>
      </c>
      <c r="J727" s="56" t="s">
        <v>1610</v>
      </c>
      <c r="K727" s="56">
        <v>2008</v>
      </c>
      <c r="L727" s="52">
        <f t="shared" si="34"/>
        <v>22907.634750000008</v>
      </c>
      <c r="M727" s="56">
        <f>LISTAS!$B$22*_xlfn.XLOOKUP(G727,LISTAS!$B$27:$B$36,LISTAS!$A$27:$A$36)*_xlfn.XLOOKUP(H727,LISTAS!$B$38:$B$47,LISTAS!$A$38:$A$47,,-1)*_xlfn.XLOOKUP(J727,LISTAS!$E$26:$H$26,LISTAS!$E$48:$H$48)*_xlfn.XLOOKUP(F727,LISTAS!$A$15:$A$18,LISTAS!$H$15:$H$18)</f>
        <v>3.1531500000000011E-2</v>
      </c>
      <c r="N727" s="54" cm="1">
        <f t="array" ref="N727">_xlfn.XLOOKUP(K727,LISTAS!$D$27:$D$47,_xlfn.XLOOKUP(J727,LISTAS!$E$26:$H$26,LISTAS!$E$27:$H$47))</f>
        <v>8718000</v>
      </c>
      <c r="O727" s="56" t="s">
        <v>1623</v>
      </c>
      <c r="P727" s="76" t="str">
        <f t="shared" ca="1" si="35"/>
        <v>Vencida</v>
      </c>
    </row>
    <row r="728" spans="1:16" x14ac:dyDescent="0.3">
      <c r="A728" s="58" t="s">
        <v>1018</v>
      </c>
      <c r="B728" s="56" t="s">
        <v>115</v>
      </c>
      <c r="C728" s="50" t="str">
        <f>_xlfn.XLOOKUP(B728,CLIENTES!$A$2:$A$301,CLIENTES!$B$2:$B$301)</f>
        <v>Martín Pérez</v>
      </c>
      <c r="D728" s="60">
        <v>45845</v>
      </c>
      <c r="E728" s="60">
        <f t="shared" si="33"/>
        <v>46210</v>
      </c>
      <c r="F728" s="50" t="s">
        <v>1595</v>
      </c>
      <c r="G728" s="56" t="s">
        <v>1601</v>
      </c>
      <c r="H728" s="47">
        <v>54</v>
      </c>
      <c r="I728" s="60">
        <v>26361</v>
      </c>
      <c r="J728" s="56" t="s">
        <v>1612</v>
      </c>
      <c r="K728" s="56">
        <v>2021</v>
      </c>
      <c r="L728" s="52">
        <f t="shared" si="34"/>
        <v>24511.0425</v>
      </c>
      <c r="M728" s="56">
        <f>LISTAS!$B$22*_xlfn.XLOOKUP(G728,LISTAS!$B$27:$B$36,LISTAS!$A$27:$A$36)*_xlfn.XLOOKUP(H728,LISTAS!$B$38:$B$47,LISTAS!$A$38:$A$47,,-1)*_xlfn.XLOOKUP(J728,LISTAS!$E$26:$H$26,LISTAS!$E$48:$H$48)*_xlfn.XLOOKUP(F728,LISTAS!$A$15:$A$18,LISTAS!$H$15:$H$18)</f>
        <v>1.4489999999999999E-2</v>
      </c>
      <c r="N728" s="54" cm="1">
        <f t="array" ref="N728">_xlfn.XLOOKUP(K728,LISTAS!$D$27:$D$47,_xlfn.XLOOKUP(J728,LISTAS!$E$26:$H$26,LISTAS!$E$27:$H$47))</f>
        <v>20299000</v>
      </c>
      <c r="O728" s="56" t="s">
        <v>1624</v>
      </c>
      <c r="P728" s="76" t="str">
        <f t="shared" ca="1" si="35"/>
        <v>Vencida</v>
      </c>
    </row>
    <row r="729" spans="1:16" x14ac:dyDescent="0.3">
      <c r="A729" s="58" t="s">
        <v>1019</v>
      </c>
      <c r="B729" s="56" t="s">
        <v>109</v>
      </c>
      <c r="C729" s="50" t="str">
        <f>_xlfn.XLOOKUP(B729,CLIENTES!$A$2:$A$301,CLIENTES!$B$2:$B$301)</f>
        <v>Micaela Torres</v>
      </c>
      <c r="D729" s="60">
        <v>45844</v>
      </c>
      <c r="E729" s="60">
        <f t="shared" si="33"/>
        <v>46209</v>
      </c>
      <c r="F729" s="50" t="s">
        <v>1596</v>
      </c>
      <c r="G729" s="56" t="s">
        <v>1607</v>
      </c>
      <c r="H729" s="47">
        <v>60</v>
      </c>
      <c r="I729" s="60">
        <v>24171</v>
      </c>
      <c r="J729" s="56" t="s">
        <v>1610</v>
      </c>
      <c r="K729" s="56">
        <v>2008</v>
      </c>
      <c r="L729" s="52">
        <f t="shared" si="34"/>
        <v>15691.310250000002</v>
      </c>
      <c r="M729" s="56">
        <f>LISTAS!$B$22*_xlfn.XLOOKUP(G729,LISTAS!$B$27:$B$36,LISTAS!$A$27:$A$36)*_xlfn.XLOOKUP(H729,LISTAS!$B$38:$B$47,LISTAS!$A$38:$A$47,,-1)*_xlfn.XLOOKUP(J729,LISTAS!$E$26:$H$26,LISTAS!$E$48:$H$48)*_xlfn.XLOOKUP(F729,LISTAS!$A$15:$A$18,LISTAS!$H$15:$H$18)</f>
        <v>2.1598500000000003E-2</v>
      </c>
      <c r="N729" s="54" cm="1">
        <f t="array" ref="N729">_xlfn.XLOOKUP(K729,LISTAS!$D$27:$D$47,_xlfn.XLOOKUP(J729,LISTAS!$E$26:$H$26,LISTAS!$E$27:$H$47))</f>
        <v>8718000</v>
      </c>
      <c r="O729" s="56" t="s">
        <v>1624</v>
      </c>
      <c r="P729" s="76" t="str">
        <f t="shared" ca="1" si="35"/>
        <v>Vencida</v>
      </c>
    </row>
    <row r="730" spans="1:16" x14ac:dyDescent="0.3">
      <c r="A730" s="58" t="s">
        <v>1020</v>
      </c>
      <c r="B730" s="56" t="s">
        <v>281</v>
      </c>
      <c r="C730" s="50" t="str">
        <f>_xlfn.XLOOKUP(B730,CLIENTES!$A$2:$A$301,CLIENTES!$B$2:$B$301)</f>
        <v>Paula Ruiz</v>
      </c>
      <c r="D730" s="60">
        <v>45475</v>
      </c>
      <c r="E730" s="60">
        <f t="shared" si="33"/>
        <v>45840</v>
      </c>
      <c r="F730" s="50" t="s">
        <v>1596</v>
      </c>
      <c r="G730" s="56" t="s">
        <v>1605</v>
      </c>
      <c r="H730" s="47">
        <v>35</v>
      </c>
      <c r="I730" s="60">
        <v>33202</v>
      </c>
      <c r="J730" s="56" t="s">
        <v>1610</v>
      </c>
      <c r="K730" s="56">
        <v>2017</v>
      </c>
      <c r="L730" s="52">
        <f t="shared" si="34"/>
        <v>24403.500000000004</v>
      </c>
      <c r="M730" s="56">
        <f>LISTAS!$B$22*_xlfn.XLOOKUP(G730,LISTAS!$B$27:$B$36,LISTAS!$A$27:$A$36)*_xlfn.XLOOKUP(H730,LISTAS!$B$38:$B$47,LISTAS!$A$38:$A$47,,-1)*_xlfn.XLOOKUP(J730,LISTAS!$E$26:$H$26,LISTAS!$E$48:$H$48)*_xlfn.XLOOKUP(F730,LISTAS!$A$15:$A$18,LISTAS!$H$15:$H$18)</f>
        <v>1.6830000000000005E-2</v>
      </c>
      <c r="N730" s="54" cm="1">
        <f t="array" ref="N730">_xlfn.XLOOKUP(K730,LISTAS!$D$27:$D$47,_xlfn.XLOOKUP(J730,LISTAS!$E$26:$H$26,LISTAS!$E$27:$H$47))</f>
        <v>17400000</v>
      </c>
      <c r="O730" s="56" t="s">
        <v>1624</v>
      </c>
      <c r="P730" s="76" t="str">
        <f t="shared" ca="1" si="35"/>
        <v>Vencida</v>
      </c>
    </row>
    <row r="731" spans="1:16" x14ac:dyDescent="0.3">
      <c r="A731" s="58" t="s">
        <v>1021</v>
      </c>
      <c r="B731" s="56" t="s">
        <v>120</v>
      </c>
      <c r="C731" s="50" t="str">
        <f>_xlfn.XLOOKUP(B731,CLIENTES!$A$2:$A$301,CLIENTES!$B$2:$B$301)</f>
        <v>Micaela Fernández</v>
      </c>
      <c r="D731" s="60">
        <v>45265</v>
      </c>
      <c r="E731" s="60">
        <f t="shared" si="33"/>
        <v>45631</v>
      </c>
      <c r="F731" s="50" t="s">
        <v>1597</v>
      </c>
      <c r="G731" s="56" t="s">
        <v>1607</v>
      </c>
      <c r="H731" s="47">
        <v>39</v>
      </c>
      <c r="I731" s="60">
        <v>31924</v>
      </c>
      <c r="J731" s="56" t="s">
        <v>1609</v>
      </c>
      <c r="K731" s="56">
        <v>2021</v>
      </c>
      <c r="L731" s="52">
        <f t="shared" si="34"/>
        <v>31982.316666666669</v>
      </c>
      <c r="M731" s="56">
        <f>LISTAS!$B$22*_xlfn.XLOOKUP(G731,LISTAS!$B$27:$B$36,LISTAS!$A$27:$A$36)*_xlfn.XLOOKUP(H731,LISTAS!$B$38:$B$47,LISTAS!$A$38:$A$47,,-1)*_xlfn.XLOOKUP(J731,LISTAS!$E$26:$H$26,LISTAS!$E$48:$H$48)*_xlfn.XLOOKUP(F731,LISTAS!$A$15:$A$18,LISTAS!$H$15:$H$18)</f>
        <v>2.4200000000000003E-2</v>
      </c>
      <c r="N731" s="54" cm="1">
        <f t="array" ref="N731">_xlfn.XLOOKUP(K731,LISTAS!$D$27:$D$47,_xlfn.XLOOKUP(J731,LISTAS!$E$26:$H$26,LISTAS!$E$27:$H$47))</f>
        <v>15859000</v>
      </c>
      <c r="O731" s="56" t="s">
        <v>1623</v>
      </c>
      <c r="P731" s="76" t="str">
        <f t="shared" ca="1" si="35"/>
        <v>Vencida</v>
      </c>
    </row>
    <row r="732" spans="1:16" x14ac:dyDescent="0.3">
      <c r="A732" s="58" t="s">
        <v>1022</v>
      </c>
      <c r="B732" s="56" t="s">
        <v>142</v>
      </c>
      <c r="C732" s="50" t="str">
        <f>_xlfn.XLOOKUP(B732,CLIENTES!$A$2:$A$301,CLIENTES!$B$2:$B$301)</f>
        <v>Lucía Vega</v>
      </c>
      <c r="D732" s="60">
        <v>45419</v>
      </c>
      <c r="E732" s="60">
        <f t="shared" si="33"/>
        <v>45784</v>
      </c>
      <c r="F732" s="50" t="s">
        <v>1597</v>
      </c>
      <c r="G732" s="56" t="s">
        <v>1601</v>
      </c>
      <c r="H732" s="47">
        <v>28</v>
      </c>
      <c r="I732" s="60">
        <v>35893</v>
      </c>
      <c r="J732" s="56" t="s">
        <v>1611</v>
      </c>
      <c r="K732" s="56">
        <v>2020</v>
      </c>
      <c r="L732" s="52">
        <f t="shared" si="34"/>
        <v>75580.0815</v>
      </c>
      <c r="M732" s="56">
        <f>LISTAS!$B$22*_xlfn.XLOOKUP(G732,LISTAS!$B$27:$B$36,LISTAS!$A$27:$A$36)*_xlfn.XLOOKUP(H732,LISTAS!$B$38:$B$47,LISTAS!$A$38:$A$47,,-1)*_xlfn.XLOOKUP(J732,LISTAS!$E$26:$H$26,LISTAS!$E$48:$H$48)*_xlfn.XLOOKUP(F732,LISTAS!$A$15:$A$18,LISTAS!$H$15:$H$18)</f>
        <v>3.4914000000000001E-2</v>
      </c>
      <c r="N732" s="54" cm="1">
        <f t="array" ref="N732">_xlfn.XLOOKUP(K732,LISTAS!$D$27:$D$47,_xlfn.XLOOKUP(J732,LISTAS!$E$26:$H$26,LISTAS!$E$27:$H$47))</f>
        <v>25977000</v>
      </c>
      <c r="O732" s="56" t="s">
        <v>1623</v>
      </c>
      <c r="P732" s="76" t="str">
        <f t="shared" ca="1" si="35"/>
        <v>Vencida</v>
      </c>
    </row>
    <row r="733" spans="1:16" x14ac:dyDescent="0.3">
      <c r="A733" s="58" t="s">
        <v>1023</v>
      </c>
      <c r="B733" s="56" t="s">
        <v>289</v>
      </c>
      <c r="C733" s="50" t="str">
        <f>_xlfn.XLOOKUP(B733,CLIENTES!$A$2:$A$301,CLIENTES!$B$2:$B$301)</f>
        <v>Natalia Bravo</v>
      </c>
      <c r="D733" s="60">
        <v>45552</v>
      </c>
      <c r="E733" s="60">
        <f t="shared" si="33"/>
        <v>45917</v>
      </c>
      <c r="F733" s="50" t="s">
        <v>1598</v>
      </c>
      <c r="G733" s="56" t="s">
        <v>1601</v>
      </c>
      <c r="H733" s="47">
        <v>39</v>
      </c>
      <c r="I733" s="60">
        <v>31779</v>
      </c>
      <c r="J733" s="56" t="s">
        <v>1610</v>
      </c>
      <c r="K733" s="56">
        <v>2025</v>
      </c>
      <c r="L733" s="52">
        <f t="shared" si="34"/>
        <v>100862.66666666667</v>
      </c>
      <c r="M733" s="56">
        <f>LISTAS!$B$22*_xlfn.XLOOKUP(G733,LISTAS!$B$27:$B$36,LISTAS!$A$27:$A$36)*_xlfn.XLOOKUP(H733,LISTAS!$B$38:$B$47,LISTAS!$A$38:$A$47,,-1)*_xlfn.XLOOKUP(J733,LISTAS!$E$26:$H$26,LISTAS!$E$48:$H$48)*_xlfn.XLOOKUP(F733,LISTAS!$A$15:$A$18,LISTAS!$H$15:$H$18)</f>
        <v>3.2890000000000003E-2</v>
      </c>
      <c r="N733" s="54" cm="1">
        <f t="array" ref="N733">_xlfn.XLOOKUP(K733,LISTAS!$D$27:$D$47,_xlfn.XLOOKUP(J733,LISTAS!$E$26:$H$26,LISTAS!$E$27:$H$47))</f>
        <v>36800000</v>
      </c>
      <c r="O733" s="56" t="s">
        <v>1623</v>
      </c>
      <c r="P733" s="76" t="str">
        <f t="shared" ca="1" si="35"/>
        <v>Vencida</v>
      </c>
    </row>
    <row r="734" spans="1:16" x14ac:dyDescent="0.3">
      <c r="A734" s="58" t="s">
        <v>1024</v>
      </c>
      <c r="B734" s="56" t="s">
        <v>139</v>
      </c>
      <c r="C734" s="50" t="str">
        <f>_xlfn.XLOOKUP(B734,CLIENTES!$A$2:$A$301,CLIENTES!$B$2:$B$301)</f>
        <v>Florencia Arias</v>
      </c>
      <c r="D734" s="60">
        <v>44814</v>
      </c>
      <c r="E734" s="60">
        <f t="shared" si="33"/>
        <v>45179</v>
      </c>
      <c r="F734" s="50" t="s">
        <v>1596</v>
      </c>
      <c r="G734" s="56" t="s">
        <v>1599</v>
      </c>
      <c r="H734" s="47">
        <v>55</v>
      </c>
      <c r="I734" s="60">
        <v>26008</v>
      </c>
      <c r="J734" s="56" t="s">
        <v>1611</v>
      </c>
      <c r="K734" s="56">
        <v>2025</v>
      </c>
      <c r="L734" s="52">
        <f t="shared" si="34"/>
        <v>80936.999999999985</v>
      </c>
      <c r="M734" s="56">
        <f>LISTAS!$B$22*_xlfn.XLOOKUP(G734,LISTAS!$B$27:$B$36,LISTAS!$A$27:$A$36)*_xlfn.XLOOKUP(H734,LISTAS!$B$38:$B$47,LISTAS!$A$38:$A$47,,-1)*_xlfn.XLOOKUP(J734,LISTAS!$E$26:$H$26,LISTAS!$E$48:$H$48)*_xlfn.XLOOKUP(F734,LISTAS!$A$15:$A$18,LISTAS!$H$15:$H$18)</f>
        <v>2.3459999999999998E-2</v>
      </c>
      <c r="N734" s="54" cm="1">
        <f t="array" ref="N734">_xlfn.XLOOKUP(K734,LISTAS!$D$27:$D$47,_xlfn.XLOOKUP(J734,LISTAS!$E$26:$H$26,LISTAS!$E$27:$H$47))</f>
        <v>41400000</v>
      </c>
      <c r="O734" s="56" t="s">
        <v>1626</v>
      </c>
      <c r="P734" s="76" t="str">
        <f t="shared" ca="1" si="35"/>
        <v>Vencida</v>
      </c>
    </row>
    <row r="735" spans="1:16" x14ac:dyDescent="0.3">
      <c r="A735" s="58" t="s">
        <v>1025</v>
      </c>
      <c r="B735" s="56" t="s">
        <v>12</v>
      </c>
      <c r="C735" s="50" t="str">
        <f>_xlfn.XLOOKUP(B735,CLIENTES!$A$2:$A$301,CLIENTES!$B$2:$B$301)</f>
        <v>Maximiliano Castro</v>
      </c>
      <c r="D735" s="60">
        <v>45494</v>
      </c>
      <c r="E735" s="60">
        <f t="shared" si="33"/>
        <v>45859</v>
      </c>
      <c r="F735" s="50" t="s">
        <v>1597</v>
      </c>
      <c r="G735" s="56" t="s">
        <v>1601</v>
      </c>
      <c r="H735" s="47">
        <v>24</v>
      </c>
      <c r="I735" s="60">
        <v>37282</v>
      </c>
      <c r="J735" s="56" t="s">
        <v>1611</v>
      </c>
      <c r="K735" s="56">
        <v>2023</v>
      </c>
      <c r="L735" s="52">
        <f t="shared" si="34"/>
        <v>112833.3195</v>
      </c>
      <c r="M735" s="56">
        <f>LISTAS!$B$22*_xlfn.XLOOKUP(G735,LISTAS!$B$27:$B$36,LISTAS!$A$27:$A$36)*_xlfn.XLOOKUP(H735,LISTAS!$B$38:$B$47,LISTAS!$A$38:$A$47,,-1)*_xlfn.XLOOKUP(J735,LISTAS!$E$26:$H$26,LISTAS!$E$48:$H$48)*_xlfn.XLOOKUP(F735,LISTAS!$A$15:$A$18,LISTAS!$H$15:$H$18)</f>
        <v>3.9278250000000001E-2</v>
      </c>
      <c r="N735" s="54" cm="1">
        <f t="array" ref="N735">_xlfn.XLOOKUP(K735,LISTAS!$D$27:$D$47,_xlfn.XLOOKUP(J735,LISTAS!$E$26:$H$26,LISTAS!$E$27:$H$47))</f>
        <v>34472000</v>
      </c>
      <c r="O735" s="56" t="s">
        <v>1625</v>
      </c>
      <c r="P735" s="76" t="str">
        <f t="shared" ca="1" si="35"/>
        <v>Vencida</v>
      </c>
    </row>
    <row r="736" spans="1:16" x14ac:dyDescent="0.3">
      <c r="A736" s="58" t="s">
        <v>1026</v>
      </c>
      <c r="B736" s="56" t="s">
        <v>247</v>
      </c>
      <c r="C736" s="50" t="str">
        <f>_xlfn.XLOOKUP(B736,CLIENTES!$A$2:$A$301,CLIENTES!$B$2:$B$301)</f>
        <v>Rodrigo Navarro</v>
      </c>
      <c r="D736" s="60">
        <v>45306</v>
      </c>
      <c r="E736" s="60">
        <f t="shared" si="33"/>
        <v>45672</v>
      </c>
      <c r="F736" s="50" t="s">
        <v>1597</v>
      </c>
      <c r="G736" s="56" t="s">
        <v>1604</v>
      </c>
      <c r="H736" s="47">
        <v>48</v>
      </c>
      <c r="I736" s="60">
        <v>28391</v>
      </c>
      <c r="J736" s="56" t="s">
        <v>1610</v>
      </c>
      <c r="K736" s="56">
        <v>2025</v>
      </c>
      <c r="L736" s="52">
        <f t="shared" si="34"/>
        <v>74027.8</v>
      </c>
      <c r="M736" s="56">
        <f>LISTAS!$B$22*_xlfn.XLOOKUP(G736,LISTAS!$B$27:$B$36,LISTAS!$A$27:$A$36)*_xlfn.XLOOKUP(H736,LISTAS!$B$38:$B$47,LISTAS!$A$38:$A$47,,-1)*_xlfn.XLOOKUP(J736,LISTAS!$E$26:$H$26,LISTAS!$E$48:$H$48)*_xlfn.XLOOKUP(F736,LISTAS!$A$15:$A$18,LISTAS!$H$15:$H$18)</f>
        <v>2.4139500000000001E-2</v>
      </c>
      <c r="N736" s="54" cm="1">
        <f t="array" ref="N736">_xlfn.XLOOKUP(K736,LISTAS!$D$27:$D$47,_xlfn.XLOOKUP(J736,LISTAS!$E$26:$H$26,LISTAS!$E$27:$H$47))</f>
        <v>36800000</v>
      </c>
      <c r="O736" s="56" t="s">
        <v>1623</v>
      </c>
      <c r="P736" s="76" t="str">
        <f t="shared" ca="1" si="35"/>
        <v>Vencida</v>
      </c>
    </row>
    <row r="737" spans="1:16" x14ac:dyDescent="0.3">
      <c r="A737" s="58" t="s">
        <v>1027</v>
      </c>
      <c r="B737" s="56" t="s">
        <v>39</v>
      </c>
      <c r="C737" s="50" t="str">
        <f>_xlfn.XLOOKUP(B737,CLIENTES!$A$2:$A$301,CLIENTES!$B$2:$B$301)</f>
        <v>Juan Romero</v>
      </c>
      <c r="D737" s="60">
        <v>45667</v>
      </c>
      <c r="E737" s="60">
        <f t="shared" si="33"/>
        <v>46032</v>
      </c>
      <c r="F737" s="50" t="s">
        <v>1596</v>
      </c>
      <c r="G737" s="56" t="s">
        <v>1600</v>
      </c>
      <c r="H737" s="47">
        <v>34</v>
      </c>
      <c r="I737" s="60">
        <v>33549</v>
      </c>
      <c r="J737" s="56" t="s">
        <v>1612</v>
      </c>
      <c r="K737" s="56">
        <v>2024</v>
      </c>
      <c r="L737" s="52">
        <f t="shared" si="34"/>
        <v>46080.816250000003</v>
      </c>
      <c r="M737" s="56">
        <f>LISTAS!$B$22*_xlfn.XLOOKUP(G737,LISTAS!$B$27:$B$36,LISTAS!$A$27:$A$36)*_xlfn.XLOOKUP(H737,LISTAS!$B$38:$B$47,LISTAS!$A$38:$A$47,,-1)*_xlfn.XLOOKUP(J737,LISTAS!$E$26:$H$26,LISTAS!$E$48:$H$48)*_xlfn.XLOOKUP(F737,LISTAS!$A$15:$A$18,LISTAS!$H$15:$H$18)</f>
        <v>2.0527500000000001E-2</v>
      </c>
      <c r="N737" s="54" cm="1">
        <f t="array" ref="N737">_xlfn.XLOOKUP(K737,LISTAS!$D$27:$D$47,_xlfn.XLOOKUP(J737,LISTAS!$E$26:$H$26,LISTAS!$E$27:$H$47))</f>
        <v>26938000</v>
      </c>
      <c r="O737" s="56" t="s">
        <v>1623</v>
      </c>
      <c r="P737" s="76" t="str">
        <f t="shared" ca="1" si="35"/>
        <v>Vencida</v>
      </c>
    </row>
    <row r="738" spans="1:16" x14ac:dyDescent="0.3">
      <c r="A738" s="58" t="s">
        <v>1028</v>
      </c>
      <c r="B738" s="56" t="s">
        <v>209</v>
      </c>
      <c r="C738" s="50" t="str">
        <f>_xlfn.XLOOKUP(B738,CLIENTES!$A$2:$A$301,CLIENTES!$B$2:$B$301)</f>
        <v>Camila Domínguez</v>
      </c>
      <c r="D738" s="60">
        <v>44889</v>
      </c>
      <c r="E738" s="60">
        <f t="shared" si="33"/>
        <v>45254</v>
      </c>
      <c r="F738" s="50" t="s">
        <v>1596</v>
      </c>
      <c r="G738" s="56" t="s">
        <v>1600</v>
      </c>
      <c r="H738" s="47">
        <v>75</v>
      </c>
      <c r="I738" s="60">
        <v>18797</v>
      </c>
      <c r="J738" s="56" t="s">
        <v>1612</v>
      </c>
      <c r="K738" s="56">
        <v>2023</v>
      </c>
      <c r="L738" s="52">
        <f t="shared" si="34"/>
        <v>60802.198406250005</v>
      </c>
      <c r="M738" s="56">
        <f>LISTAS!$B$22*_xlfn.XLOOKUP(G738,LISTAS!$B$27:$B$36,LISTAS!$A$27:$A$36)*_xlfn.XLOOKUP(H738,LISTAS!$B$38:$B$47,LISTAS!$A$38:$A$47,,-1)*_xlfn.XLOOKUP(J738,LISTAS!$E$26:$H$26,LISTAS!$E$48:$H$48)*_xlfn.XLOOKUP(F738,LISTAS!$A$15:$A$18,LISTAS!$H$15:$H$18)</f>
        <v>2.9764875E-2</v>
      </c>
      <c r="N738" s="54" cm="1">
        <f t="array" ref="N738">_xlfn.XLOOKUP(K738,LISTAS!$D$27:$D$47,_xlfn.XLOOKUP(J738,LISTAS!$E$26:$H$26,LISTAS!$E$27:$H$47))</f>
        <v>24513000</v>
      </c>
      <c r="O738" s="56" t="s">
        <v>1624</v>
      </c>
      <c r="P738" s="76" t="str">
        <f t="shared" ca="1" si="35"/>
        <v>Vencida</v>
      </c>
    </row>
    <row r="739" spans="1:16" x14ac:dyDescent="0.3">
      <c r="A739" s="58" t="s">
        <v>1029</v>
      </c>
      <c r="B739" s="56" t="s">
        <v>81</v>
      </c>
      <c r="C739" s="50" t="str">
        <f>_xlfn.XLOOKUP(B739,CLIENTES!$A$2:$A$301,CLIENTES!$B$2:$B$301)</f>
        <v>Alejandro Rojas</v>
      </c>
      <c r="D739" s="60">
        <v>45416</v>
      </c>
      <c r="E739" s="60">
        <f t="shared" si="33"/>
        <v>45781</v>
      </c>
      <c r="F739" s="50" t="s">
        <v>1597</v>
      </c>
      <c r="G739" s="56" t="s">
        <v>1600</v>
      </c>
      <c r="H739" s="47">
        <v>61</v>
      </c>
      <c r="I739" s="60">
        <v>23693</v>
      </c>
      <c r="J739" s="56" t="s">
        <v>1612</v>
      </c>
      <c r="K739" s="56">
        <v>2023</v>
      </c>
      <c r="L739" s="52">
        <f t="shared" si="34"/>
        <v>56978.936437500008</v>
      </c>
      <c r="M739" s="56">
        <f>LISTAS!$B$22*_xlfn.XLOOKUP(G739,LISTAS!$B$27:$B$36,LISTAS!$A$27:$A$36)*_xlfn.XLOOKUP(H739,LISTAS!$B$38:$B$47,LISTAS!$A$38:$A$47,,-1)*_xlfn.XLOOKUP(J739,LISTAS!$E$26:$H$26,LISTAS!$E$48:$H$48)*_xlfn.XLOOKUP(F739,LISTAS!$A$15:$A$18,LISTAS!$H$15:$H$18)</f>
        <v>2.7893250000000005E-2</v>
      </c>
      <c r="N739" s="54" cm="1">
        <f t="array" ref="N739">_xlfn.XLOOKUP(K739,LISTAS!$D$27:$D$47,_xlfn.XLOOKUP(J739,LISTAS!$E$26:$H$26,LISTAS!$E$27:$H$47))</f>
        <v>24513000</v>
      </c>
      <c r="O739" s="56" t="s">
        <v>1623</v>
      </c>
      <c r="P739" s="76" t="str">
        <f t="shared" ca="1" si="35"/>
        <v>Vencida</v>
      </c>
    </row>
    <row r="740" spans="1:16" x14ac:dyDescent="0.3">
      <c r="A740" s="58" t="s">
        <v>1030</v>
      </c>
      <c r="B740" s="56" t="s">
        <v>50</v>
      </c>
      <c r="C740" s="50" t="str">
        <f>_xlfn.XLOOKUP(B740,CLIENTES!$A$2:$A$301,CLIENTES!$B$2:$B$301)</f>
        <v>Agustín Medina</v>
      </c>
      <c r="D740" s="60">
        <v>44817</v>
      </c>
      <c r="E740" s="60">
        <f t="shared" si="33"/>
        <v>45182</v>
      </c>
      <c r="F740" s="50" t="s">
        <v>1598</v>
      </c>
      <c r="G740" s="56" t="s">
        <v>1605</v>
      </c>
      <c r="H740" s="47">
        <v>60</v>
      </c>
      <c r="I740" s="60">
        <v>24314</v>
      </c>
      <c r="J740" s="56" t="s">
        <v>1610</v>
      </c>
      <c r="K740" s="56">
        <v>2022</v>
      </c>
      <c r="L740" s="52">
        <f t="shared" si="34"/>
        <v>62801.739000000023</v>
      </c>
      <c r="M740" s="56">
        <f>LISTAS!$B$22*_xlfn.XLOOKUP(G740,LISTAS!$B$27:$B$36,LISTAS!$A$27:$A$36)*_xlfn.XLOOKUP(H740,LISTAS!$B$38:$B$47,LISTAS!$A$38:$A$47,,-1)*_xlfn.XLOOKUP(J740,LISTAS!$E$26:$H$26,LISTAS!$E$48:$H$48)*_xlfn.XLOOKUP(F740,LISTAS!$A$15:$A$18,LISTAS!$H$15:$H$18)</f>
        <v>2.7027000000000009E-2</v>
      </c>
      <c r="N740" s="54" cm="1">
        <f t="array" ref="N740">_xlfn.XLOOKUP(K740,LISTAS!$D$27:$D$47,_xlfn.XLOOKUP(J740,LISTAS!$E$26:$H$26,LISTAS!$E$27:$H$47))</f>
        <v>27884000</v>
      </c>
      <c r="O740" s="56" t="s">
        <v>1625</v>
      </c>
      <c r="P740" s="76" t="str">
        <f t="shared" ca="1" si="35"/>
        <v>Vencida</v>
      </c>
    </row>
    <row r="741" spans="1:16" x14ac:dyDescent="0.3">
      <c r="A741" s="58" t="s">
        <v>1031</v>
      </c>
      <c r="B741" s="56" t="s">
        <v>278</v>
      </c>
      <c r="C741" s="50" t="str">
        <f>_xlfn.XLOOKUP(B741,CLIENTES!$A$2:$A$301,CLIENTES!$B$2:$B$301)</f>
        <v>Sebastián Benítez</v>
      </c>
      <c r="D741" s="60">
        <v>45740</v>
      </c>
      <c r="E741" s="60">
        <f t="shared" si="33"/>
        <v>46105</v>
      </c>
      <c r="F741" s="50" t="s">
        <v>1596</v>
      </c>
      <c r="G741" s="56" t="s">
        <v>1605</v>
      </c>
      <c r="H741" s="47">
        <v>67</v>
      </c>
      <c r="I741" s="60">
        <v>21733</v>
      </c>
      <c r="J741" s="56" t="s">
        <v>1610</v>
      </c>
      <c r="K741" s="56">
        <v>2023</v>
      </c>
      <c r="L741" s="52">
        <f t="shared" si="34"/>
        <v>49421.715750000003</v>
      </c>
      <c r="M741" s="56">
        <f>LISTAS!$B$22*_xlfn.XLOOKUP(G741,LISTAS!$B$27:$B$36,LISTAS!$A$27:$A$36)*_xlfn.XLOOKUP(H741,LISTAS!$B$38:$B$47,LISTAS!$A$38:$A$47,,-1)*_xlfn.XLOOKUP(J741,LISTAS!$E$26:$H$26,LISTAS!$E$48:$H$48)*_xlfn.XLOOKUP(F741,LISTAS!$A$15:$A$18,LISTAS!$H$15:$H$18)</f>
        <v>1.93545E-2</v>
      </c>
      <c r="N741" s="54" cm="1">
        <f t="array" ref="N741">_xlfn.XLOOKUP(K741,LISTAS!$D$27:$D$47,_xlfn.XLOOKUP(J741,LISTAS!$E$26:$H$26,LISTAS!$E$27:$H$47))</f>
        <v>30642000</v>
      </c>
      <c r="O741" s="56" t="s">
        <v>1623</v>
      </c>
      <c r="P741" s="76" t="str">
        <f t="shared" ca="1" si="35"/>
        <v>Vencida</v>
      </c>
    </row>
    <row r="742" spans="1:16" x14ac:dyDescent="0.3">
      <c r="A742" s="58" t="s">
        <v>1032</v>
      </c>
      <c r="B742" s="56" t="s">
        <v>19</v>
      </c>
      <c r="C742" s="50" t="str">
        <f>_xlfn.XLOOKUP(B742,CLIENTES!$A$2:$A$301,CLIENTES!$B$2:$B$301)</f>
        <v>Daniela Silva</v>
      </c>
      <c r="D742" s="60">
        <v>46115</v>
      </c>
      <c r="E742" s="60">
        <f t="shared" si="33"/>
        <v>46480</v>
      </c>
      <c r="F742" s="50" t="s">
        <v>1595</v>
      </c>
      <c r="G742" s="56" t="s">
        <v>1608</v>
      </c>
      <c r="H742" s="47">
        <v>47</v>
      </c>
      <c r="I742" s="60">
        <v>29021</v>
      </c>
      <c r="J742" s="56" t="s">
        <v>1609</v>
      </c>
      <c r="K742" s="56">
        <v>2009</v>
      </c>
      <c r="L742" s="52">
        <f t="shared" si="34"/>
        <v>5259.7699999999995</v>
      </c>
      <c r="M742" s="56">
        <f>LISTAS!$B$22*_xlfn.XLOOKUP(G742,LISTAS!$B$27:$B$36,LISTAS!$A$27:$A$36)*_xlfn.XLOOKUP(H742,LISTAS!$B$38:$B$47,LISTAS!$A$38:$A$47,,-1)*_xlfn.XLOOKUP(J742,LISTAS!$E$26:$H$26,LISTAS!$E$48:$H$48)*_xlfn.XLOOKUP(F742,LISTAS!$A$15:$A$18,LISTAS!$H$15:$H$18)</f>
        <v>1.0829999999999999E-2</v>
      </c>
      <c r="N742" s="54" cm="1">
        <f t="array" ref="N742">_xlfn.XLOOKUP(K742,LISTAS!$D$27:$D$47,_xlfn.XLOOKUP(J742,LISTAS!$E$26:$H$26,LISTAS!$E$27:$H$47))</f>
        <v>5828000</v>
      </c>
      <c r="O742" s="56" t="s">
        <v>1623</v>
      </c>
      <c r="P742" s="76" t="str">
        <f t="shared" ca="1" si="35"/>
        <v>Vigente</v>
      </c>
    </row>
    <row r="743" spans="1:16" x14ac:dyDescent="0.3">
      <c r="A743" s="58" t="s">
        <v>1033</v>
      </c>
      <c r="B743" s="56" t="s">
        <v>66</v>
      </c>
      <c r="C743" s="50" t="str">
        <f>_xlfn.XLOOKUP(B743,CLIENTES!$A$2:$A$301,CLIENTES!$B$2:$B$301)</f>
        <v>Tomás Pérez</v>
      </c>
      <c r="D743" s="60">
        <v>44589</v>
      </c>
      <c r="E743" s="60">
        <f t="shared" si="33"/>
        <v>44954</v>
      </c>
      <c r="F743" s="50" t="s">
        <v>1596</v>
      </c>
      <c r="G743" s="56" t="s">
        <v>1608</v>
      </c>
      <c r="H743" s="47">
        <v>39</v>
      </c>
      <c r="I743" s="60">
        <v>31999</v>
      </c>
      <c r="J743" s="56" t="s">
        <v>1609</v>
      </c>
      <c r="K743" s="56">
        <v>2024</v>
      </c>
      <c r="L743" s="52">
        <f t="shared" si="34"/>
        <v>28323.062499999996</v>
      </c>
      <c r="M743" s="56">
        <f>LISTAS!$B$22*_xlfn.XLOOKUP(G743,LISTAS!$B$27:$B$36,LISTAS!$A$27:$A$36)*_xlfn.XLOOKUP(H743,LISTAS!$B$38:$B$47,LISTAS!$A$38:$A$47,,-1)*_xlfn.XLOOKUP(J743,LISTAS!$E$26:$H$26,LISTAS!$E$48:$H$48)*_xlfn.XLOOKUP(F743,LISTAS!$A$15:$A$18,LISTAS!$H$15:$H$18)</f>
        <v>1.6149999999999998E-2</v>
      </c>
      <c r="N743" s="54" cm="1">
        <f t="array" ref="N743">_xlfn.XLOOKUP(K743,LISTAS!$D$27:$D$47,_xlfn.XLOOKUP(J743,LISTAS!$E$26:$H$26,LISTAS!$E$27:$H$47))</f>
        <v>21045000</v>
      </c>
      <c r="O743" s="56" t="s">
        <v>1623</v>
      </c>
      <c r="P743" s="76" t="str">
        <f t="shared" ca="1" si="35"/>
        <v>Vencida</v>
      </c>
    </row>
    <row r="744" spans="1:16" x14ac:dyDescent="0.3">
      <c r="A744" s="58" t="s">
        <v>1034</v>
      </c>
      <c r="B744" s="56" t="s">
        <v>252</v>
      </c>
      <c r="C744" s="50" t="str">
        <f>_xlfn.XLOOKUP(B744,CLIENTES!$A$2:$A$301,CLIENTES!$B$2:$B$301)</f>
        <v>Matías Castro</v>
      </c>
      <c r="D744" s="60">
        <v>44781</v>
      </c>
      <c r="E744" s="60">
        <f t="shared" si="33"/>
        <v>45146</v>
      </c>
      <c r="F744" s="50" t="s">
        <v>1597</v>
      </c>
      <c r="G744" s="56" t="s">
        <v>1600</v>
      </c>
      <c r="H744" s="47">
        <v>50</v>
      </c>
      <c r="I744" s="60">
        <v>27873</v>
      </c>
      <c r="J744" s="56" t="s">
        <v>1609</v>
      </c>
      <c r="K744" s="56">
        <v>2016</v>
      </c>
      <c r="L744" s="52">
        <f t="shared" si="34"/>
        <v>20980.025000000001</v>
      </c>
      <c r="M744" s="56">
        <f>LISTAS!$B$22*_xlfn.XLOOKUP(G744,LISTAS!$B$27:$B$36,LISTAS!$A$27:$A$36)*_xlfn.XLOOKUP(H744,LISTAS!$B$38:$B$47,LISTAS!$A$38:$A$47,,-1)*_xlfn.XLOOKUP(J744,LISTAS!$E$26:$H$26,LISTAS!$E$48:$H$48)*_xlfn.XLOOKUP(F744,LISTAS!$A$15:$A$18,LISTAS!$H$15:$H$18)</f>
        <v>2.5300000000000003E-2</v>
      </c>
      <c r="N744" s="54" cm="1">
        <f t="array" ref="N744">_xlfn.XLOOKUP(K744,LISTAS!$D$27:$D$47,_xlfn.XLOOKUP(J744,LISTAS!$E$26:$H$26,LISTAS!$E$27:$H$47))</f>
        <v>9951000</v>
      </c>
      <c r="O744" s="56" t="s">
        <v>1626</v>
      </c>
      <c r="P744" s="76" t="str">
        <f t="shared" ca="1" si="35"/>
        <v>Vencida</v>
      </c>
    </row>
    <row r="745" spans="1:16" x14ac:dyDescent="0.3">
      <c r="A745" s="58" t="s">
        <v>1035</v>
      </c>
      <c r="B745" s="56" t="s">
        <v>168</v>
      </c>
      <c r="C745" s="50" t="str">
        <f>_xlfn.XLOOKUP(B745,CLIENTES!$A$2:$A$301,CLIENTES!$B$2:$B$301)</f>
        <v>Agustina Rodríguez</v>
      </c>
      <c r="D745" s="60">
        <v>45879</v>
      </c>
      <c r="E745" s="60">
        <f t="shared" si="33"/>
        <v>46244</v>
      </c>
      <c r="F745" s="50" t="s">
        <v>1596</v>
      </c>
      <c r="G745" s="56" t="s">
        <v>1603</v>
      </c>
      <c r="H745" s="47">
        <v>67</v>
      </c>
      <c r="I745" s="60">
        <v>21773</v>
      </c>
      <c r="J745" s="56" t="s">
        <v>1611</v>
      </c>
      <c r="K745" s="56">
        <v>2021</v>
      </c>
      <c r="L745" s="52">
        <f t="shared" si="34"/>
        <v>50808.014395833328</v>
      </c>
      <c r="M745" s="56">
        <f>LISTAS!$B$22*_xlfn.XLOOKUP(G745,LISTAS!$B$27:$B$36,LISTAS!$A$27:$A$36)*_xlfn.XLOOKUP(H745,LISTAS!$B$38:$B$47,LISTAS!$A$38:$A$47,,-1)*_xlfn.XLOOKUP(J745,LISTAS!$E$26:$H$26,LISTAS!$E$48:$H$48)*_xlfn.XLOOKUP(F745,LISTAS!$A$15:$A$18,LISTAS!$H$15:$H$18)</f>
        <v>2.1358374999999995E-2</v>
      </c>
      <c r="N745" s="54" cm="1">
        <f t="array" ref="N745">_xlfn.XLOOKUP(K745,LISTAS!$D$27:$D$47,_xlfn.XLOOKUP(J745,LISTAS!$E$26:$H$26,LISTAS!$E$27:$H$47))</f>
        <v>28546000</v>
      </c>
      <c r="O745" s="56" t="s">
        <v>1624</v>
      </c>
      <c r="P745" s="76" t="str">
        <f t="shared" ca="1" si="35"/>
        <v>Vencida</v>
      </c>
    </row>
    <row r="746" spans="1:16" x14ac:dyDescent="0.3">
      <c r="A746" s="58" t="s">
        <v>1036</v>
      </c>
      <c r="B746" s="56" t="s">
        <v>27</v>
      </c>
      <c r="C746" s="50" t="str">
        <f>_xlfn.XLOOKUP(B746,CLIENTES!$A$2:$A$301,CLIENTES!$B$2:$B$301)</f>
        <v>Agustina Vera</v>
      </c>
      <c r="D746" s="60">
        <v>44683</v>
      </c>
      <c r="E746" s="60">
        <f t="shared" si="33"/>
        <v>45048</v>
      </c>
      <c r="F746" s="50" t="s">
        <v>1595</v>
      </c>
      <c r="G746" s="56" t="s">
        <v>1605</v>
      </c>
      <c r="H746" s="47">
        <v>42</v>
      </c>
      <c r="I746" s="60">
        <v>30616</v>
      </c>
      <c r="J746" s="56" t="s">
        <v>1610</v>
      </c>
      <c r="K746" s="56">
        <v>2026</v>
      </c>
      <c r="L746" s="52">
        <f t="shared" si="34"/>
        <v>37620.000000000007</v>
      </c>
      <c r="M746" s="56">
        <f>LISTAS!$B$22*_xlfn.XLOOKUP(G746,LISTAS!$B$27:$B$36,LISTAS!$A$27:$A$36)*_xlfn.XLOOKUP(H746,LISTAS!$B$38:$B$47,LISTAS!$A$38:$A$47,,-1)*_xlfn.XLOOKUP(J746,LISTAS!$E$26:$H$26,LISTAS!$E$48:$H$48)*_xlfn.XLOOKUP(F746,LISTAS!$A$15:$A$18,LISTAS!$H$15:$H$18)</f>
        <v>1.1286000000000003E-2</v>
      </c>
      <c r="N746" s="54" cm="1">
        <f t="array" ref="N746">_xlfn.XLOOKUP(K746,LISTAS!$D$27:$D$47,_xlfn.XLOOKUP(J746,LISTAS!$E$26:$H$26,LISTAS!$E$27:$H$47))</f>
        <v>40000000</v>
      </c>
      <c r="O746" s="56" t="s">
        <v>1623</v>
      </c>
      <c r="P746" s="76" t="str">
        <f t="shared" ca="1" si="35"/>
        <v>Vencida</v>
      </c>
    </row>
    <row r="747" spans="1:16" x14ac:dyDescent="0.3">
      <c r="A747" s="58" t="s">
        <v>1037</v>
      </c>
      <c r="B747" s="56" t="s">
        <v>242</v>
      </c>
      <c r="C747" s="50" t="str">
        <f>_xlfn.XLOOKUP(B747,CLIENTES!$A$2:$A$301,CLIENTES!$B$2:$B$301)</f>
        <v>Malena Vega</v>
      </c>
      <c r="D747" s="60">
        <v>46252</v>
      </c>
      <c r="E747" s="60">
        <f t="shared" si="33"/>
        <v>46617</v>
      </c>
      <c r="F747" s="50" t="s">
        <v>1597</v>
      </c>
      <c r="G747" s="56" t="s">
        <v>1605</v>
      </c>
      <c r="H747" s="47">
        <v>71</v>
      </c>
      <c r="I747" s="60">
        <v>20130</v>
      </c>
      <c r="J747" s="56" t="s">
        <v>1609</v>
      </c>
      <c r="K747" s="56">
        <v>2022</v>
      </c>
      <c r="L747" s="52">
        <f t="shared" si="34"/>
        <v>40256.370000000003</v>
      </c>
      <c r="M747" s="56">
        <f>LISTAS!$B$22*_xlfn.XLOOKUP(G747,LISTAS!$B$27:$B$36,LISTAS!$A$27:$A$36)*_xlfn.XLOOKUP(H747,LISTAS!$B$38:$B$47,LISTAS!$A$38:$A$47,,-1)*_xlfn.XLOOKUP(J747,LISTAS!$E$26:$H$26,LISTAS!$E$48:$H$48)*_xlfn.XLOOKUP(F747,LISTAS!$A$15:$A$18,LISTAS!$H$15:$H$18)</f>
        <v>2.7720000000000002E-2</v>
      </c>
      <c r="N747" s="54" cm="1">
        <f t="array" ref="N747">_xlfn.XLOOKUP(K747,LISTAS!$D$27:$D$47,_xlfn.XLOOKUP(J747,LISTAS!$E$26:$H$26,LISTAS!$E$27:$H$47))</f>
        <v>17427000</v>
      </c>
      <c r="O747" s="56" t="s">
        <v>1623</v>
      </c>
      <c r="P747" s="76" t="str">
        <f t="shared" ca="1" si="35"/>
        <v>Vigente</v>
      </c>
    </row>
    <row r="748" spans="1:16" x14ac:dyDescent="0.3">
      <c r="A748" s="58" t="s">
        <v>1038</v>
      </c>
      <c r="B748" s="56" t="s">
        <v>205</v>
      </c>
      <c r="C748" s="50" t="str">
        <f>_xlfn.XLOOKUP(B748,CLIENTES!$A$2:$A$301,CLIENTES!$B$2:$B$301)</f>
        <v>Lautaro Núñez</v>
      </c>
      <c r="D748" s="60">
        <v>44625</v>
      </c>
      <c r="E748" s="60">
        <f t="shared" si="33"/>
        <v>44990</v>
      </c>
      <c r="F748" s="50" t="s">
        <v>1596</v>
      </c>
      <c r="G748" s="56" t="s">
        <v>1600</v>
      </c>
      <c r="H748" s="47">
        <v>39</v>
      </c>
      <c r="I748" s="60">
        <v>31982</v>
      </c>
      <c r="J748" s="56" t="s">
        <v>1611</v>
      </c>
      <c r="K748" s="56">
        <v>2023</v>
      </c>
      <c r="L748" s="52">
        <f t="shared" si="34"/>
        <v>64584.728333333333</v>
      </c>
      <c r="M748" s="56">
        <f>LISTAS!$B$22*_xlfn.XLOOKUP(G748,LISTAS!$B$27:$B$36,LISTAS!$A$27:$A$36)*_xlfn.XLOOKUP(H748,LISTAS!$B$38:$B$47,LISTAS!$A$38:$A$47,,-1)*_xlfn.XLOOKUP(J748,LISTAS!$E$26:$H$26,LISTAS!$E$48:$H$48)*_xlfn.XLOOKUP(F748,LISTAS!$A$15:$A$18,LISTAS!$H$15:$H$18)</f>
        <v>2.2482499999999999E-2</v>
      </c>
      <c r="N748" s="54" cm="1">
        <f t="array" ref="N748">_xlfn.XLOOKUP(K748,LISTAS!$D$27:$D$47,_xlfn.XLOOKUP(J748,LISTAS!$E$26:$H$26,LISTAS!$E$27:$H$47))</f>
        <v>34472000</v>
      </c>
      <c r="O748" s="56" t="s">
        <v>1624</v>
      </c>
      <c r="P748" s="76" t="str">
        <f t="shared" ca="1" si="35"/>
        <v>Vencida</v>
      </c>
    </row>
    <row r="749" spans="1:16" x14ac:dyDescent="0.3">
      <c r="A749" s="58" t="s">
        <v>1039</v>
      </c>
      <c r="B749" s="56" t="s">
        <v>261</v>
      </c>
      <c r="C749" s="50" t="str">
        <f>_xlfn.XLOOKUP(B749,CLIENTES!$A$2:$A$301,CLIENTES!$B$2:$B$301)</f>
        <v>Malena Peralta</v>
      </c>
      <c r="D749" s="60">
        <v>46248</v>
      </c>
      <c r="E749" s="60">
        <f t="shared" si="33"/>
        <v>46613</v>
      </c>
      <c r="F749" s="50" t="s">
        <v>1598</v>
      </c>
      <c r="G749" s="56" t="s">
        <v>1602</v>
      </c>
      <c r="H749" s="47">
        <v>31</v>
      </c>
      <c r="I749" s="60">
        <v>34621</v>
      </c>
      <c r="J749" s="56" t="s">
        <v>1611</v>
      </c>
      <c r="K749" s="56">
        <v>2021</v>
      </c>
      <c r="L749" s="52">
        <f t="shared" si="34"/>
        <v>74683.472500000018</v>
      </c>
      <c r="M749" s="56">
        <f>LISTAS!$B$22*_xlfn.XLOOKUP(G749,LISTAS!$B$27:$B$36,LISTAS!$A$27:$A$36)*_xlfn.XLOOKUP(H749,LISTAS!$B$38:$B$47,LISTAS!$A$38:$A$47,,-1)*_xlfn.XLOOKUP(J749,LISTAS!$E$26:$H$26,LISTAS!$E$48:$H$48)*_xlfn.XLOOKUP(F749,LISTAS!$A$15:$A$18,LISTAS!$H$15:$H$18)</f>
        <v>3.1395000000000006E-2</v>
      </c>
      <c r="N749" s="54" cm="1">
        <f t="array" ref="N749">_xlfn.XLOOKUP(K749,LISTAS!$D$27:$D$47,_xlfn.XLOOKUP(J749,LISTAS!$E$26:$H$26,LISTAS!$E$27:$H$47))</f>
        <v>28546000</v>
      </c>
      <c r="O749" s="56" t="s">
        <v>1624</v>
      </c>
      <c r="P749" s="76" t="str">
        <f t="shared" ca="1" si="35"/>
        <v>Vigente</v>
      </c>
    </row>
    <row r="750" spans="1:16" x14ac:dyDescent="0.3">
      <c r="A750" s="58" t="s">
        <v>1040</v>
      </c>
      <c r="B750" s="56" t="s">
        <v>130</v>
      </c>
      <c r="C750" s="50" t="str">
        <f>_xlfn.XLOOKUP(B750,CLIENTES!$A$2:$A$301,CLIENTES!$B$2:$B$301)</f>
        <v>Sofía Peralta</v>
      </c>
      <c r="D750" s="60">
        <v>45959</v>
      </c>
      <c r="E750" s="60">
        <f t="shared" si="33"/>
        <v>46324</v>
      </c>
      <c r="F750" s="50" t="s">
        <v>1595</v>
      </c>
      <c r="G750" s="56" t="s">
        <v>1608</v>
      </c>
      <c r="H750" s="47">
        <v>44</v>
      </c>
      <c r="I750" s="60">
        <v>29842</v>
      </c>
      <c r="J750" s="56" t="s">
        <v>1610</v>
      </c>
      <c r="K750" s="56">
        <v>2024</v>
      </c>
      <c r="L750" s="52">
        <f t="shared" si="34"/>
        <v>33427.878000000004</v>
      </c>
      <c r="M750" s="56">
        <f>LISTAS!$B$22*_xlfn.XLOOKUP(G750,LISTAS!$B$27:$B$36,LISTAS!$A$27:$A$36)*_xlfn.XLOOKUP(H750,LISTAS!$B$38:$B$47,LISTAS!$A$38:$A$47,,-1)*_xlfn.XLOOKUP(J750,LISTAS!$E$26:$H$26,LISTAS!$E$48:$H$48)*_xlfn.XLOOKUP(F750,LISTAS!$A$15:$A$18,LISTAS!$H$15:$H$18)</f>
        <v>1.1913E-2</v>
      </c>
      <c r="N750" s="54" cm="1">
        <f t="array" ref="N750">_xlfn.XLOOKUP(K750,LISTAS!$D$27:$D$47,_xlfn.XLOOKUP(J750,LISTAS!$E$26:$H$26,LISTAS!$E$27:$H$47))</f>
        <v>33672000</v>
      </c>
      <c r="O750" s="56" t="s">
        <v>1624</v>
      </c>
      <c r="P750" s="76" t="str">
        <f t="shared" ca="1" si="35"/>
        <v>Vigente</v>
      </c>
    </row>
    <row r="751" spans="1:16" x14ac:dyDescent="0.3">
      <c r="A751" s="58" t="s">
        <v>1041</v>
      </c>
      <c r="B751" s="56" t="s">
        <v>195</v>
      </c>
      <c r="C751" s="50" t="str">
        <f>_xlfn.XLOOKUP(B751,CLIENTES!$A$2:$A$301,CLIENTES!$B$2:$B$301)</f>
        <v>Martina Luna</v>
      </c>
      <c r="D751" s="60">
        <v>45655</v>
      </c>
      <c r="E751" s="60">
        <f t="shared" si="33"/>
        <v>46020</v>
      </c>
      <c r="F751" s="50" t="s">
        <v>1597</v>
      </c>
      <c r="G751" s="56" t="s">
        <v>1605</v>
      </c>
      <c r="H751" s="47">
        <v>42</v>
      </c>
      <c r="I751" s="60">
        <v>30869</v>
      </c>
      <c r="J751" s="56" t="s">
        <v>1610</v>
      </c>
      <c r="K751" s="56">
        <v>2016</v>
      </c>
      <c r="L751" s="52">
        <f t="shared" si="34"/>
        <v>27451.784250000008</v>
      </c>
      <c r="M751" s="56">
        <f>LISTAS!$B$22*_xlfn.XLOOKUP(G751,LISTAS!$B$27:$B$36,LISTAS!$A$27:$A$36)*_xlfn.XLOOKUP(H751,LISTAS!$B$38:$B$47,LISTAS!$A$38:$A$47,,-1)*_xlfn.XLOOKUP(J751,LISTAS!$E$26:$H$26,LISTAS!$E$48:$H$48)*_xlfn.XLOOKUP(F751,LISTAS!$A$15:$A$18,LISTAS!$H$15:$H$18)</f>
        <v>2.0691000000000005E-2</v>
      </c>
      <c r="N751" s="54" cm="1">
        <f t="array" ref="N751">_xlfn.XLOOKUP(K751,LISTAS!$D$27:$D$47,_xlfn.XLOOKUP(J751,LISTAS!$E$26:$H$26,LISTAS!$E$27:$H$47))</f>
        <v>15921000</v>
      </c>
      <c r="O751" s="56" t="s">
        <v>1625</v>
      </c>
      <c r="P751" s="76" t="str">
        <f t="shared" ca="1" si="35"/>
        <v>Vencida</v>
      </c>
    </row>
    <row r="752" spans="1:16" x14ac:dyDescent="0.3">
      <c r="A752" s="58" t="s">
        <v>1042</v>
      </c>
      <c r="B752" s="56" t="s">
        <v>178</v>
      </c>
      <c r="C752" s="50" t="str">
        <f>_xlfn.XLOOKUP(B752,CLIENTES!$A$2:$A$301,CLIENTES!$B$2:$B$301)</f>
        <v>Lautaro Ortiz</v>
      </c>
      <c r="D752" s="60">
        <v>45077</v>
      </c>
      <c r="E752" s="60">
        <f t="shared" si="33"/>
        <v>45443</v>
      </c>
      <c r="F752" s="50" t="s">
        <v>1595</v>
      </c>
      <c r="G752" s="56" t="s">
        <v>1603</v>
      </c>
      <c r="H752" s="47">
        <v>70</v>
      </c>
      <c r="I752" s="60">
        <v>20455</v>
      </c>
      <c r="J752" s="56" t="s">
        <v>1609</v>
      </c>
      <c r="K752" s="56">
        <v>2019</v>
      </c>
      <c r="L752" s="52">
        <f t="shared" si="34"/>
        <v>17466.89</v>
      </c>
      <c r="M752" s="56">
        <f>LISTAS!$B$22*_xlfn.XLOOKUP(G752,LISTAS!$B$27:$B$36,LISTAS!$A$27:$A$36)*_xlfn.XLOOKUP(H752,LISTAS!$B$38:$B$47,LISTAS!$A$38:$A$47,,-1)*_xlfn.XLOOKUP(J752,LISTAS!$E$26:$H$26,LISTAS!$E$48:$H$48)*_xlfn.XLOOKUP(F752,LISTAS!$A$15:$A$18,LISTAS!$H$15:$H$18)</f>
        <v>1.5959999999999998E-2</v>
      </c>
      <c r="N752" s="54" cm="1">
        <f t="array" ref="N752">_xlfn.XLOOKUP(K752,LISTAS!$D$27:$D$47,_xlfn.XLOOKUP(J752,LISTAS!$E$26:$H$26,LISTAS!$E$27:$H$47))</f>
        <v>13133000</v>
      </c>
      <c r="O752" s="56" t="s">
        <v>1623</v>
      </c>
      <c r="P752" s="76" t="str">
        <f t="shared" ca="1" si="35"/>
        <v>Vencida</v>
      </c>
    </row>
    <row r="753" spans="1:16" x14ac:dyDescent="0.3">
      <c r="A753" s="58" t="s">
        <v>1043</v>
      </c>
      <c r="B753" s="56" t="s">
        <v>212</v>
      </c>
      <c r="C753" s="50" t="str">
        <f>_xlfn.XLOOKUP(B753,CLIENTES!$A$2:$A$301,CLIENTES!$B$2:$B$301)</f>
        <v>Matías Silva</v>
      </c>
      <c r="D753" s="60">
        <v>45503</v>
      </c>
      <c r="E753" s="60">
        <f t="shared" si="33"/>
        <v>45868</v>
      </c>
      <c r="F753" s="50" t="s">
        <v>1595</v>
      </c>
      <c r="G753" s="56" t="s">
        <v>1599</v>
      </c>
      <c r="H753" s="47">
        <v>47</v>
      </c>
      <c r="I753" s="60">
        <v>28828</v>
      </c>
      <c r="J753" s="56" t="s">
        <v>1611</v>
      </c>
      <c r="K753" s="56">
        <v>2021</v>
      </c>
      <c r="L753" s="52">
        <f t="shared" si="34"/>
        <v>37423.805999999997</v>
      </c>
      <c r="M753" s="56">
        <f>LISTAS!$B$22*_xlfn.XLOOKUP(G753,LISTAS!$B$27:$B$36,LISTAS!$A$27:$A$36)*_xlfn.XLOOKUP(H753,LISTAS!$B$38:$B$47,LISTAS!$A$38:$A$47,,-1)*_xlfn.XLOOKUP(J753,LISTAS!$E$26:$H$26,LISTAS!$E$48:$H$48)*_xlfn.XLOOKUP(F753,LISTAS!$A$15:$A$18,LISTAS!$H$15:$H$18)</f>
        <v>1.5731999999999999E-2</v>
      </c>
      <c r="N753" s="54" cm="1">
        <f t="array" ref="N753">_xlfn.XLOOKUP(K753,LISTAS!$D$27:$D$47,_xlfn.XLOOKUP(J753,LISTAS!$E$26:$H$26,LISTAS!$E$27:$H$47))</f>
        <v>28546000</v>
      </c>
      <c r="O753" s="56" t="s">
        <v>1623</v>
      </c>
      <c r="P753" s="76" t="str">
        <f t="shared" ca="1" si="35"/>
        <v>Vencida</v>
      </c>
    </row>
    <row r="754" spans="1:16" x14ac:dyDescent="0.3">
      <c r="A754" s="58" t="s">
        <v>1044</v>
      </c>
      <c r="B754" s="56" t="s">
        <v>204</v>
      </c>
      <c r="C754" s="50" t="str">
        <f>_xlfn.XLOOKUP(B754,CLIENTES!$A$2:$A$301,CLIENTES!$B$2:$B$301)</f>
        <v>Andrés Pereyra</v>
      </c>
      <c r="D754" s="60">
        <v>45321</v>
      </c>
      <c r="E754" s="60">
        <f t="shared" si="33"/>
        <v>45687</v>
      </c>
      <c r="F754" s="50" t="s">
        <v>1596</v>
      </c>
      <c r="G754" s="56" t="s">
        <v>1607</v>
      </c>
      <c r="H754" s="47">
        <v>22</v>
      </c>
      <c r="I754" s="60">
        <v>38118</v>
      </c>
      <c r="J754" s="56" t="s">
        <v>1610</v>
      </c>
      <c r="K754" s="56">
        <v>2023</v>
      </c>
      <c r="L754" s="52">
        <f t="shared" si="34"/>
        <v>70909.418250000002</v>
      </c>
      <c r="M754" s="56">
        <f>LISTAS!$B$22*_xlfn.XLOOKUP(G754,LISTAS!$B$27:$B$36,LISTAS!$A$27:$A$36)*_xlfn.XLOOKUP(H754,LISTAS!$B$38:$B$47,LISTAS!$A$38:$A$47,,-1)*_xlfn.XLOOKUP(J754,LISTAS!$E$26:$H$26,LISTAS!$E$48:$H$48)*_xlfn.XLOOKUP(F754,LISTAS!$A$15:$A$18,LISTAS!$H$15:$H$18)</f>
        <v>2.7769500000000003E-2</v>
      </c>
      <c r="N754" s="54" cm="1">
        <f t="array" ref="N754">_xlfn.XLOOKUP(K754,LISTAS!$D$27:$D$47,_xlfn.XLOOKUP(J754,LISTAS!$E$26:$H$26,LISTAS!$E$27:$H$47))</f>
        <v>30642000</v>
      </c>
      <c r="O754" s="56" t="s">
        <v>1623</v>
      </c>
      <c r="P754" s="76" t="str">
        <f t="shared" ca="1" si="35"/>
        <v>Vencida</v>
      </c>
    </row>
    <row r="755" spans="1:16" x14ac:dyDescent="0.3">
      <c r="A755" s="58" t="s">
        <v>1045</v>
      </c>
      <c r="B755" s="56" t="s">
        <v>85</v>
      </c>
      <c r="C755" s="50" t="str">
        <f>_xlfn.XLOOKUP(B755,CLIENTES!$A$2:$A$301,CLIENTES!$B$2:$B$301)</f>
        <v>Nicolás Bravo</v>
      </c>
      <c r="D755" s="60">
        <v>44635</v>
      </c>
      <c r="E755" s="60">
        <f t="shared" si="33"/>
        <v>45000</v>
      </c>
      <c r="F755" s="50" t="s">
        <v>1598</v>
      </c>
      <c r="G755" s="56" t="s">
        <v>1607</v>
      </c>
      <c r="H755" s="47">
        <v>67</v>
      </c>
      <c r="I755" s="60">
        <v>21626</v>
      </c>
      <c r="J755" s="56" t="s">
        <v>1610</v>
      </c>
      <c r="K755" s="56">
        <v>2021</v>
      </c>
      <c r="L755" s="52">
        <f t="shared" si="34"/>
        <v>76500.495500000005</v>
      </c>
      <c r="M755" s="56">
        <f>LISTAS!$B$22*_xlfn.XLOOKUP(G755,LISTAS!$B$27:$B$36,LISTAS!$A$27:$A$36)*_xlfn.XLOOKUP(H755,LISTAS!$B$38:$B$47,LISTAS!$A$38:$A$47,,-1)*_xlfn.XLOOKUP(J755,LISTAS!$E$26:$H$26,LISTAS!$E$48:$H$48)*_xlfn.XLOOKUP(F755,LISTAS!$A$15:$A$18,LISTAS!$H$15:$H$18)</f>
        <v>3.6179000000000003E-2</v>
      </c>
      <c r="N755" s="54" cm="1">
        <f t="array" ref="N755">_xlfn.XLOOKUP(K755,LISTAS!$D$27:$D$47,_xlfn.XLOOKUP(J755,LISTAS!$E$26:$H$26,LISTAS!$E$27:$H$47))</f>
        <v>25374000</v>
      </c>
      <c r="O755" s="56" t="s">
        <v>1623</v>
      </c>
      <c r="P755" s="76" t="str">
        <f t="shared" ca="1" si="35"/>
        <v>Vencida</v>
      </c>
    </row>
    <row r="756" spans="1:16" x14ac:dyDescent="0.3">
      <c r="A756" s="58" t="s">
        <v>1046</v>
      </c>
      <c r="B756" s="56" t="s">
        <v>33</v>
      </c>
      <c r="C756" s="50" t="str">
        <f>_xlfn.XLOOKUP(B756,CLIENTES!$A$2:$A$301,CLIENTES!$B$2:$B$301)</f>
        <v>Daniel Suárez</v>
      </c>
      <c r="D756" s="60">
        <v>46157</v>
      </c>
      <c r="E756" s="60">
        <f t="shared" si="33"/>
        <v>46522</v>
      </c>
      <c r="F756" s="50" t="s">
        <v>1595</v>
      </c>
      <c r="G756" s="56" t="s">
        <v>1600</v>
      </c>
      <c r="H756" s="47">
        <v>69</v>
      </c>
      <c r="I756" s="60">
        <v>20964</v>
      </c>
      <c r="J756" s="56" t="s">
        <v>1610</v>
      </c>
      <c r="K756" s="56">
        <v>2022</v>
      </c>
      <c r="L756" s="52">
        <f t="shared" si="34"/>
        <v>40564.249000000003</v>
      </c>
      <c r="M756" s="56">
        <f>LISTAS!$B$22*_xlfn.XLOOKUP(G756,LISTAS!$B$27:$B$36,LISTAS!$A$27:$A$36)*_xlfn.XLOOKUP(H756,LISTAS!$B$38:$B$47,LISTAS!$A$38:$A$47,,-1)*_xlfn.XLOOKUP(J756,LISTAS!$E$26:$H$26,LISTAS!$E$48:$H$48)*_xlfn.XLOOKUP(F756,LISTAS!$A$15:$A$18,LISTAS!$H$15:$H$18)</f>
        <v>1.7457E-2</v>
      </c>
      <c r="N756" s="54" cm="1">
        <f t="array" ref="N756">_xlfn.XLOOKUP(K756,LISTAS!$D$27:$D$47,_xlfn.XLOOKUP(J756,LISTAS!$E$26:$H$26,LISTAS!$E$27:$H$47))</f>
        <v>27884000</v>
      </c>
      <c r="O756" s="56" t="s">
        <v>1625</v>
      </c>
      <c r="P756" s="76" t="str">
        <f t="shared" ca="1" si="35"/>
        <v>Vigente</v>
      </c>
    </row>
    <row r="757" spans="1:16" x14ac:dyDescent="0.3">
      <c r="A757" s="58" t="s">
        <v>1047</v>
      </c>
      <c r="B757" s="56" t="s">
        <v>41</v>
      </c>
      <c r="C757" s="50" t="str">
        <f>_xlfn.XLOOKUP(B757,CLIENTES!$A$2:$A$301,CLIENTES!$B$2:$B$301)</f>
        <v>Ignacio Ortiz</v>
      </c>
      <c r="D757" s="60">
        <v>45935</v>
      </c>
      <c r="E757" s="60">
        <f t="shared" si="33"/>
        <v>46300</v>
      </c>
      <c r="F757" s="50" t="s">
        <v>1596</v>
      </c>
      <c r="G757" s="56" t="s">
        <v>1607</v>
      </c>
      <c r="H757" s="47">
        <v>63</v>
      </c>
      <c r="I757" s="60">
        <v>23036</v>
      </c>
      <c r="J757" s="56" t="s">
        <v>1610</v>
      </c>
      <c r="K757" s="56">
        <v>2017</v>
      </c>
      <c r="L757" s="52">
        <f t="shared" si="34"/>
        <v>31317.825000000008</v>
      </c>
      <c r="M757" s="56">
        <f>LISTAS!$B$22*_xlfn.XLOOKUP(G757,LISTAS!$B$27:$B$36,LISTAS!$A$27:$A$36)*_xlfn.XLOOKUP(H757,LISTAS!$B$38:$B$47,LISTAS!$A$38:$A$47,,-1)*_xlfn.XLOOKUP(J757,LISTAS!$E$26:$H$26,LISTAS!$E$48:$H$48)*_xlfn.XLOOKUP(F757,LISTAS!$A$15:$A$18,LISTAS!$H$15:$H$18)</f>
        <v>2.1598500000000003E-2</v>
      </c>
      <c r="N757" s="54" cm="1">
        <f t="array" ref="N757">_xlfn.XLOOKUP(K757,LISTAS!$D$27:$D$47,_xlfn.XLOOKUP(J757,LISTAS!$E$26:$H$26,LISTAS!$E$27:$H$47))</f>
        <v>17400000</v>
      </c>
      <c r="O757" s="56" t="s">
        <v>1623</v>
      </c>
      <c r="P757" s="76" t="str">
        <f t="shared" ca="1" si="35"/>
        <v>Vigente</v>
      </c>
    </row>
    <row r="758" spans="1:16" x14ac:dyDescent="0.3">
      <c r="A758" s="58" t="s">
        <v>1048</v>
      </c>
      <c r="B758" s="56" t="s">
        <v>195</v>
      </c>
      <c r="C758" s="50" t="str">
        <f>_xlfn.XLOOKUP(B758,CLIENTES!$A$2:$A$301,CLIENTES!$B$2:$B$301)</f>
        <v>Martina Luna</v>
      </c>
      <c r="D758" s="60">
        <v>45342</v>
      </c>
      <c r="E758" s="60">
        <f t="shared" si="33"/>
        <v>45708</v>
      </c>
      <c r="F758" s="50" t="s">
        <v>1597</v>
      </c>
      <c r="G758" s="56" t="s">
        <v>1604</v>
      </c>
      <c r="H758" s="47">
        <v>31</v>
      </c>
      <c r="I758" s="60">
        <v>34681</v>
      </c>
      <c r="J758" s="56" t="s">
        <v>1612</v>
      </c>
      <c r="K758" s="56">
        <v>2020</v>
      </c>
      <c r="L758" s="52">
        <f t="shared" si="34"/>
        <v>37336.530000000006</v>
      </c>
      <c r="M758" s="56">
        <f>LISTAS!$B$22*_xlfn.XLOOKUP(G758,LISTAS!$B$27:$B$36,LISTAS!$A$27:$A$36)*_xlfn.XLOOKUP(H758,LISTAS!$B$38:$B$47,LISTAS!$A$38:$A$47,,-1)*_xlfn.XLOOKUP(J758,LISTAS!$E$26:$H$26,LISTAS!$E$48:$H$48)*_xlfn.XLOOKUP(F758,LISTAS!$A$15:$A$18,LISTAS!$H$15:$H$18)</f>
        <v>2.4255000000000006E-2</v>
      </c>
      <c r="N758" s="54" cm="1">
        <f t="array" ref="N758">_xlfn.XLOOKUP(K758,LISTAS!$D$27:$D$47,_xlfn.XLOOKUP(J758,LISTAS!$E$26:$H$26,LISTAS!$E$27:$H$47))</f>
        <v>18472000</v>
      </c>
      <c r="O758" s="56" t="s">
        <v>1623</v>
      </c>
      <c r="P758" s="76" t="str">
        <f t="shared" ca="1" si="35"/>
        <v>Vencida</v>
      </c>
    </row>
    <row r="759" spans="1:16" x14ac:dyDescent="0.3">
      <c r="A759" s="58" t="s">
        <v>1049</v>
      </c>
      <c r="B759" s="56" t="s">
        <v>267</v>
      </c>
      <c r="C759" s="50" t="str">
        <f>_xlfn.XLOOKUP(B759,CLIENTES!$A$2:$A$301,CLIENTES!$B$2:$B$301)</f>
        <v>Carolina Mansilla</v>
      </c>
      <c r="D759" s="60">
        <v>45086</v>
      </c>
      <c r="E759" s="60">
        <f t="shared" si="33"/>
        <v>45452</v>
      </c>
      <c r="F759" s="50" t="s">
        <v>1598</v>
      </c>
      <c r="G759" s="56" t="s">
        <v>1607</v>
      </c>
      <c r="H759" s="47">
        <v>30</v>
      </c>
      <c r="I759" s="60">
        <v>34957</v>
      </c>
      <c r="J759" s="56" t="s">
        <v>1609</v>
      </c>
      <c r="K759" s="56">
        <v>2025</v>
      </c>
      <c r="L759" s="52">
        <f t="shared" si="34"/>
        <v>54816.666666666679</v>
      </c>
      <c r="M759" s="56">
        <f>LISTAS!$B$22*_xlfn.XLOOKUP(G759,LISTAS!$B$27:$B$36,LISTAS!$A$27:$A$36)*_xlfn.XLOOKUP(H759,LISTAS!$B$38:$B$47,LISTAS!$A$38:$A$47,,-1)*_xlfn.XLOOKUP(J759,LISTAS!$E$26:$H$26,LISTAS!$E$48:$H$48)*_xlfn.XLOOKUP(F759,LISTAS!$A$15:$A$18,LISTAS!$H$15:$H$18)</f>
        <v>2.8600000000000004E-2</v>
      </c>
      <c r="N759" s="54" cm="1">
        <f t="array" ref="N759">_xlfn.XLOOKUP(K759,LISTAS!$D$27:$D$47,_xlfn.XLOOKUP(J759,LISTAS!$E$26:$H$26,LISTAS!$E$27:$H$47))</f>
        <v>23000000</v>
      </c>
      <c r="O759" s="56" t="s">
        <v>1623</v>
      </c>
      <c r="P759" s="76" t="str">
        <f t="shared" ca="1" si="35"/>
        <v>Vencida</v>
      </c>
    </row>
    <row r="760" spans="1:16" x14ac:dyDescent="0.3">
      <c r="A760" s="58" t="s">
        <v>1050</v>
      </c>
      <c r="B760" s="56" t="s">
        <v>93</v>
      </c>
      <c r="C760" s="50" t="str">
        <f>_xlfn.XLOOKUP(B760,CLIENTES!$A$2:$A$301,CLIENTES!$B$2:$B$301)</f>
        <v>Daniel Núñez</v>
      </c>
      <c r="D760" s="60">
        <v>44639</v>
      </c>
      <c r="E760" s="60">
        <f t="shared" si="33"/>
        <v>45004</v>
      </c>
      <c r="F760" s="50" t="s">
        <v>1597</v>
      </c>
      <c r="G760" s="56" t="s">
        <v>1608</v>
      </c>
      <c r="H760" s="47">
        <v>75</v>
      </c>
      <c r="I760" s="60">
        <v>18762</v>
      </c>
      <c r="J760" s="56" t="s">
        <v>1609</v>
      </c>
      <c r="K760" s="56">
        <v>2022</v>
      </c>
      <c r="L760" s="52">
        <f t="shared" si="34"/>
        <v>44010.436249999999</v>
      </c>
      <c r="M760" s="56">
        <f>LISTAS!$B$22*_xlfn.XLOOKUP(G760,LISTAS!$B$27:$B$36,LISTAS!$A$27:$A$36)*_xlfn.XLOOKUP(H760,LISTAS!$B$38:$B$47,LISTAS!$A$38:$A$47,,-1)*_xlfn.XLOOKUP(J760,LISTAS!$E$26:$H$26,LISTAS!$E$48:$H$48)*_xlfn.XLOOKUP(F760,LISTAS!$A$15:$A$18,LISTAS!$H$15:$H$18)</f>
        <v>3.0305000000000002E-2</v>
      </c>
      <c r="N760" s="54" cm="1">
        <f t="array" ref="N760">_xlfn.XLOOKUP(K760,LISTAS!$D$27:$D$47,_xlfn.XLOOKUP(J760,LISTAS!$E$26:$H$26,LISTAS!$E$27:$H$47))</f>
        <v>17427000</v>
      </c>
      <c r="O760" s="56" t="s">
        <v>1625</v>
      </c>
      <c r="P760" s="76" t="str">
        <f t="shared" ca="1" si="35"/>
        <v>Vencida</v>
      </c>
    </row>
    <row r="761" spans="1:16" x14ac:dyDescent="0.3">
      <c r="A761" s="58" t="s">
        <v>1051</v>
      </c>
      <c r="B761" s="56" t="s">
        <v>48</v>
      </c>
      <c r="C761" s="50" t="str">
        <f>_xlfn.XLOOKUP(B761,CLIENTES!$A$2:$A$301,CLIENTES!$B$2:$B$301)</f>
        <v>Alejandro Herrera</v>
      </c>
      <c r="D761" s="60">
        <v>45539</v>
      </c>
      <c r="E761" s="60">
        <f t="shared" si="33"/>
        <v>45904</v>
      </c>
      <c r="F761" s="50" t="s">
        <v>1597</v>
      </c>
      <c r="G761" s="56" t="s">
        <v>1600</v>
      </c>
      <c r="H761" s="47">
        <v>31</v>
      </c>
      <c r="I761" s="60">
        <v>34756</v>
      </c>
      <c r="J761" s="56" t="s">
        <v>1610</v>
      </c>
      <c r="K761" s="56">
        <v>2023</v>
      </c>
      <c r="L761" s="52">
        <f t="shared" si="34"/>
        <v>71063.905000000013</v>
      </c>
      <c r="M761" s="56">
        <f>LISTAS!$B$22*_xlfn.XLOOKUP(G761,LISTAS!$B$27:$B$36,LISTAS!$A$27:$A$36)*_xlfn.XLOOKUP(H761,LISTAS!$B$38:$B$47,LISTAS!$A$38:$A$47,,-1)*_xlfn.XLOOKUP(J761,LISTAS!$E$26:$H$26,LISTAS!$E$48:$H$48)*_xlfn.XLOOKUP(F761,LISTAS!$A$15:$A$18,LISTAS!$H$15:$H$18)</f>
        <v>2.7830000000000004E-2</v>
      </c>
      <c r="N761" s="54" cm="1">
        <f t="array" ref="N761">_xlfn.XLOOKUP(K761,LISTAS!$D$27:$D$47,_xlfn.XLOOKUP(J761,LISTAS!$E$26:$H$26,LISTAS!$E$27:$H$47))</f>
        <v>30642000</v>
      </c>
      <c r="O761" s="56" t="s">
        <v>1623</v>
      </c>
      <c r="P761" s="76" t="str">
        <f t="shared" ca="1" si="35"/>
        <v>Vencida</v>
      </c>
    </row>
    <row r="762" spans="1:16" x14ac:dyDescent="0.3">
      <c r="A762" s="58" t="s">
        <v>1052</v>
      </c>
      <c r="B762" s="56" t="s">
        <v>213</v>
      </c>
      <c r="C762" s="50" t="str">
        <f>_xlfn.XLOOKUP(B762,CLIENTES!$A$2:$A$301,CLIENTES!$B$2:$B$301)</f>
        <v>Agustina Méndez</v>
      </c>
      <c r="D762" s="60">
        <v>45445</v>
      </c>
      <c r="E762" s="60">
        <f t="shared" si="33"/>
        <v>45810</v>
      </c>
      <c r="F762" s="50" t="s">
        <v>1597</v>
      </c>
      <c r="G762" s="56" t="s">
        <v>1606</v>
      </c>
      <c r="H762" s="47">
        <v>65</v>
      </c>
      <c r="I762" s="60">
        <v>22186</v>
      </c>
      <c r="J762" s="56" t="s">
        <v>1609</v>
      </c>
      <c r="K762" s="56">
        <v>2020</v>
      </c>
      <c r="L762" s="52">
        <f t="shared" si="34"/>
        <v>30427.466666666671</v>
      </c>
      <c r="M762" s="56">
        <f>LISTAS!$B$22*_xlfn.XLOOKUP(G762,LISTAS!$B$27:$B$36,LISTAS!$A$27:$A$36)*_xlfn.XLOOKUP(H762,LISTAS!$B$38:$B$47,LISTAS!$A$38:$A$47,,-1)*_xlfn.XLOOKUP(J762,LISTAS!$E$26:$H$26,LISTAS!$E$48:$H$48)*_xlfn.XLOOKUP(F762,LISTAS!$A$15:$A$18,LISTAS!$H$15:$H$18)</f>
        <v>2.5300000000000003E-2</v>
      </c>
      <c r="N762" s="54" cm="1">
        <f t="array" ref="N762">_xlfn.XLOOKUP(K762,LISTAS!$D$27:$D$47,_xlfn.XLOOKUP(J762,LISTAS!$E$26:$H$26,LISTAS!$E$27:$H$47))</f>
        <v>14432000</v>
      </c>
      <c r="O762" s="56" t="s">
        <v>1623</v>
      </c>
      <c r="P762" s="76" t="str">
        <f t="shared" ca="1" si="35"/>
        <v>Vencida</v>
      </c>
    </row>
    <row r="763" spans="1:16" x14ac:dyDescent="0.3">
      <c r="A763" s="58" t="s">
        <v>1053</v>
      </c>
      <c r="B763" s="56" t="s">
        <v>76</v>
      </c>
      <c r="C763" s="50" t="str">
        <f>_xlfn.XLOOKUP(B763,CLIENTES!$A$2:$A$301,CLIENTES!$B$2:$B$301)</f>
        <v>Lucas Rodríguez</v>
      </c>
      <c r="D763" s="60">
        <v>45179</v>
      </c>
      <c r="E763" s="60">
        <f t="shared" si="33"/>
        <v>45545</v>
      </c>
      <c r="F763" s="50" t="s">
        <v>1596</v>
      </c>
      <c r="G763" s="56" t="s">
        <v>1607</v>
      </c>
      <c r="H763" s="47">
        <v>68</v>
      </c>
      <c r="I763" s="60">
        <v>21196</v>
      </c>
      <c r="J763" s="56" t="s">
        <v>1610</v>
      </c>
      <c r="K763" s="56">
        <v>2025</v>
      </c>
      <c r="L763" s="52">
        <f t="shared" si="34"/>
        <v>72543.53333333334</v>
      </c>
      <c r="M763" s="56">
        <f>LISTAS!$B$22*_xlfn.XLOOKUP(G763,LISTAS!$B$27:$B$36,LISTAS!$A$27:$A$36)*_xlfn.XLOOKUP(H763,LISTAS!$B$38:$B$47,LISTAS!$A$38:$A$47,,-1)*_xlfn.XLOOKUP(J763,LISTAS!$E$26:$H$26,LISTAS!$E$48:$H$48)*_xlfn.XLOOKUP(F763,LISTAS!$A$15:$A$18,LISTAS!$H$15:$H$18)</f>
        <v>2.3655499999999999E-2</v>
      </c>
      <c r="N763" s="54" cm="1">
        <f t="array" ref="N763">_xlfn.XLOOKUP(K763,LISTAS!$D$27:$D$47,_xlfn.XLOOKUP(J763,LISTAS!$E$26:$H$26,LISTAS!$E$27:$H$47))</f>
        <v>36800000</v>
      </c>
      <c r="O763" s="56" t="s">
        <v>1625</v>
      </c>
      <c r="P763" s="76" t="str">
        <f t="shared" ca="1" si="35"/>
        <v>Vencida</v>
      </c>
    </row>
    <row r="764" spans="1:16" x14ac:dyDescent="0.3">
      <c r="A764" s="58" t="s">
        <v>1054</v>
      </c>
      <c r="B764" s="56" t="s">
        <v>25</v>
      </c>
      <c r="C764" s="50" t="str">
        <f>_xlfn.XLOOKUP(B764,CLIENTES!$A$2:$A$301,CLIENTES!$B$2:$B$301)</f>
        <v>Mariano Domínguez</v>
      </c>
      <c r="D764" s="60">
        <v>45696</v>
      </c>
      <c r="E764" s="60">
        <f t="shared" si="33"/>
        <v>46061</v>
      </c>
      <c r="F764" s="50" t="s">
        <v>1597</v>
      </c>
      <c r="G764" s="56" t="s">
        <v>1601</v>
      </c>
      <c r="H764" s="47">
        <v>76</v>
      </c>
      <c r="I764" s="60">
        <v>18394</v>
      </c>
      <c r="J764" s="56" t="s">
        <v>1610</v>
      </c>
      <c r="K764" s="56">
        <v>2025</v>
      </c>
      <c r="L764" s="52">
        <f t="shared" si="34"/>
        <v>123750.73333333335</v>
      </c>
      <c r="M764" s="56">
        <f>LISTAS!$B$22*_xlfn.XLOOKUP(G764,LISTAS!$B$27:$B$36,LISTAS!$A$27:$A$36)*_xlfn.XLOOKUP(H764,LISTAS!$B$38:$B$47,LISTAS!$A$38:$A$47,,-1)*_xlfn.XLOOKUP(J764,LISTAS!$E$26:$H$26,LISTAS!$E$48:$H$48)*_xlfn.XLOOKUP(F764,LISTAS!$A$15:$A$18,LISTAS!$H$15:$H$18)</f>
        <v>4.0353500000000007E-2</v>
      </c>
      <c r="N764" s="54" cm="1">
        <f t="array" ref="N764">_xlfn.XLOOKUP(K764,LISTAS!$D$27:$D$47,_xlfn.XLOOKUP(J764,LISTAS!$E$26:$H$26,LISTAS!$E$27:$H$47))</f>
        <v>36800000</v>
      </c>
      <c r="O764" s="56" t="s">
        <v>1623</v>
      </c>
      <c r="P764" s="76" t="str">
        <f t="shared" ca="1" si="35"/>
        <v>Vencida</v>
      </c>
    </row>
    <row r="765" spans="1:16" x14ac:dyDescent="0.3">
      <c r="A765" s="58" t="s">
        <v>1055</v>
      </c>
      <c r="B765" s="56" t="s">
        <v>270</v>
      </c>
      <c r="C765" s="50" t="str">
        <f>_xlfn.XLOOKUP(B765,CLIENTES!$A$2:$A$301,CLIENTES!$B$2:$B$301)</f>
        <v>Gonzalo Ramírez</v>
      </c>
      <c r="D765" s="60">
        <v>45801</v>
      </c>
      <c r="E765" s="60">
        <f t="shared" si="33"/>
        <v>46166</v>
      </c>
      <c r="F765" s="50" t="s">
        <v>1596</v>
      </c>
      <c r="G765" s="56" t="s">
        <v>1608</v>
      </c>
      <c r="H765" s="47">
        <v>76</v>
      </c>
      <c r="I765" s="60">
        <v>18175</v>
      </c>
      <c r="J765" s="56" t="s">
        <v>1610</v>
      </c>
      <c r="K765" s="56">
        <v>2023</v>
      </c>
      <c r="L765" s="52">
        <f t="shared" si="34"/>
        <v>65776.244875000004</v>
      </c>
      <c r="M765" s="56">
        <f>LISTAS!$B$22*_xlfn.XLOOKUP(G765,LISTAS!$B$27:$B$36,LISTAS!$A$27:$A$36)*_xlfn.XLOOKUP(H765,LISTAS!$B$38:$B$47,LISTAS!$A$38:$A$47,,-1)*_xlfn.XLOOKUP(J765,LISTAS!$E$26:$H$26,LISTAS!$E$48:$H$48)*_xlfn.XLOOKUP(F765,LISTAS!$A$15:$A$18,LISTAS!$H$15:$H$18)</f>
        <v>2.5759250000000001E-2</v>
      </c>
      <c r="N765" s="54" cm="1">
        <f t="array" ref="N765">_xlfn.XLOOKUP(K765,LISTAS!$D$27:$D$47,_xlfn.XLOOKUP(J765,LISTAS!$E$26:$H$26,LISTAS!$E$27:$H$47))</f>
        <v>30642000</v>
      </c>
      <c r="O765" s="56" t="s">
        <v>1625</v>
      </c>
      <c r="P765" s="76" t="str">
        <f t="shared" ca="1" si="35"/>
        <v>Vencida</v>
      </c>
    </row>
    <row r="766" spans="1:16" x14ac:dyDescent="0.3">
      <c r="A766" s="58" t="s">
        <v>1056</v>
      </c>
      <c r="B766" s="56" t="s">
        <v>147</v>
      </c>
      <c r="C766" s="50" t="str">
        <f>_xlfn.XLOOKUP(B766,CLIENTES!$A$2:$A$301,CLIENTES!$B$2:$B$301)</f>
        <v>Facundo Benítez</v>
      </c>
      <c r="D766" s="60">
        <v>45594</v>
      </c>
      <c r="E766" s="60">
        <f t="shared" si="33"/>
        <v>45959</v>
      </c>
      <c r="F766" s="50" t="s">
        <v>1597</v>
      </c>
      <c r="G766" s="56" t="s">
        <v>1605</v>
      </c>
      <c r="H766" s="47">
        <v>52</v>
      </c>
      <c r="I766" s="60">
        <v>27024</v>
      </c>
      <c r="J766" s="56" t="s">
        <v>1612</v>
      </c>
      <c r="K766" s="56">
        <v>2018</v>
      </c>
      <c r="L766" s="52">
        <f t="shared" si="34"/>
        <v>26502.052500000009</v>
      </c>
      <c r="M766" s="56">
        <f>LISTAS!$B$22*_xlfn.XLOOKUP(G766,LISTAS!$B$27:$B$36,LISTAS!$A$27:$A$36)*_xlfn.XLOOKUP(H766,LISTAS!$B$38:$B$47,LISTAS!$A$38:$A$47,,-1)*_xlfn.XLOOKUP(J766,LISTAS!$E$26:$H$26,LISTAS!$E$48:$H$48)*_xlfn.XLOOKUP(F766,LISTAS!$A$15:$A$18,LISTAS!$H$15:$H$18)</f>
        <v>2.0790000000000006E-2</v>
      </c>
      <c r="N766" s="54" cm="1">
        <f t="array" ref="N766">_xlfn.XLOOKUP(K766,LISTAS!$D$27:$D$47,_xlfn.XLOOKUP(J766,LISTAS!$E$26:$H$26,LISTAS!$E$27:$H$47))</f>
        <v>15297000</v>
      </c>
      <c r="O766" s="56" t="s">
        <v>1623</v>
      </c>
      <c r="P766" s="76" t="str">
        <f t="shared" ca="1" si="35"/>
        <v>Vencida</v>
      </c>
    </row>
    <row r="767" spans="1:16" x14ac:dyDescent="0.3">
      <c r="A767" s="58" t="s">
        <v>1057</v>
      </c>
      <c r="B767" s="56" t="s">
        <v>290</v>
      </c>
      <c r="C767" s="50" t="str">
        <f>_xlfn.XLOOKUP(B767,CLIENTES!$A$2:$A$301,CLIENTES!$B$2:$B$301)</f>
        <v>Agustina Campos</v>
      </c>
      <c r="D767" s="60">
        <v>45731</v>
      </c>
      <c r="E767" s="60">
        <f t="shared" si="33"/>
        <v>46096</v>
      </c>
      <c r="F767" s="50" t="s">
        <v>1598</v>
      </c>
      <c r="G767" s="56" t="s">
        <v>1603</v>
      </c>
      <c r="H767" s="47">
        <v>59</v>
      </c>
      <c r="I767" s="60">
        <v>24661</v>
      </c>
      <c r="J767" s="56" t="s">
        <v>1612</v>
      </c>
      <c r="K767" s="56">
        <v>2019</v>
      </c>
      <c r="L767" s="52">
        <f t="shared" si="34"/>
        <v>36330.612499999996</v>
      </c>
      <c r="M767" s="56">
        <f>LISTAS!$B$22*_xlfn.XLOOKUP(G767,LISTAS!$B$27:$B$36,LISTAS!$A$27:$A$36)*_xlfn.XLOOKUP(H767,LISTAS!$B$38:$B$47,LISTAS!$A$38:$A$47,,-1)*_xlfn.XLOOKUP(J767,LISTAS!$E$26:$H$26,LISTAS!$E$48:$H$48)*_xlfn.XLOOKUP(F767,LISTAS!$A$15:$A$18,LISTAS!$H$15:$H$18)</f>
        <v>2.5935E-2</v>
      </c>
      <c r="N767" s="54" cm="1">
        <f t="array" ref="N767">_xlfn.XLOOKUP(K767,LISTAS!$D$27:$D$47,_xlfn.XLOOKUP(J767,LISTAS!$E$26:$H$26,LISTAS!$E$27:$H$47))</f>
        <v>16810000</v>
      </c>
      <c r="O767" s="56" t="s">
        <v>1623</v>
      </c>
      <c r="P767" s="76" t="str">
        <f t="shared" ca="1" si="35"/>
        <v>Vencida</v>
      </c>
    </row>
    <row r="768" spans="1:16" x14ac:dyDescent="0.3">
      <c r="A768" s="58" t="s">
        <v>1058</v>
      </c>
      <c r="B768" s="56" t="s">
        <v>120</v>
      </c>
      <c r="C768" s="50" t="str">
        <f>_xlfn.XLOOKUP(B768,CLIENTES!$A$2:$A$301,CLIENTES!$B$2:$B$301)</f>
        <v>Micaela Fernández</v>
      </c>
      <c r="D768" s="60">
        <v>45207</v>
      </c>
      <c r="E768" s="60">
        <f t="shared" si="33"/>
        <v>45573</v>
      </c>
      <c r="F768" s="50" t="s">
        <v>1598</v>
      </c>
      <c r="G768" s="56" t="s">
        <v>1599</v>
      </c>
      <c r="H768" s="47">
        <v>79</v>
      </c>
      <c r="I768" s="60">
        <v>17246</v>
      </c>
      <c r="J768" s="56" t="s">
        <v>1609</v>
      </c>
      <c r="K768" s="56">
        <v>2021</v>
      </c>
      <c r="L768" s="52">
        <f t="shared" si="34"/>
        <v>59788.429999999993</v>
      </c>
      <c r="M768" s="56">
        <f>LISTAS!$B$22*_xlfn.XLOOKUP(G768,LISTAS!$B$27:$B$36,LISTAS!$A$27:$A$36)*_xlfn.XLOOKUP(H768,LISTAS!$B$38:$B$47,LISTAS!$A$38:$A$47,,-1)*_xlfn.XLOOKUP(J768,LISTAS!$E$26:$H$26,LISTAS!$E$48:$H$48)*_xlfn.XLOOKUP(F768,LISTAS!$A$15:$A$18,LISTAS!$H$15:$H$18)</f>
        <v>4.5239999999999995E-2</v>
      </c>
      <c r="N768" s="54" cm="1">
        <f t="array" ref="N768">_xlfn.XLOOKUP(K768,LISTAS!$D$27:$D$47,_xlfn.XLOOKUP(J768,LISTAS!$E$26:$H$26,LISTAS!$E$27:$H$47))</f>
        <v>15859000</v>
      </c>
      <c r="O768" s="56" t="s">
        <v>1623</v>
      </c>
      <c r="P768" s="76" t="str">
        <f t="shared" ca="1" si="35"/>
        <v>Vencida</v>
      </c>
    </row>
    <row r="769" spans="1:16" x14ac:dyDescent="0.3">
      <c r="A769" s="58" t="s">
        <v>1059</v>
      </c>
      <c r="B769" s="56" t="s">
        <v>277</v>
      </c>
      <c r="C769" s="50" t="str">
        <f>_xlfn.XLOOKUP(B769,CLIENTES!$A$2:$A$301,CLIENTES!$B$2:$B$301)</f>
        <v>Mateo Díaz</v>
      </c>
      <c r="D769" s="60">
        <v>44802</v>
      </c>
      <c r="E769" s="60">
        <f t="shared" si="33"/>
        <v>45167</v>
      </c>
      <c r="F769" s="50" t="s">
        <v>1598</v>
      </c>
      <c r="G769" s="56" t="s">
        <v>1599</v>
      </c>
      <c r="H769" s="47">
        <v>48</v>
      </c>
      <c r="I769" s="60">
        <v>28374</v>
      </c>
      <c r="J769" s="56" t="s">
        <v>1611</v>
      </c>
      <c r="K769" s="56">
        <v>2023</v>
      </c>
      <c r="L769" s="52">
        <f t="shared" si="34"/>
        <v>97917.716</v>
      </c>
      <c r="M769" s="56">
        <f>LISTAS!$B$22*_xlfn.XLOOKUP(G769,LISTAS!$B$27:$B$36,LISTAS!$A$27:$A$36)*_xlfn.XLOOKUP(H769,LISTAS!$B$38:$B$47,LISTAS!$A$38:$A$47,,-1)*_xlfn.XLOOKUP(J769,LISTAS!$E$26:$H$26,LISTAS!$E$48:$H$48)*_xlfn.XLOOKUP(F769,LISTAS!$A$15:$A$18,LISTAS!$H$15:$H$18)</f>
        <v>3.4085999999999998E-2</v>
      </c>
      <c r="N769" s="54" cm="1">
        <f t="array" ref="N769">_xlfn.XLOOKUP(K769,LISTAS!$D$27:$D$47,_xlfn.XLOOKUP(J769,LISTAS!$E$26:$H$26,LISTAS!$E$27:$H$47))</f>
        <v>34472000</v>
      </c>
      <c r="O769" s="56" t="s">
        <v>1623</v>
      </c>
      <c r="P769" s="76" t="str">
        <f t="shared" ca="1" si="35"/>
        <v>Vencida</v>
      </c>
    </row>
    <row r="770" spans="1:16" x14ac:dyDescent="0.3">
      <c r="A770" s="58" t="s">
        <v>1060</v>
      </c>
      <c r="B770" s="56" t="s">
        <v>289</v>
      </c>
      <c r="C770" s="50" t="str">
        <f>_xlfn.XLOOKUP(B770,CLIENTES!$A$2:$A$301,CLIENTES!$B$2:$B$301)</f>
        <v>Natalia Bravo</v>
      </c>
      <c r="D770" s="60">
        <v>45671</v>
      </c>
      <c r="E770" s="60">
        <f t="shared" si="33"/>
        <v>46036</v>
      </c>
      <c r="F770" s="50" t="s">
        <v>1598</v>
      </c>
      <c r="G770" s="56" t="s">
        <v>1605</v>
      </c>
      <c r="H770" s="47">
        <v>60</v>
      </c>
      <c r="I770" s="60">
        <v>24130</v>
      </c>
      <c r="J770" s="56" t="s">
        <v>1609</v>
      </c>
      <c r="K770" s="56">
        <v>2019</v>
      </c>
      <c r="L770" s="52">
        <f t="shared" si="34"/>
        <v>26889.817500000005</v>
      </c>
      <c r="M770" s="56">
        <f>LISTAS!$B$22*_xlfn.XLOOKUP(G770,LISTAS!$B$27:$B$36,LISTAS!$A$27:$A$36)*_xlfn.XLOOKUP(H770,LISTAS!$B$38:$B$47,LISTAS!$A$38:$A$47,,-1)*_xlfn.XLOOKUP(J770,LISTAS!$E$26:$H$26,LISTAS!$E$48:$H$48)*_xlfn.XLOOKUP(F770,LISTAS!$A$15:$A$18,LISTAS!$H$15:$H$18)</f>
        <v>2.4570000000000005E-2</v>
      </c>
      <c r="N770" s="54" cm="1">
        <f t="array" ref="N770">_xlfn.XLOOKUP(K770,LISTAS!$D$27:$D$47,_xlfn.XLOOKUP(J770,LISTAS!$E$26:$H$26,LISTAS!$E$27:$H$47))</f>
        <v>13133000</v>
      </c>
      <c r="O770" s="56" t="s">
        <v>1626</v>
      </c>
      <c r="P770" s="76" t="str">
        <f t="shared" ca="1" si="35"/>
        <v>Vencida</v>
      </c>
    </row>
    <row r="771" spans="1:16" x14ac:dyDescent="0.3">
      <c r="A771" s="58" t="s">
        <v>1061</v>
      </c>
      <c r="B771" s="56" t="s">
        <v>107</v>
      </c>
      <c r="C771" s="50" t="str">
        <f>_xlfn.XLOOKUP(B771,CLIENTES!$A$2:$A$301,CLIENTES!$B$2:$B$301)</f>
        <v>Emiliano Rojas</v>
      </c>
      <c r="D771" s="60">
        <v>46122</v>
      </c>
      <c r="E771" s="60">
        <f t="shared" ref="E771:E834" si="36">EDATE(D771,12)</f>
        <v>46487</v>
      </c>
      <c r="F771" s="50" t="s">
        <v>1596</v>
      </c>
      <c r="G771" s="56" t="s">
        <v>1606</v>
      </c>
      <c r="H771" s="47">
        <v>20</v>
      </c>
      <c r="I771" s="60">
        <v>38931</v>
      </c>
      <c r="J771" s="56" t="s">
        <v>1611</v>
      </c>
      <c r="K771" s="56">
        <v>2025</v>
      </c>
      <c r="L771" s="52">
        <f t="shared" ref="L771:L834" si="37">(N771*M771)/12</f>
        <v>101171.24999999999</v>
      </c>
      <c r="M771" s="56">
        <f>LISTAS!$B$22*_xlfn.XLOOKUP(G771,LISTAS!$B$27:$B$36,LISTAS!$A$27:$A$36)*_xlfn.XLOOKUP(H771,LISTAS!$B$38:$B$47,LISTAS!$A$38:$A$47,,-1)*_xlfn.XLOOKUP(J771,LISTAS!$E$26:$H$26,LISTAS!$E$48:$H$48)*_xlfn.XLOOKUP(F771,LISTAS!$A$15:$A$18,LISTAS!$H$15:$H$18)</f>
        <v>2.9324999999999997E-2</v>
      </c>
      <c r="N771" s="54" cm="1">
        <f t="array" ref="N771">_xlfn.XLOOKUP(K771,LISTAS!$D$27:$D$47,_xlfn.XLOOKUP(J771,LISTAS!$E$26:$H$26,LISTAS!$E$27:$H$47))</f>
        <v>41400000</v>
      </c>
      <c r="O771" s="56" t="s">
        <v>1624</v>
      </c>
      <c r="P771" s="76" t="str">
        <f t="shared" ref="P771:P834" ca="1" si="38">IF(TODAY()&lt;D771,"Pendiente",IF(TODAY()&gt;E771,"Vencida","Vigente"))</f>
        <v>Vigente</v>
      </c>
    </row>
    <row r="772" spans="1:16" x14ac:dyDescent="0.3">
      <c r="A772" s="58" t="s">
        <v>1062</v>
      </c>
      <c r="B772" s="56" t="s">
        <v>223</v>
      </c>
      <c r="C772" s="50" t="str">
        <f>_xlfn.XLOOKUP(B772,CLIENTES!$A$2:$A$301,CLIENTES!$B$2:$B$301)</f>
        <v>Daniel Herrera</v>
      </c>
      <c r="D772" s="60">
        <v>45705</v>
      </c>
      <c r="E772" s="60">
        <f t="shared" si="36"/>
        <v>46070</v>
      </c>
      <c r="F772" s="50" t="s">
        <v>1598</v>
      </c>
      <c r="G772" s="56" t="s">
        <v>1605</v>
      </c>
      <c r="H772" s="47">
        <v>21</v>
      </c>
      <c r="I772" s="60">
        <v>38419</v>
      </c>
      <c r="J772" s="56" t="s">
        <v>1609</v>
      </c>
      <c r="K772" s="56">
        <v>2008</v>
      </c>
      <c r="L772" s="52">
        <f t="shared" si="37"/>
        <v>14344.492500000002</v>
      </c>
      <c r="M772" s="56">
        <f>LISTAS!$B$22*_xlfn.XLOOKUP(G772,LISTAS!$B$27:$B$36,LISTAS!$A$27:$A$36)*_xlfn.XLOOKUP(H772,LISTAS!$B$38:$B$47,LISTAS!$A$38:$A$47,,-1)*_xlfn.XLOOKUP(J772,LISTAS!$E$26:$H$26,LISTAS!$E$48:$H$48)*_xlfn.XLOOKUP(F772,LISTAS!$A$15:$A$18,LISTAS!$H$15:$H$18)</f>
        <v>3.1590000000000007E-2</v>
      </c>
      <c r="N772" s="54" cm="1">
        <f t="array" ref="N772">_xlfn.XLOOKUP(K772,LISTAS!$D$27:$D$47,_xlfn.XLOOKUP(J772,LISTAS!$E$26:$H$26,LISTAS!$E$27:$H$47))</f>
        <v>5449000</v>
      </c>
      <c r="O772" s="56" t="s">
        <v>1623</v>
      </c>
      <c r="P772" s="76" t="str">
        <f t="shared" ca="1" si="38"/>
        <v>Vencida</v>
      </c>
    </row>
    <row r="773" spans="1:16" x14ac:dyDescent="0.3">
      <c r="A773" s="58" t="s">
        <v>1063</v>
      </c>
      <c r="B773" s="56" t="s">
        <v>121</v>
      </c>
      <c r="C773" s="50" t="str">
        <f>_xlfn.XLOOKUP(B773,CLIENTES!$A$2:$A$301,CLIENTES!$B$2:$B$301)</f>
        <v>Camila Ponce</v>
      </c>
      <c r="D773" s="60">
        <v>45925</v>
      </c>
      <c r="E773" s="60">
        <f t="shared" si="36"/>
        <v>46290</v>
      </c>
      <c r="F773" s="50" t="s">
        <v>1597</v>
      </c>
      <c r="G773" s="56" t="s">
        <v>1608</v>
      </c>
      <c r="H773" s="47">
        <v>22</v>
      </c>
      <c r="I773" s="60">
        <v>38071</v>
      </c>
      <c r="J773" s="56" t="s">
        <v>1609</v>
      </c>
      <c r="K773" s="56">
        <v>2024</v>
      </c>
      <c r="L773" s="52">
        <f t="shared" si="37"/>
        <v>49482.056250000001</v>
      </c>
      <c r="M773" s="56">
        <f>LISTAS!$B$22*_xlfn.XLOOKUP(G773,LISTAS!$B$27:$B$36,LISTAS!$A$27:$A$36)*_xlfn.XLOOKUP(H773,LISTAS!$B$38:$B$47,LISTAS!$A$38:$A$47,,-1)*_xlfn.XLOOKUP(J773,LISTAS!$E$26:$H$26,LISTAS!$E$48:$H$48)*_xlfn.XLOOKUP(F773,LISTAS!$A$15:$A$18,LISTAS!$H$15:$H$18)</f>
        <v>2.8215000000000004E-2</v>
      </c>
      <c r="N773" s="54" cm="1">
        <f t="array" ref="N773">_xlfn.XLOOKUP(K773,LISTAS!$D$27:$D$47,_xlfn.XLOOKUP(J773,LISTAS!$E$26:$H$26,LISTAS!$E$27:$H$47))</f>
        <v>21045000</v>
      </c>
      <c r="O773" s="56" t="s">
        <v>1624</v>
      </c>
      <c r="P773" s="76" t="str">
        <f t="shared" ca="1" si="38"/>
        <v>Vigente</v>
      </c>
    </row>
    <row r="774" spans="1:16" x14ac:dyDescent="0.3">
      <c r="A774" s="58" t="s">
        <v>1064</v>
      </c>
      <c r="B774" s="56" t="s">
        <v>225</v>
      </c>
      <c r="C774" s="50" t="str">
        <f>_xlfn.XLOOKUP(B774,CLIENTES!$A$2:$A$301,CLIENTES!$B$2:$B$301)</f>
        <v>Lucía Quiroga</v>
      </c>
      <c r="D774" s="60">
        <v>45336</v>
      </c>
      <c r="E774" s="60">
        <f t="shared" si="36"/>
        <v>45702</v>
      </c>
      <c r="F774" s="50" t="s">
        <v>1597</v>
      </c>
      <c r="G774" s="56" t="s">
        <v>1607</v>
      </c>
      <c r="H774" s="47">
        <v>36</v>
      </c>
      <c r="I774" s="60">
        <v>33073</v>
      </c>
      <c r="J774" s="56" t="s">
        <v>1611</v>
      </c>
      <c r="K774" s="56">
        <v>2022</v>
      </c>
      <c r="L774" s="52">
        <f t="shared" si="37"/>
        <v>72749.939166666663</v>
      </c>
      <c r="M774" s="56">
        <f>LISTAS!$B$22*_xlfn.XLOOKUP(G774,LISTAS!$B$27:$B$36,LISTAS!$A$27:$A$36)*_xlfn.XLOOKUP(H774,LISTAS!$B$38:$B$47,LISTAS!$A$38:$A$47,,-1)*_xlfn.XLOOKUP(J774,LISTAS!$E$26:$H$26,LISTAS!$E$48:$H$48)*_xlfn.XLOOKUP(F774,LISTAS!$A$15:$A$18,LISTAS!$H$15:$H$18)</f>
        <v>2.7830000000000001E-2</v>
      </c>
      <c r="N774" s="54" cm="1">
        <f t="array" ref="N774">_xlfn.XLOOKUP(K774,LISTAS!$D$27:$D$47,_xlfn.XLOOKUP(J774,LISTAS!$E$26:$H$26,LISTAS!$E$27:$H$47))</f>
        <v>31369000</v>
      </c>
      <c r="O774" s="56" t="s">
        <v>1623</v>
      </c>
      <c r="P774" s="76" t="str">
        <f t="shared" ca="1" si="38"/>
        <v>Vencida</v>
      </c>
    </row>
    <row r="775" spans="1:16" x14ac:dyDescent="0.3">
      <c r="A775" s="58" t="s">
        <v>1065</v>
      </c>
      <c r="B775" s="56" t="s">
        <v>50</v>
      </c>
      <c r="C775" s="50" t="str">
        <f>_xlfn.XLOOKUP(B775,CLIENTES!$A$2:$A$301,CLIENTES!$B$2:$B$301)</f>
        <v>Agustín Medina</v>
      </c>
      <c r="D775" s="60">
        <v>46030</v>
      </c>
      <c r="E775" s="60">
        <f t="shared" si="36"/>
        <v>46395</v>
      </c>
      <c r="F775" s="50" t="s">
        <v>1596</v>
      </c>
      <c r="G775" s="56" t="s">
        <v>1602</v>
      </c>
      <c r="H775" s="47">
        <v>49</v>
      </c>
      <c r="I775" s="60">
        <v>28036</v>
      </c>
      <c r="J775" s="56" t="s">
        <v>1611</v>
      </c>
      <c r="K775" s="56">
        <v>2022</v>
      </c>
      <c r="L775" s="52">
        <f t="shared" si="37"/>
        <v>50977.565843749995</v>
      </c>
      <c r="M775" s="56">
        <f>LISTAS!$B$22*_xlfn.XLOOKUP(G775,LISTAS!$B$27:$B$36,LISTAS!$A$27:$A$36)*_xlfn.XLOOKUP(H775,LISTAS!$B$38:$B$47,LISTAS!$A$38:$A$47,,-1)*_xlfn.XLOOKUP(J775,LISTAS!$E$26:$H$26,LISTAS!$E$48:$H$48)*_xlfn.XLOOKUP(F775,LISTAS!$A$15:$A$18,LISTAS!$H$15:$H$18)</f>
        <v>1.9501124999999998E-2</v>
      </c>
      <c r="N775" s="54" cm="1">
        <f t="array" ref="N775">_xlfn.XLOOKUP(K775,LISTAS!$D$27:$D$47,_xlfn.XLOOKUP(J775,LISTAS!$E$26:$H$26,LISTAS!$E$27:$H$47))</f>
        <v>31369000</v>
      </c>
      <c r="O775" s="56" t="s">
        <v>1625</v>
      </c>
      <c r="P775" s="76" t="str">
        <f t="shared" ca="1" si="38"/>
        <v>Vigente</v>
      </c>
    </row>
    <row r="776" spans="1:16" x14ac:dyDescent="0.3">
      <c r="A776" s="58" t="s">
        <v>1066</v>
      </c>
      <c r="B776" s="56" t="s">
        <v>35</v>
      </c>
      <c r="C776" s="50" t="str">
        <f>_xlfn.XLOOKUP(B776,CLIENTES!$A$2:$A$301,CLIENTES!$B$2:$B$301)</f>
        <v>Natalia Ferreyra</v>
      </c>
      <c r="D776" s="60">
        <v>45135</v>
      </c>
      <c r="E776" s="60">
        <f t="shared" si="36"/>
        <v>45501</v>
      </c>
      <c r="F776" s="50" t="s">
        <v>1598</v>
      </c>
      <c r="G776" s="56" t="s">
        <v>1601</v>
      </c>
      <c r="H776" s="47">
        <v>72</v>
      </c>
      <c r="I776" s="60">
        <v>19729</v>
      </c>
      <c r="J776" s="56" t="s">
        <v>1611</v>
      </c>
      <c r="K776" s="56">
        <v>2021</v>
      </c>
      <c r="L776" s="52">
        <f t="shared" si="37"/>
        <v>114514.65783333332</v>
      </c>
      <c r="M776" s="56">
        <f>LISTAS!$B$22*_xlfn.XLOOKUP(G776,LISTAS!$B$27:$B$36,LISTAS!$A$27:$A$36)*_xlfn.XLOOKUP(H776,LISTAS!$B$38:$B$47,LISTAS!$A$38:$A$47,,-1)*_xlfn.XLOOKUP(J776,LISTAS!$E$26:$H$26,LISTAS!$E$48:$H$48)*_xlfn.XLOOKUP(F776,LISTAS!$A$15:$A$18,LISTAS!$H$15:$H$18)</f>
        <v>4.8138999999999994E-2</v>
      </c>
      <c r="N776" s="54" cm="1">
        <f t="array" ref="N776">_xlfn.XLOOKUP(K776,LISTAS!$D$27:$D$47,_xlfn.XLOOKUP(J776,LISTAS!$E$26:$H$26,LISTAS!$E$27:$H$47))</f>
        <v>28546000</v>
      </c>
      <c r="O776" s="56" t="s">
        <v>1623</v>
      </c>
      <c r="P776" s="76" t="str">
        <f t="shared" ca="1" si="38"/>
        <v>Vencida</v>
      </c>
    </row>
    <row r="777" spans="1:16" x14ac:dyDescent="0.3">
      <c r="A777" s="58" t="s">
        <v>1067</v>
      </c>
      <c r="B777" s="56" t="s">
        <v>17</v>
      </c>
      <c r="C777" s="50" t="str">
        <f>_xlfn.XLOOKUP(B777,CLIENTES!$A$2:$A$301,CLIENTES!$B$2:$B$301)</f>
        <v>Mariano Miranda</v>
      </c>
      <c r="D777" s="60">
        <v>45491</v>
      </c>
      <c r="E777" s="60">
        <f t="shared" si="36"/>
        <v>45856</v>
      </c>
      <c r="F777" s="50" t="s">
        <v>1595</v>
      </c>
      <c r="G777" s="56" t="s">
        <v>1603</v>
      </c>
      <c r="H777" s="47">
        <v>55</v>
      </c>
      <c r="I777" s="60">
        <v>26073</v>
      </c>
      <c r="J777" s="56" t="s">
        <v>1609</v>
      </c>
      <c r="K777" s="56">
        <v>2024</v>
      </c>
      <c r="L777" s="52">
        <f t="shared" si="37"/>
        <v>19992.749999999996</v>
      </c>
      <c r="M777" s="56">
        <f>LISTAS!$B$22*_xlfn.XLOOKUP(G777,LISTAS!$B$27:$B$36,LISTAS!$A$27:$A$36)*_xlfn.XLOOKUP(H777,LISTAS!$B$38:$B$47,LISTAS!$A$38:$A$47,,-1)*_xlfn.XLOOKUP(J777,LISTAS!$E$26:$H$26,LISTAS!$E$48:$H$48)*_xlfn.XLOOKUP(F777,LISTAS!$A$15:$A$18,LISTAS!$H$15:$H$18)</f>
        <v>1.1399999999999999E-2</v>
      </c>
      <c r="N777" s="54" cm="1">
        <f t="array" ref="N777">_xlfn.XLOOKUP(K777,LISTAS!$D$27:$D$47,_xlfn.XLOOKUP(J777,LISTAS!$E$26:$H$26,LISTAS!$E$27:$H$47))</f>
        <v>21045000</v>
      </c>
      <c r="O777" s="56" t="s">
        <v>1626</v>
      </c>
      <c r="P777" s="76" t="str">
        <f t="shared" ca="1" si="38"/>
        <v>Vencida</v>
      </c>
    </row>
    <row r="778" spans="1:16" x14ac:dyDescent="0.3">
      <c r="A778" s="58" t="s">
        <v>1068</v>
      </c>
      <c r="B778" s="56" t="s">
        <v>235</v>
      </c>
      <c r="C778" s="50" t="str">
        <f>_xlfn.XLOOKUP(B778,CLIENTES!$A$2:$A$301,CLIENTES!$B$2:$B$301)</f>
        <v>Rodrigo Cabrera</v>
      </c>
      <c r="D778" s="60">
        <v>45423</v>
      </c>
      <c r="E778" s="60">
        <f t="shared" si="36"/>
        <v>45788</v>
      </c>
      <c r="F778" s="50" t="s">
        <v>1597</v>
      </c>
      <c r="G778" s="56" t="s">
        <v>1599</v>
      </c>
      <c r="H778" s="47">
        <v>31</v>
      </c>
      <c r="I778" s="60">
        <v>34885</v>
      </c>
      <c r="J778" s="56" t="s">
        <v>1610</v>
      </c>
      <c r="K778" s="56">
        <v>2024</v>
      </c>
      <c r="L778" s="52">
        <f t="shared" si="37"/>
        <v>81486.24000000002</v>
      </c>
      <c r="M778" s="56">
        <f>LISTAS!$B$22*_xlfn.XLOOKUP(G778,LISTAS!$B$27:$B$36,LISTAS!$A$27:$A$36)*_xlfn.XLOOKUP(H778,LISTAS!$B$38:$B$47,LISTAS!$A$38:$A$47,,-1)*_xlfn.XLOOKUP(J778,LISTAS!$E$26:$H$26,LISTAS!$E$48:$H$48)*_xlfn.XLOOKUP(F778,LISTAS!$A$15:$A$18,LISTAS!$H$15:$H$18)</f>
        <v>2.9040000000000007E-2</v>
      </c>
      <c r="N778" s="54" cm="1">
        <f t="array" ref="N778">_xlfn.XLOOKUP(K778,LISTAS!$D$27:$D$47,_xlfn.XLOOKUP(J778,LISTAS!$E$26:$H$26,LISTAS!$E$27:$H$47))</f>
        <v>33672000</v>
      </c>
      <c r="O778" s="56" t="s">
        <v>1625</v>
      </c>
      <c r="P778" s="76" t="str">
        <f t="shared" ca="1" si="38"/>
        <v>Vencida</v>
      </c>
    </row>
    <row r="779" spans="1:16" x14ac:dyDescent="0.3">
      <c r="A779" s="58" t="s">
        <v>1069</v>
      </c>
      <c r="B779" s="56" t="s">
        <v>58</v>
      </c>
      <c r="C779" s="50" t="str">
        <f>_xlfn.XLOOKUP(B779,CLIENTES!$A$2:$A$301,CLIENTES!$B$2:$B$301)</f>
        <v>Gabriela Ferreyra</v>
      </c>
      <c r="D779" s="60">
        <v>45689</v>
      </c>
      <c r="E779" s="60">
        <f t="shared" si="36"/>
        <v>46054</v>
      </c>
      <c r="F779" s="50" t="s">
        <v>1597</v>
      </c>
      <c r="G779" s="56" t="s">
        <v>1604</v>
      </c>
      <c r="H779" s="47">
        <v>72</v>
      </c>
      <c r="I779" s="60">
        <v>19686</v>
      </c>
      <c r="J779" s="56" t="s">
        <v>1610</v>
      </c>
      <c r="K779" s="56">
        <v>2021</v>
      </c>
      <c r="L779" s="52">
        <f t="shared" si="37"/>
        <v>75221.223000000013</v>
      </c>
      <c r="M779" s="56">
        <f>LISTAS!$B$22*_xlfn.XLOOKUP(G779,LISTAS!$B$27:$B$36,LISTAS!$A$27:$A$36)*_xlfn.XLOOKUP(H779,LISTAS!$B$38:$B$47,LISTAS!$A$38:$A$47,,-1)*_xlfn.XLOOKUP(J779,LISTAS!$E$26:$H$26,LISTAS!$E$48:$H$48)*_xlfn.XLOOKUP(F779,LISTAS!$A$15:$A$18,LISTAS!$H$15:$H$18)</f>
        <v>3.5574000000000001E-2</v>
      </c>
      <c r="N779" s="54" cm="1">
        <f t="array" ref="N779">_xlfn.XLOOKUP(K779,LISTAS!$D$27:$D$47,_xlfn.XLOOKUP(J779,LISTAS!$E$26:$H$26,LISTAS!$E$27:$H$47))</f>
        <v>25374000</v>
      </c>
      <c r="O779" s="56" t="s">
        <v>1625</v>
      </c>
      <c r="P779" s="76" t="str">
        <f t="shared" ca="1" si="38"/>
        <v>Vencida</v>
      </c>
    </row>
    <row r="780" spans="1:16" x14ac:dyDescent="0.3">
      <c r="A780" s="58" t="s">
        <v>1070</v>
      </c>
      <c r="B780" s="56" t="s">
        <v>145</v>
      </c>
      <c r="C780" s="50" t="str">
        <f>_xlfn.XLOOKUP(B780,CLIENTES!$A$2:$A$301,CLIENTES!$B$2:$B$301)</f>
        <v>Victoria Vega</v>
      </c>
      <c r="D780" s="60">
        <v>45032</v>
      </c>
      <c r="E780" s="60">
        <f t="shared" si="36"/>
        <v>45398</v>
      </c>
      <c r="F780" s="50" t="s">
        <v>1597</v>
      </c>
      <c r="G780" s="56" t="s">
        <v>1604</v>
      </c>
      <c r="H780" s="47">
        <v>80</v>
      </c>
      <c r="I780" s="60">
        <v>16828</v>
      </c>
      <c r="J780" s="56" t="s">
        <v>1609</v>
      </c>
      <c r="K780" s="56">
        <v>2020</v>
      </c>
      <c r="L780" s="52">
        <f t="shared" si="37"/>
        <v>40283.320000000007</v>
      </c>
      <c r="M780" s="56">
        <f>LISTAS!$B$22*_xlfn.XLOOKUP(G780,LISTAS!$B$27:$B$36,LISTAS!$A$27:$A$36)*_xlfn.XLOOKUP(H780,LISTAS!$B$38:$B$47,LISTAS!$A$38:$A$47,,-1)*_xlfn.XLOOKUP(J780,LISTAS!$E$26:$H$26,LISTAS!$E$48:$H$48)*_xlfn.XLOOKUP(F780,LISTAS!$A$15:$A$18,LISTAS!$H$15:$H$18)</f>
        <v>3.3495000000000004E-2</v>
      </c>
      <c r="N780" s="54" cm="1">
        <f t="array" ref="N780">_xlfn.XLOOKUP(K780,LISTAS!$D$27:$D$47,_xlfn.XLOOKUP(J780,LISTAS!$E$26:$H$26,LISTAS!$E$27:$H$47))</f>
        <v>14432000</v>
      </c>
      <c r="O780" s="56" t="s">
        <v>1623</v>
      </c>
      <c r="P780" s="76" t="str">
        <f t="shared" ca="1" si="38"/>
        <v>Vencida</v>
      </c>
    </row>
    <row r="781" spans="1:16" x14ac:dyDescent="0.3">
      <c r="A781" s="58" t="s">
        <v>1071</v>
      </c>
      <c r="B781" s="56" t="s">
        <v>146</v>
      </c>
      <c r="C781" s="50" t="str">
        <f>_xlfn.XLOOKUP(B781,CLIENTES!$A$2:$A$301,CLIENTES!$B$2:$B$301)</f>
        <v>Pablo Correa</v>
      </c>
      <c r="D781" s="60">
        <v>45820</v>
      </c>
      <c r="E781" s="60">
        <f t="shared" si="36"/>
        <v>46185</v>
      </c>
      <c r="F781" s="50" t="s">
        <v>1598</v>
      </c>
      <c r="G781" s="56" t="s">
        <v>1607</v>
      </c>
      <c r="H781" s="47">
        <v>68</v>
      </c>
      <c r="I781" s="60">
        <v>21084</v>
      </c>
      <c r="J781" s="56" t="s">
        <v>1611</v>
      </c>
      <c r="K781" s="56">
        <v>2016</v>
      </c>
      <c r="L781" s="52">
        <f t="shared" si="37"/>
        <v>56457.87766666666</v>
      </c>
      <c r="M781" s="56">
        <f>LISTAS!$B$22*_xlfn.XLOOKUP(G781,LISTAS!$B$27:$B$36,LISTAS!$A$27:$A$36)*_xlfn.XLOOKUP(H781,LISTAS!$B$38:$B$47,LISTAS!$A$38:$A$47,,-1)*_xlfn.XLOOKUP(J781,LISTAS!$E$26:$H$26,LISTAS!$E$48:$H$48)*_xlfn.XLOOKUP(F781,LISTAS!$A$15:$A$18,LISTAS!$H$15:$H$18)</f>
        <v>3.7823499999999996E-2</v>
      </c>
      <c r="N781" s="54" cm="1">
        <f t="array" ref="N781">_xlfn.XLOOKUP(K781,LISTAS!$D$27:$D$47,_xlfn.XLOOKUP(J781,LISTAS!$E$26:$H$26,LISTAS!$E$27:$H$47))</f>
        <v>17912000</v>
      </c>
      <c r="O781" s="56" t="s">
        <v>1623</v>
      </c>
      <c r="P781" s="76" t="str">
        <f t="shared" ca="1" si="38"/>
        <v>Vencida</v>
      </c>
    </row>
    <row r="782" spans="1:16" x14ac:dyDescent="0.3">
      <c r="A782" s="58" t="s">
        <v>1072</v>
      </c>
      <c r="B782" s="56" t="s">
        <v>95</v>
      </c>
      <c r="C782" s="50" t="str">
        <f>_xlfn.XLOOKUP(B782,CLIENTES!$A$2:$A$301,CLIENTES!$B$2:$B$301)</f>
        <v>Paula Correa</v>
      </c>
      <c r="D782" s="60">
        <v>45018</v>
      </c>
      <c r="E782" s="60">
        <f t="shared" si="36"/>
        <v>45384</v>
      </c>
      <c r="F782" s="50" t="s">
        <v>1597</v>
      </c>
      <c r="G782" s="56" t="s">
        <v>1608</v>
      </c>
      <c r="H782" s="47">
        <v>31</v>
      </c>
      <c r="I782" s="60">
        <v>34781</v>
      </c>
      <c r="J782" s="56" t="s">
        <v>1612</v>
      </c>
      <c r="K782" s="56">
        <v>2018</v>
      </c>
      <c r="L782" s="52">
        <f t="shared" si="37"/>
        <v>27974.388749999998</v>
      </c>
      <c r="M782" s="56">
        <f>LISTAS!$B$22*_xlfn.XLOOKUP(G782,LISTAS!$B$27:$B$36,LISTAS!$A$27:$A$36)*_xlfn.XLOOKUP(H782,LISTAS!$B$38:$B$47,LISTAS!$A$38:$A$47,,-1)*_xlfn.XLOOKUP(J782,LISTAS!$E$26:$H$26,LISTAS!$E$48:$H$48)*_xlfn.XLOOKUP(F782,LISTAS!$A$15:$A$18,LISTAS!$H$15:$H$18)</f>
        <v>2.1944999999999999E-2</v>
      </c>
      <c r="N782" s="54" cm="1">
        <f t="array" ref="N782">_xlfn.XLOOKUP(K782,LISTAS!$D$27:$D$47,_xlfn.XLOOKUP(J782,LISTAS!$E$26:$H$26,LISTAS!$E$27:$H$47))</f>
        <v>15297000</v>
      </c>
      <c r="O782" s="56" t="s">
        <v>1624</v>
      </c>
      <c r="P782" s="76" t="str">
        <f t="shared" ca="1" si="38"/>
        <v>Vencida</v>
      </c>
    </row>
    <row r="783" spans="1:16" x14ac:dyDescent="0.3">
      <c r="A783" s="58" t="s">
        <v>1073</v>
      </c>
      <c r="B783" s="56" t="s">
        <v>283</v>
      </c>
      <c r="C783" s="50" t="str">
        <f>_xlfn.XLOOKUP(B783,CLIENTES!$A$2:$A$301,CLIENTES!$B$2:$B$301)</f>
        <v>Lautaro Méndez</v>
      </c>
      <c r="D783" s="60">
        <v>45066</v>
      </c>
      <c r="E783" s="60">
        <f t="shared" si="36"/>
        <v>45432</v>
      </c>
      <c r="F783" s="50" t="s">
        <v>1596</v>
      </c>
      <c r="G783" s="56" t="s">
        <v>1601</v>
      </c>
      <c r="H783" s="47">
        <v>29</v>
      </c>
      <c r="I783" s="60">
        <v>35390</v>
      </c>
      <c r="J783" s="56" t="s">
        <v>1611</v>
      </c>
      <c r="K783" s="56">
        <v>2016</v>
      </c>
      <c r="L783" s="52">
        <f t="shared" si="37"/>
        <v>40270.653999999995</v>
      </c>
      <c r="M783" s="56">
        <f>LISTAS!$B$22*_xlfn.XLOOKUP(G783,LISTAS!$B$27:$B$36,LISTAS!$A$27:$A$36)*_xlfn.XLOOKUP(H783,LISTAS!$B$38:$B$47,LISTAS!$A$38:$A$47,,-1)*_xlfn.XLOOKUP(J783,LISTAS!$E$26:$H$26,LISTAS!$E$48:$H$48)*_xlfn.XLOOKUP(F783,LISTAS!$A$15:$A$18,LISTAS!$H$15:$H$18)</f>
        <v>2.6978999999999996E-2</v>
      </c>
      <c r="N783" s="54" cm="1">
        <f t="array" ref="N783">_xlfn.XLOOKUP(K783,LISTAS!$D$27:$D$47,_xlfn.XLOOKUP(J783,LISTAS!$E$26:$H$26,LISTAS!$E$27:$H$47))</f>
        <v>17912000</v>
      </c>
      <c r="O783" s="56" t="s">
        <v>1626</v>
      </c>
      <c r="P783" s="76" t="str">
        <f t="shared" ca="1" si="38"/>
        <v>Vencida</v>
      </c>
    </row>
    <row r="784" spans="1:16" x14ac:dyDescent="0.3">
      <c r="A784" s="58" t="s">
        <v>1074</v>
      </c>
      <c r="B784" s="56" t="s">
        <v>256</v>
      </c>
      <c r="C784" s="50" t="str">
        <f>_xlfn.XLOOKUP(B784,CLIENTES!$A$2:$A$301,CLIENTES!$B$2:$B$301)</f>
        <v>Florencia Mansilla</v>
      </c>
      <c r="D784" s="60">
        <v>45632</v>
      </c>
      <c r="E784" s="60">
        <f t="shared" si="36"/>
        <v>45997</v>
      </c>
      <c r="F784" s="50" t="s">
        <v>1596</v>
      </c>
      <c r="G784" s="56" t="s">
        <v>1601</v>
      </c>
      <c r="H784" s="47">
        <v>74</v>
      </c>
      <c r="I784" s="60">
        <v>18981</v>
      </c>
      <c r="J784" s="56" t="s">
        <v>1612</v>
      </c>
      <c r="K784" s="56">
        <v>2021</v>
      </c>
      <c r="L784" s="52">
        <f t="shared" si="37"/>
        <v>48613.567624999996</v>
      </c>
      <c r="M784" s="56">
        <f>LISTAS!$B$22*_xlfn.XLOOKUP(G784,LISTAS!$B$27:$B$36,LISTAS!$A$27:$A$36)*_xlfn.XLOOKUP(H784,LISTAS!$B$38:$B$47,LISTAS!$A$38:$A$47,,-1)*_xlfn.XLOOKUP(J784,LISTAS!$E$26:$H$26,LISTAS!$E$48:$H$48)*_xlfn.XLOOKUP(F784,LISTAS!$A$15:$A$18,LISTAS!$H$15:$H$18)</f>
        <v>2.87385E-2</v>
      </c>
      <c r="N784" s="54" cm="1">
        <f t="array" ref="N784">_xlfn.XLOOKUP(K784,LISTAS!$D$27:$D$47,_xlfn.XLOOKUP(J784,LISTAS!$E$26:$H$26,LISTAS!$E$27:$H$47))</f>
        <v>20299000</v>
      </c>
      <c r="O784" s="56" t="s">
        <v>1623</v>
      </c>
      <c r="P784" s="76" t="str">
        <f t="shared" ca="1" si="38"/>
        <v>Vencida</v>
      </c>
    </row>
    <row r="785" spans="1:16" x14ac:dyDescent="0.3">
      <c r="A785" s="58" t="s">
        <v>1075</v>
      </c>
      <c r="B785" s="56" t="s">
        <v>31</v>
      </c>
      <c r="C785" s="50" t="str">
        <f>_xlfn.XLOOKUP(B785,CLIENTES!$A$2:$A$301,CLIENTES!$B$2:$B$301)</f>
        <v>Bruno Vera</v>
      </c>
      <c r="D785" s="60">
        <v>45379</v>
      </c>
      <c r="E785" s="60">
        <f t="shared" si="36"/>
        <v>45744</v>
      </c>
      <c r="F785" s="50" t="s">
        <v>1595</v>
      </c>
      <c r="G785" s="56" t="s">
        <v>1605</v>
      </c>
      <c r="H785" s="47">
        <v>51</v>
      </c>
      <c r="I785" s="60">
        <v>27344</v>
      </c>
      <c r="J785" s="56" t="s">
        <v>1609</v>
      </c>
      <c r="K785" s="56">
        <v>2024</v>
      </c>
      <c r="L785" s="52">
        <f t="shared" si="37"/>
        <v>18940.5</v>
      </c>
      <c r="M785" s="56">
        <f>LISTAS!$B$22*_xlfn.XLOOKUP(G785,LISTAS!$B$27:$B$36,LISTAS!$A$27:$A$36)*_xlfn.XLOOKUP(H785,LISTAS!$B$38:$B$47,LISTAS!$A$38:$A$47,,-1)*_xlfn.XLOOKUP(J785,LISTAS!$E$26:$H$26,LISTAS!$E$48:$H$48)*_xlfn.XLOOKUP(F785,LISTAS!$A$15:$A$18,LISTAS!$H$15:$H$18)</f>
        <v>1.0800000000000001E-2</v>
      </c>
      <c r="N785" s="54" cm="1">
        <f t="array" ref="N785">_xlfn.XLOOKUP(K785,LISTAS!$D$27:$D$47,_xlfn.XLOOKUP(J785,LISTAS!$E$26:$H$26,LISTAS!$E$27:$H$47))</f>
        <v>21045000</v>
      </c>
      <c r="O785" s="56" t="s">
        <v>1623</v>
      </c>
      <c r="P785" s="76" t="str">
        <f t="shared" ca="1" si="38"/>
        <v>Vencida</v>
      </c>
    </row>
    <row r="786" spans="1:16" x14ac:dyDescent="0.3">
      <c r="A786" s="58" t="s">
        <v>1076</v>
      </c>
      <c r="B786" s="56" t="s">
        <v>41</v>
      </c>
      <c r="C786" s="50" t="str">
        <f>_xlfn.XLOOKUP(B786,CLIENTES!$A$2:$A$301,CLIENTES!$B$2:$B$301)</f>
        <v>Ignacio Ortiz</v>
      </c>
      <c r="D786" s="60">
        <v>45358</v>
      </c>
      <c r="E786" s="60">
        <f t="shared" si="36"/>
        <v>45723</v>
      </c>
      <c r="F786" s="50" t="s">
        <v>1598</v>
      </c>
      <c r="G786" s="56" t="s">
        <v>1603</v>
      </c>
      <c r="H786" s="47">
        <v>25</v>
      </c>
      <c r="I786" s="60">
        <v>36851</v>
      </c>
      <c r="J786" s="56" t="s">
        <v>1612</v>
      </c>
      <c r="K786" s="56">
        <v>2024</v>
      </c>
      <c r="L786" s="52">
        <f t="shared" si="37"/>
        <v>69863.702999999994</v>
      </c>
      <c r="M786" s="56">
        <f>LISTAS!$B$22*_xlfn.XLOOKUP(G786,LISTAS!$B$27:$B$36,LISTAS!$A$27:$A$36)*_xlfn.XLOOKUP(H786,LISTAS!$B$38:$B$47,LISTAS!$A$38:$A$47,,-1)*_xlfn.XLOOKUP(J786,LISTAS!$E$26:$H$26,LISTAS!$E$48:$H$48)*_xlfn.XLOOKUP(F786,LISTAS!$A$15:$A$18,LISTAS!$H$15:$H$18)</f>
        <v>3.1122E-2</v>
      </c>
      <c r="N786" s="54" cm="1">
        <f t="array" ref="N786">_xlfn.XLOOKUP(K786,LISTAS!$D$27:$D$47,_xlfn.XLOOKUP(J786,LISTAS!$E$26:$H$26,LISTAS!$E$27:$H$47))</f>
        <v>26938000</v>
      </c>
      <c r="O786" s="56" t="s">
        <v>1626</v>
      </c>
      <c r="P786" s="76" t="str">
        <f t="shared" ca="1" si="38"/>
        <v>Vencida</v>
      </c>
    </row>
    <row r="787" spans="1:16" x14ac:dyDescent="0.3">
      <c r="A787" s="58" t="s">
        <v>1077</v>
      </c>
      <c r="B787" s="56" t="s">
        <v>49</v>
      </c>
      <c r="C787" s="50" t="str">
        <f>_xlfn.XLOOKUP(B787,CLIENTES!$A$2:$A$301,CLIENTES!$B$2:$B$301)</f>
        <v>Mateo Torres</v>
      </c>
      <c r="D787" s="60">
        <v>45559</v>
      </c>
      <c r="E787" s="60">
        <f t="shared" si="36"/>
        <v>45924</v>
      </c>
      <c r="F787" s="50" t="s">
        <v>1598</v>
      </c>
      <c r="G787" s="56" t="s">
        <v>1603</v>
      </c>
      <c r="H787" s="47">
        <v>64</v>
      </c>
      <c r="I787" s="60">
        <v>22739</v>
      </c>
      <c r="J787" s="56" t="s">
        <v>1610</v>
      </c>
      <c r="K787" s="56">
        <v>2019</v>
      </c>
      <c r="L787" s="52">
        <f t="shared" si="37"/>
        <v>49953.403499999993</v>
      </c>
      <c r="M787" s="56">
        <f>LISTAS!$B$22*_xlfn.XLOOKUP(G787,LISTAS!$B$27:$B$36,LISTAS!$A$27:$A$36)*_xlfn.XLOOKUP(H787,LISTAS!$B$38:$B$47,LISTAS!$A$38:$A$47,,-1)*_xlfn.XLOOKUP(J787,LISTAS!$E$26:$H$26,LISTAS!$E$48:$H$48)*_xlfn.XLOOKUP(F787,LISTAS!$A$15:$A$18,LISTAS!$H$15:$H$18)</f>
        <v>2.8528499999999998E-2</v>
      </c>
      <c r="N787" s="54" cm="1">
        <f t="array" ref="N787">_xlfn.XLOOKUP(K787,LISTAS!$D$27:$D$47,_xlfn.XLOOKUP(J787,LISTAS!$E$26:$H$26,LISTAS!$E$27:$H$47))</f>
        <v>21012000</v>
      </c>
      <c r="O787" s="56" t="s">
        <v>1623</v>
      </c>
      <c r="P787" s="76" t="str">
        <f t="shared" ca="1" si="38"/>
        <v>Vencida</v>
      </c>
    </row>
    <row r="788" spans="1:16" x14ac:dyDescent="0.3">
      <c r="A788" s="58" t="s">
        <v>1078</v>
      </c>
      <c r="B788" s="56" t="s">
        <v>207</v>
      </c>
      <c r="C788" s="50" t="str">
        <f>_xlfn.XLOOKUP(B788,CLIENTES!$A$2:$A$301,CLIENTES!$B$2:$B$301)</f>
        <v>Juan Acosta</v>
      </c>
      <c r="D788" s="60">
        <v>44527</v>
      </c>
      <c r="E788" s="60">
        <f t="shared" si="36"/>
        <v>44892</v>
      </c>
      <c r="F788" s="50" t="s">
        <v>1596</v>
      </c>
      <c r="G788" s="56" t="s">
        <v>1600</v>
      </c>
      <c r="H788" s="47">
        <v>53</v>
      </c>
      <c r="I788" s="60">
        <v>26765</v>
      </c>
      <c r="J788" s="56" t="s">
        <v>1612</v>
      </c>
      <c r="K788" s="56">
        <v>2022</v>
      </c>
      <c r="L788" s="52">
        <f t="shared" si="37"/>
        <v>38158.911874999998</v>
      </c>
      <c r="M788" s="56">
        <f>LISTAS!$B$22*_xlfn.XLOOKUP(G788,LISTAS!$B$27:$B$36,LISTAS!$A$27:$A$36)*_xlfn.XLOOKUP(H788,LISTAS!$B$38:$B$47,LISTAS!$A$38:$A$47,,-1)*_xlfn.XLOOKUP(J788,LISTAS!$E$26:$H$26,LISTAS!$E$48:$H$48)*_xlfn.XLOOKUP(F788,LISTAS!$A$15:$A$18,LISTAS!$H$15:$H$18)</f>
        <v>2.0527500000000001E-2</v>
      </c>
      <c r="N788" s="54" cm="1">
        <f t="array" ref="N788">_xlfn.XLOOKUP(K788,LISTAS!$D$27:$D$47,_xlfn.XLOOKUP(J788,LISTAS!$E$26:$H$26,LISTAS!$E$27:$H$47))</f>
        <v>22307000</v>
      </c>
      <c r="O788" s="56" t="s">
        <v>1623</v>
      </c>
      <c r="P788" s="76" t="str">
        <f t="shared" ca="1" si="38"/>
        <v>Vencida</v>
      </c>
    </row>
    <row r="789" spans="1:16" x14ac:dyDescent="0.3">
      <c r="A789" s="58" t="s">
        <v>1079</v>
      </c>
      <c r="B789" s="56" t="s">
        <v>212</v>
      </c>
      <c r="C789" s="50" t="str">
        <f>_xlfn.XLOOKUP(B789,CLIENTES!$A$2:$A$301,CLIENTES!$B$2:$B$301)</f>
        <v>Matías Silva</v>
      </c>
      <c r="D789" s="60">
        <v>45898</v>
      </c>
      <c r="E789" s="60">
        <f t="shared" si="36"/>
        <v>46263</v>
      </c>
      <c r="F789" s="50" t="s">
        <v>1598</v>
      </c>
      <c r="G789" s="56" t="s">
        <v>1608</v>
      </c>
      <c r="H789" s="47">
        <v>21</v>
      </c>
      <c r="I789" s="60">
        <v>38228</v>
      </c>
      <c r="J789" s="56" t="s">
        <v>1612</v>
      </c>
      <c r="K789" s="56">
        <v>2020</v>
      </c>
      <c r="L789" s="52">
        <f t="shared" si="37"/>
        <v>53895.52350000001</v>
      </c>
      <c r="M789" s="56">
        <f>LISTAS!$B$22*_xlfn.XLOOKUP(G789,LISTAS!$B$27:$B$36,LISTAS!$A$27:$A$36)*_xlfn.XLOOKUP(H789,LISTAS!$B$38:$B$47,LISTAS!$A$38:$A$47,,-1)*_xlfn.XLOOKUP(J789,LISTAS!$E$26:$H$26,LISTAS!$E$48:$H$48)*_xlfn.XLOOKUP(F789,LISTAS!$A$15:$A$18,LISTAS!$H$15:$H$18)</f>
        <v>3.5012250000000009E-2</v>
      </c>
      <c r="N789" s="54" cm="1">
        <f t="array" ref="N789">_xlfn.XLOOKUP(K789,LISTAS!$D$27:$D$47,_xlfn.XLOOKUP(J789,LISTAS!$E$26:$H$26,LISTAS!$E$27:$H$47))</f>
        <v>18472000</v>
      </c>
      <c r="O789" s="56" t="s">
        <v>1624</v>
      </c>
      <c r="P789" s="76" t="str">
        <f t="shared" ca="1" si="38"/>
        <v>Vencida</v>
      </c>
    </row>
    <row r="790" spans="1:16" x14ac:dyDescent="0.3">
      <c r="A790" s="58" t="s">
        <v>1080</v>
      </c>
      <c r="B790" s="56" t="s">
        <v>256</v>
      </c>
      <c r="C790" s="50" t="str">
        <f>_xlfn.XLOOKUP(B790,CLIENTES!$A$2:$A$301,CLIENTES!$B$2:$B$301)</f>
        <v>Florencia Mansilla</v>
      </c>
      <c r="D790" s="60">
        <v>44607</v>
      </c>
      <c r="E790" s="60">
        <f t="shared" si="36"/>
        <v>44972</v>
      </c>
      <c r="F790" s="50" t="s">
        <v>1596</v>
      </c>
      <c r="G790" s="56" t="s">
        <v>1605</v>
      </c>
      <c r="H790" s="47">
        <v>62</v>
      </c>
      <c r="I790" s="60">
        <v>23409</v>
      </c>
      <c r="J790" s="56" t="s">
        <v>1609</v>
      </c>
      <c r="K790" s="56">
        <v>2025</v>
      </c>
      <c r="L790" s="52">
        <f t="shared" si="37"/>
        <v>30791.250000000004</v>
      </c>
      <c r="M790" s="56">
        <f>LISTAS!$B$22*_xlfn.XLOOKUP(G790,LISTAS!$B$27:$B$36,LISTAS!$A$27:$A$36)*_xlfn.XLOOKUP(H790,LISTAS!$B$38:$B$47,LISTAS!$A$38:$A$47,,-1)*_xlfn.XLOOKUP(J790,LISTAS!$E$26:$H$26,LISTAS!$E$48:$H$48)*_xlfn.XLOOKUP(F790,LISTAS!$A$15:$A$18,LISTAS!$H$15:$H$18)</f>
        <v>1.6065000000000003E-2</v>
      </c>
      <c r="N790" s="54" cm="1">
        <f t="array" ref="N790">_xlfn.XLOOKUP(K790,LISTAS!$D$27:$D$47,_xlfn.XLOOKUP(J790,LISTAS!$E$26:$H$26,LISTAS!$E$27:$H$47))</f>
        <v>23000000</v>
      </c>
      <c r="O790" s="56" t="s">
        <v>1623</v>
      </c>
      <c r="P790" s="76" t="str">
        <f t="shared" ca="1" si="38"/>
        <v>Vencida</v>
      </c>
    </row>
    <row r="791" spans="1:16" x14ac:dyDescent="0.3">
      <c r="A791" s="58" t="s">
        <v>1081</v>
      </c>
      <c r="B791" s="56" t="s">
        <v>65</v>
      </c>
      <c r="C791" s="50" t="str">
        <f>_xlfn.XLOOKUP(B791,CLIENTES!$A$2:$A$301,CLIENTES!$B$2:$B$301)</f>
        <v>Ignacio Castro</v>
      </c>
      <c r="D791" s="60">
        <v>45843</v>
      </c>
      <c r="E791" s="60">
        <f t="shared" si="36"/>
        <v>46208</v>
      </c>
      <c r="F791" s="50" t="s">
        <v>1597</v>
      </c>
      <c r="G791" s="56" t="s">
        <v>1599</v>
      </c>
      <c r="H791" s="47">
        <v>29</v>
      </c>
      <c r="I791" s="60">
        <v>35400</v>
      </c>
      <c r="J791" s="56" t="s">
        <v>1612</v>
      </c>
      <c r="K791" s="56">
        <v>2023</v>
      </c>
      <c r="L791" s="52">
        <f t="shared" si="37"/>
        <v>67950.036000000007</v>
      </c>
      <c r="M791" s="56">
        <f>LISTAS!$B$22*_xlfn.XLOOKUP(G791,LISTAS!$B$27:$B$36,LISTAS!$A$27:$A$36)*_xlfn.XLOOKUP(H791,LISTAS!$B$38:$B$47,LISTAS!$A$38:$A$47,,-1)*_xlfn.XLOOKUP(J791,LISTAS!$E$26:$H$26,LISTAS!$E$48:$H$48)*_xlfn.XLOOKUP(F791,LISTAS!$A$15:$A$18,LISTAS!$H$15:$H$18)</f>
        <v>3.3264000000000002E-2</v>
      </c>
      <c r="N791" s="54" cm="1">
        <f t="array" ref="N791">_xlfn.XLOOKUP(K791,LISTAS!$D$27:$D$47,_xlfn.XLOOKUP(J791,LISTAS!$E$26:$H$26,LISTAS!$E$27:$H$47))</f>
        <v>24513000</v>
      </c>
      <c r="O791" s="56" t="s">
        <v>1623</v>
      </c>
      <c r="P791" s="76" t="str">
        <f t="shared" ca="1" si="38"/>
        <v>Vencida</v>
      </c>
    </row>
    <row r="792" spans="1:16" x14ac:dyDescent="0.3">
      <c r="A792" s="58" t="s">
        <v>1082</v>
      </c>
      <c r="B792" s="56" t="s">
        <v>64</v>
      </c>
      <c r="C792" s="50" t="str">
        <f>_xlfn.XLOOKUP(B792,CLIENTES!$A$2:$A$301,CLIENTES!$B$2:$B$301)</f>
        <v>Matías Herrera</v>
      </c>
      <c r="D792" s="60">
        <v>46176</v>
      </c>
      <c r="E792" s="60">
        <f t="shared" si="36"/>
        <v>46541</v>
      </c>
      <c r="F792" s="50" t="s">
        <v>1597</v>
      </c>
      <c r="G792" s="56" t="s">
        <v>1607</v>
      </c>
      <c r="H792" s="47">
        <v>51</v>
      </c>
      <c r="I792" s="60">
        <v>27514</v>
      </c>
      <c r="J792" s="56" t="s">
        <v>1612</v>
      </c>
      <c r="K792" s="56">
        <v>2021</v>
      </c>
      <c r="L792" s="52">
        <f t="shared" si="37"/>
        <v>42983.132500000007</v>
      </c>
      <c r="M792" s="56">
        <f>LISTAS!$B$22*_xlfn.XLOOKUP(G792,LISTAS!$B$27:$B$36,LISTAS!$A$27:$A$36)*_xlfn.XLOOKUP(H792,LISTAS!$B$38:$B$47,LISTAS!$A$38:$A$47,,-1)*_xlfn.XLOOKUP(J792,LISTAS!$E$26:$H$26,LISTAS!$E$48:$H$48)*_xlfn.XLOOKUP(F792,LISTAS!$A$15:$A$18,LISTAS!$H$15:$H$18)</f>
        <v>2.5410000000000005E-2</v>
      </c>
      <c r="N792" s="54" cm="1">
        <f t="array" ref="N792">_xlfn.XLOOKUP(K792,LISTAS!$D$27:$D$47,_xlfn.XLOOKUP(J792,LISTAS!$E$26:$H$26,LISTAS!$E$27:$H$47))</f>
        <v>20299000</v>
      </c>
      <c r="O792" s="56" t="s">
        <v>1623</v>
      </c>
      <c r="P792" s="76" t="str">
        <f t="shared" ca="1" si="38"/>
        <v>Vigente</v>
      </c>
    </row>
    <row r="793" spans="1:16" x14ac:dyDescent="0.3">
      <c r="A793" s="58" t="s">
        <v>1083</v>
      </c>
      <c r="B793" s="56" t="s">
        <v>285</v>
      </c>
      <c r="C793" s="50" t="str">
        <f>_xlfn.XLOOKUP(B793,CLIENTES!$A$2:$A$301,CLIENTES!$B$2:$B$301)</f>
        <v>Agustín Díaz</v>
      </c>
      <c r="D793" s="60">
        <v>44904</v>
      </c>
      <c r="E793" s="60">
        <f t="shared" si="36"/>
        <v>45269</v>
      </c>
      <c r="F793" s="50" t="s">
        <v>1598</v>
      </c>
      <c r="G793" s="56" t="s">
        <v>1600</v>
      </c>
      <c r="H793" s="47">
        <v>70</v>
      </c>
      <c r="I793" s="60">
        <v>20410</v>
      </c>
      <c r="J793" s="56" t="s">
        <v>1611</v>
      </c>
      <c r="K793" s="56">
        <v>2025</v>
      </c>
      <c r="L793" s="52">
        <f t="shared" si="37"/>
        <v>166079.54999999999</v>
      </c>
      <c r="M793" s="56">
        <f>LISTAS!$B$22*_xlfn.XLOOKUP(G793,LISTAS!$B$27:$B$36,LISTAS!$A$27:$A$36)*_xlfn.XLOOKUP(H793,LISTAS!$B$38:$B$47,LISTAS!$A$38:$A$47,,-1)*_xlfn.XLOOKUP(J793,LISTAS!$E$26:$H$26,LISTAS!$E$48:$H$48)*_xlfn.XLOOKUP(F793,LISTAS!$A$15:$A$18,LISTAS!$H$15:$H$18)</f>
        <v>4.8138999999999994E-2</v>
      </c>
      <c r="N793" s="54" cm="1">
        <f t="array" ref="N793">_xlfn.XLOOKUP(K793,LISTAS!$D$27:$D$47,_xlfn.XLOOKUP(J793,LISTAS!$E$26:$H$26,LISTAS!$E$27:$H$47))</f>
        <v>41400000</v>
      </c>
      <c r="O793" s="56" t="s">
        <v>1623</v>
      </c>
      <c r="P793" s="76" t="str">
        <f t="shared" ca="1" si="38"/>
        <v>Vencida</v>
      </c>
    </row>
    <row r="794" spans="1:16" x14ac:dyDescent="0.3">
      <c r="A794" s="58" t="s">
        <v>1084</v>
      </c>
      <c r="B794" s="56" t="s">
        <v>194</v>
      </c>
      <c r="C794" s="50" t="str">
        <f>_xlfn.XLOOKUP(B794,CLIENTES!$A$2:$A$301,CLIENTES!$B$2:$B$301)</f>
        <v>Juan Pérez</v>
      </c>
      <c r="D794" s="60">
        <v>45454</v>
      </c>
      <c r="E794" s="60">
        <f t="shared" si="36"/>
        <v>45819</v>
      </c>
      <c r="F794" s="50" t="s">
        <v>1595</v>
      </c>
      <c r="G794" s="56" t="s">
        <v>1608</v>
      </c>
      <c r="H794" s="47">
        <v>30</v>
      </c>
      <c r="I794" s="60">
        <v>34997</v>
      </c>
      <c r="J794" s="56" t="s">
        <v>1610</v>
      </c>
      <c r="K794" s="56">
        <v>2007</v>
      </c>
      <c r="L794" s="52">
        <f t="shared" si="37"/>
        <v>8563.7749999999996</v>
      </c>
      <c r="M794" s="56">
        <f>LISTAS!$B$22*_xlfn.XLOOKUP(G794,LISTAS!$B$27:$B$36,LISTAS!$A$27:$A$36)*_xlfn.XLOOKUP(H794,LISTAS!$B$38:$B$47,LISTAS!$A$38:$A$47,,-1)*_xlfn.XLOOKUP(J794,LISTAS!$E$26:$H$26,LISTAS!$E$48:$H$48)*_xlfn.XLOOKUP(F794,LISTAS!$A$15:$A$18,LISTAS!$H$15:$H$18)</f>
        <v>1.2540000000000001E-2</v>
      </c>
      <c r="N794" s="54" cm="1">
        <f t="array" ref="N794">_xlfn.XLOOKUP(K794,LISTAS!$D$27:$D$47,_xlfn.XLOOKUP(J794,LISTAS!$E$26:$H$26,LISTAS!$E$27:$H$47))</f>
        <v>8195000</v>
      </c>
      <c r="O794" s="56" t="s">
        <v>1623</v>
      </c>
      <c r="P794" s="76" t="str">
        <f t="shared" ca="1" si="38"/>
        <v>Vencida</v>
      </c>
    </row>
    <row r="795" spans="1:16" x14ac:dyDescent="0.3">
      <c r="A795" s="58" t="s">
        <v>1085</v>
      </c>
      <c r="B795" s="56" t="s">
        <v>76</v>
      </c>
      <c r="C795" s="50" t="str">
        <f>_xlfn.XLOOKUP(B795,CLIENTES!$A$2:$A$301,CLIENTES!$B$2:$B$301)</f>
        <v>Lucas Rodríguez</v>
      </c>
      <c r="D795" s="60">
        <v>45106</v>
      </c>
      <c r="E795" s="60">
        <f t="shared" si="36"/>
        <v>45472</v>
      </c>
      <c r="F795" s="50" t="s">
        <v>1595</v>
      </c>
      <c r="G795" s="56" t="s">
        <v>1606</v>
      </c>
      <c r="H795" s="47">
        <v>71</v>
      </c>
      <c r="I795" s="60">
        <v>20262</v>
      </c>
      <c r="J795" s="56" t="s">
        <v>1609</v>
      </c>
      <c r="K795" s="56">
        <v>2020</v>
      </c>
      <c r="L795" s="52">
        <f t="shared" si="37"/>
        <v>20204.8</v>
      </c>
      <c r="M795" s="56">
        <f>LISTAS!$B$22*_xlfn.XLOOKUP(G795,LISTAS!$B$27:$B$36,LISTAS!$A$27:$A$36)*_xlfn.XLOOKUP(H795,LISTAS!$B$38:$B$47,LISTAS!$A$38:$A$47,,-1)*_xlfn.XLOOKUP(J795,LISTAS!$E$26:$H$26,LISTAS!$E$48:$H$48)*_xlfn.XLOOKUP(F795,LISTAS!$A$15:$A$18,LISTAS!$H$15:$H$18)</f>
        <v>1.6799999999999999E-2</v>
      </c>
      <c r="N795" s="54" cm="1">
        <f t="array" ref="N795">_xlfn.XLOOKUP(K795,LISTAS!$D$27:$D$47,_xlfn.XLOOKUP(J795,LISTAS!$E$26:$H$26,LISTAS!$E$27:$H$47))</f>
        <v>14432000</v>
      </c>
      <c r="O795" s="56" t="s">
        <v>1625</v>
      </c>
      <c r="P795" s="76" t="str">
        <f t="shared" ca="1" si="38"/>
        <v>Vencida</v>
      </c>
    </row>
    <row r="796" spans="1:16" x14ac:dyDescent="0.3">
      <c r="A796" s="58" t="s">
        <v>1086</v>
      </c>
      <c r="B796" s="56" t="s">
        <v>261</v>
      </c>
      <c r="C796" s="50" t="str">
        <f>_xlfn.XLOOKUP(B796,CLIENTES!$A$2:$A$301,CLIENTES!$B$2:$B$301)</f>
        <v>Malena Peralta</v>
      </c>
      <c r="D796" s="60">
        <v>44562</v>
      </c>
      <c r="E796" s="60">
        <f t="shared" si="36"/>
        <v>44927</v>
      </c>
      <c r="F796" s="50" t="s">
        <v>1597</v>
      </c>
      <c r="G796" s="56" t="s">
        <v>1605</v>
      </c>
      <c r="H796" s="47">
        <v>28</v>
      </c>
      <c r="I796" s="60">
        <v>35880</v>
      </c>
      <c r="J796" s="56" t="s">
        <v>1610</v>
      </c>
      <c r="K796" s="56">
        <v>2017</v>
      </c>
      <c r="L796" s="52">
        <f t="shared" si="37"/>
        <v>37897.200000000012</v>
      </c>
      <c r="M796" s="56">
        <f>LISTAS!$B$22*_xlfn.XLOOKUP(G796,LISTAS!$B$27:$B$36,LISTAS!$A$27:$A$36)*_xlfn.XLOOKUP(H796,LISTAS!$B$38:$B$47,LISTAS!$A$38:$A$47,,-1)*_xlfn.XLOOKUP(J796,LISTAS!$E$26:$H$26,LISTAS!$E$48:$H$48)*_xlfn.XLOOKUP(F796,LISTAS!$A$15:$A$18,LISTAS!$H$15:$H$18)</f>
        <v>2.6136000000000006E-2</v>
      </c>
      <c r="N796" s="54" cm="1">
        <f t="array" ref="N796">_xlfn.XLOOKUP(K796,LISTAS!$D$27:$D$47,_xlfn.XLOOKUP(J796,LISTAS!$E$26:$H$26,LISTAS!$E$27:$H$47))</f>
        <v>17400000</v>
      </c>
      <c r="O796" s="56" t="s">
        <v>1623</v>
      </c>
      <c r="P796" s="76" t="str">
        <f t="shared" ca="1" si="38"/>
        <v>Vencida</v>
      </c>
    </row>
    <row r="797" spans="1:16" x14ac:dyDescent="0.3">
      <c r="A797" s="58" t="s">
        <v>1087</v>
      </c>
      <c r="B797" s="56" t="s">
        <v>15</v>
      </c>
      <c r="C797" s="50" t="str">
        <f>_xlfn.XLOOKUP(B797,CLIENTES!$A$2:$A$301,CLIENTES!$B$2:$B$301)</f>
        <v>Catalina Roldán</v>
      </c>
      <c r="D797" s="60">
        <v>45062</v>
      </c>
      <c r="E797" s="60">
        <f t="shared" si="36"/>
        <v>45428</v>
      </c>
      <c r="F797" s="50" t="s">
        <v>1595</v>
      </c>
      <c r="G797" s="56" t="s">
        <v>1603</v>
      </c>
      <c r="H797" s="47">
        <v>62</v>
      </c>
      <c r="I797" s="60">
        <v>23541</v>
      </c>
      <c r="J797" s="56" t="s">
        <v>1612</v>
      </c>
      <c r="K797" s="56">
        <v>2010</v>
      </c>
      <c r="L797" s="52">
        <f t="shared" si="37"/>
        <v>8355.9577499999996</v>
      </c>
      <c r="M797" s="56">
        <f>LISTAS!$B$22*_xlfn.XLOOKUP(G797,LISTAS!$B$27:$B$36,LISTAS!$A$27:$A$36)*_xlfn.XLOOKUP(H797,LISTAS!$B$38:$B$47,LISTAS!$A$38:$A$47,,-1)*_xlfn.XLOOKUP(J797,LISTAS!$E$26:$H$26,LISTAS!$E$48:$H$48)*_xlfn.XLOOKUP(F797,LISTAS!$A$15:$A$18,LISTAS!$H$15:$H$18)</f>
        <v>1.25685E-2</v>
      </c>
      <c r="N797" s="54" cm="1">
        <f t="array" ref="N797">_xlfn.XLOOKUP(K797,LISTAS!$D$27:$D$47,_xlfn.XLOOKUP(J797,LISTAS!$E$26:$H$26,LISTAS!$E$27:$H$47))</f>
        <v>7978000</v>
      </c>
      <c r="O797" s="56" t="s">
        <v>1623</v>
      </c>
      <c r="P797" s="76" t="str">
        <f t="shared" ca="1" si="38"/>
        <v>Vencida</v>
      </c>
    </row>
    <row r="798" spans="1:16" x14ac:dyDescent="0.3">
      <c r="A798" s="58" t="s">
        <v>1088</v>
      </c>
      <c r="B798" s="56" t="s">
        <v>232</v>
      </c>
      <c r="C798" s="50" t="str">
        <f>_xlfn.XLOOKUP(B798,CLIENTES!$A$2:$A$301,CLIENTES!$B$2:$B$301)</f>
        <v>Gabriel Mansilla</v>
      </c>
      <c r="D798" s="60">
        <v>44764</v>
      </c>
      <c r="E798" s="60">
        <f t="shared" si="36"/>
        <v>45129</v>
      </c>
      <c r="F798" s="50" t="s">
        <v>1597</v>
      </c>
      <c r="G798" s="56" t="s">
        <v>1599</v>
      </c>
      <c r="H798" s="47">
        <v>35</v>
      </c>
      <c r="I798" s="60">
        <v>33391</v>
      </c>
      <c r="J798" s="56" t="s">
        <v>1611</v>
      </c>
      <c r="K798" s="56">
        <v>2026</v>
      </c>
      <c r="L798" s="52">
        <f t="shared" si="37"/>
        <v>113850</v>
      </c>
      <c r="M798" s="56">
        <f>LISTAS!$B$22*_xlfn.XLOOKUP(G798,LISTAS!$B$27:$B$36,LISTAS!$A$27:$A$36)*_xlfn.XLOOKUP(H798,LISTAS!$B$38:$B$47,LISTAS!$A$38:$A$47,,-1)*_xlfn.XLOOKUP(J798,LISTAS!$E$26:$H$26,LISTAS!$E$48:$H$48)*_xlfn.XLOOKUP(F798,LISTAS!$A$15:$A$18,LISTAS!$H$15:$H$18)</f>
        <v>3.0360000000000002E-2</v>
      </c>
      <c r="N798" s="54" cm="1">
        <f t="array" ref="N798">_xlfn.XLOOKUP(K798,LISTAS!$D$27:$D$47,_xlfn.XLOOKUP(J798,LISTAS!$E$26:$H$26,LISTAS!$E$27:$H$47))</f>
        <v>45000000</v>
      </c>
      <c r="O798" s="56" t="s">
        <v>1623</v>
      </c>
      <c r="P798" s="76" t="str">
        <f t="shared" ca="1" si="38"/>
        <v>Vencida</v>
      </c>
    </row>
    <row r="799" spans="1:16" x14ac:dyDescent="0.3">
      <c r="A799" s="58" t="s">
        <v>1089</v>
      </c>
      <c r="B799" s="56" t="s">
        <v>286</v>
      </c>
      <c r="C799" s="50" t="str">
        <f>_xlfn.XLOOKUP(B799,CLIENTES!$A$2:$A$301,CLIENTES!$B$2:$B$301)</f>
        <v>Micaela Ferreyra</v>
      </c>
      <c r="D799" s="60">
        <v>45706</v>
      </c>
      <c r="E799" s="60">
        <f t="shared" si="36"/>
        <v>46071</v>
      </c>
      <c r="F799" s="50" t="s">
        <v>1595</v>
      </c>
      <c r="G799" s="56" t="s">
        <v>1599</v>
      </c>
      <c r="H799" s="47">
        <v>40</v>
      </c>
      <c r="I799" s="60">
        <v>31363</v>
      </c>
      <c r="J799" s="56" t="s">
        <v>1610</v>
      </c>
      <c r="K799" s="56">
        <v>2025</v>
      </c>
      <c r="L799" s="52">
        <f t="shared" si="37"/>
        <v>46147.200000000004</v>
      </c>
      <c r="M799" s="56">
        <f>LISTAS!$B$22*_xlfn.XLOOKUP(G799,LISTAS!$B$27:$B$36,LISTAS!$A$27:$A$36)*_xlfn.XLOOKUP(H799,LISTAS!$B$38:$B$47,LISTAS!$A$38:$A$47,,-1)*_xlfn.XLOOKUP(J799,LISTAS!$E$26:$H$26,LISTAS!$E$48:$H$48)*_xlfn.XLOOKUP(F799,LISTAS!$A$15:$A$18,LISTAS!$H$15:$H$18)</f>
        <v>1.5048000000000001E-2</v>
      </c>
      <c r="N799" s="54" cm="1">
        <f t="array" ref="N799">_xlfn.XLOOKUP(K799,LISTAS!$D$27:$D$47,_xlfn.XLOOKUP(J799,LISTAS!$E$26:$H$26,LISTAS!$E$27:$H$47))</f>
        <v>36800000</v>
      </c>
      <c r="O799" s="56" t="s">
        <v>1625</v>
      </c>
      <c r="P799" s="76" t="str">
        <f t="shared" ca="1" si="38"/>
        <v>Vencida</v>
      </c>
    </row>
    <row r="800" spans="1:16" x14ac:dyDescent="0.3">
      <c r="A800" s="58" t="s">
        <v>1090</v>
      </c>
      <c r="B800" s="56" t="s">
        <v>145</v>
      </c>
      <c r="C800" s="50" t="str">
        <f>_xlfn.XLOOKUP(B800,CLIENTES!$A$2:$A$301,CLIENTES!$B$2:$B$301)</f>
        <v>Victoria Vega</v>
      </c>
      <c r="D800" s="60">
        <v>45295</v>
      </c>
      <c r="E800" s="60">
        <f t="shared" si="36"/>
        <v>45661</v>
      </c>
      <c r="F800" s="50" t="s">
        <v>1597</v>
      </c>
      <c r="G800" s="56" t="s">
        <v>1600</v>
      </c>
      <c r="H800" s="47">
        <v>31</v>
      </c>
      <c r="I800" s="60">
        <v>34871</v>
      </c>
      <c r="J800" s="56" t="s">
        <v>1611</v>
      </c>
      <c r="K800" s="56">
        <v>2026</v>
      </c>
      <c r="L800" s="52">
        <f t="shared" si="37"/>
        <v>109106.25</v>
      </c>
      <c r="M800" s="56">
        <f>LISTAS!$B$22*_xlfn.XLOOKUP(G800,LISTAS!$B$27:$B$36,LISTAS!$A$27:$A$36)*_xlfn.XLOOKUP(H800,LISTAS!$B$38:$B$47,LISTAS!$A$38:$A$47,,-1)*_xlfn.XLOOKUP(J800,LISTAS!$E$26:$H$26,LISTAS!$E$48:$H$48)*_xlfn.XLOOKUP(F800,LISTAS!$A$15:$A$18,LISTAS!$H$15:$H$18)</f>
        <v>2.9094999999999999E-2</v>
      </c>
      <c r="N800" s="54" cm="1">
        <f t="array" ref="N800">_xlfn.XLOOKUP(K800,LISTAS!$D$27:$D$47,_xlfn.XLOOKUP(J800,LISTAS!$E$26:$H$26,LISTAS!$E$27:$H$47))</f>
        <v>45000000</v>
      </c>
      <c r="O800" s="56" t="s">
        <v>1624</v>
      </c>
      <c r="P800" s="76" t="str">
        <f t="shared" ca="1" si="38"/>
        <v>Vencida</v>
      </c>
    </row>
    <row r="801" spans="1:16" x14ac:dyDescent="0.3">
      <c r="A801" s="58" t="s">
        <v>1091</v>
      </c>
      <c r="B801" s="56" t="s">
        <v>138</v>
      </c>
      <c r="C801" s="50" t="str">
        <f>_xlfn.XLOOKUP(B801,CLIENTES!$A$2:$A$301,CLIENTES!$B$2:$B$301)</f>
        <v>Facundo Pérez</v>
      </c>
      <c r="D801" s="60">
        <v>44730</v>
      </c>
      <c r="E801" s="60">
        <f t="shared" si="36"/>
        <v>45095</v>
      </c>
      <c r="F801" s="50" t="s">
        <v>1595</v>
      </c>
      <c r="G801" s="56" t="s">
        <v>1602</v>
      </c>
      <c r="H801" s="47">
        <v>60</v>
      </c>
      <c r="I801" s="60">
        <v>24261</v>
      </c>
      <c r="J801" s="56" t="s">
        <v>1610</v>
      </c>
      <c r="K801" s="56">
        <v>2025</v>
      </c>
      <c r="L801" s="52">
        <f t="shared" si="37"/>
        <v>44629.200000000012</v>
      </c>
      <c r="M801" s="56">
        <f>LISTAS!$B$22*_xlfn.XLOOKUP(G801,LISTAS!$B$27:$B$36,LISTAS!$A$27:$A$36)*_xlfn.XLOOKUP(H801,LISTAS!$B$38:$B$47,LISTAS!$A$38:$A$47,,-1)*_xlfn.XLOOKUP(J801,LISTAS!$E$26:$H$26,LISTAS!$E$48:$H$48)*_xlfn.XLOOKUP(F801,LISTAS!$A$15:$A$18,LISTAS!$H$15:$H$18)</f>
        <v>1.4553000000000003E-2</v>
      </c>
      <c r="N801" s="54" cm="1">
        <f t="array" ref="N801">_xlfn.XLOOKUP(K801,LISTAS!$D$27:$D$47,_xlfn.XLOOKUP(J801,LISTAS!$E$26:$H$26,LISTAS!$E$27:$H$47))</f>
        <v>36800000</v>
      </c>
      <c r="O801" s="56" t="s">
        <v>1623</v>
      </c>
      <c r="P801" s="76" t="str">
        <f t="shared" ca="1" si="38"/>
        <v>Vencida</v>
      </c>
    </row>
    <row r="802" spans="1:16" x14ac:dyDescent="0.3">
      <c r="A802" s="58" t="s">
        <v>1092</v>
      </c>
      <c r="B802" s="56" t="s">
        <v>99</v>
      </c>
      <c r="C802" s="50" t="str">
        <f>_xlfn.XLOOKUP(B802,CLIENTES!$A$2:$A$301,CLIENTES!$B$2:$B$301)</f>
        <v>Diego Domínguez</v>
      </c>
      <c r="D802" s="60">
        <v>46223</v>
      </c>
      <c r="E802" s="60">
        <f t="shared" si="36"/>
        <v>46588</v>
      </c>
      <c r="F802" s="50" t="s">
        <v>1598</v>
      </c>
      <c r="G802" s="56" t="s">
        <v>1601</v>
      </c>
      <c r="H802" s="47">
        <v>46</v>
      </c>
      <c r="I802" s="60">
        <v>29355</v>
      </c>
      <c r="J802" s="56" t="s">
        <v>1610</v>
      </c>
      <c r="K802" s="56">
        <v>2016</v>
      </c>
      <c r="L802" s="52">
        <f t="shared" si="37"/>
        <v>41454.967125000003</v>
      </c>
      <c r="M802" s="56">
        <f>LISTAS!$B$22*_xlfn.XLOOKUP(G802,LISTAS!$B$27:$B$36,LISTAS!$A$27:$A$36)*_xlfn.XLOOKUP(H802,LISTAS!$B$38:$B$47,LISTAS!$A$38:$A$47,,-1)*_xlfn.XLOOKUP(J802,LISTAS!$E$26:$H$26,LISTAS!$E$48:$H$48)*_xlfn.XLOOKUP(F802,LISTAS!$A$15:$A$18,LISTAS!$H$15:$H$18)</f>
        <v>3.1245500000000002E-2</v>
      </c>
      <c r="N802" s="54" cm="1">
        <f t="array" ref="N802">_xlfn.XLOOKUP(K802,LISTAS!$D$27:$D$47,_xlfn.XLOOKUP(J802,LISTAS!$E$26:$H$26,LISTAS!$E$27:$H$47))</f>
        <v>15921000</v>
      </c>
      <c r="O802" s="56" t="s">
        <v>1624</v>
      </c>
      <c r="P802" s="76" t="str">
        <f t="shared" ca="1" si="38"/>
        <v>Vigente</v>
      </c>
    </row>
    <row r="803" spans="1:16" x14ac:dyDescent="0.3">
      <c r="A803" s="58" t="s">
        <v>1093</v>
      </c>
      <c r="B803" s="56" t="s">
        <v>253</v>
      </c>
      <c r="C803" s="50" t="str">
        <f>_xlfn.XLOOKUP(B803,CLIENTES!$A$2:$A$301,CLIENTES!$B$2:$B$301)</f>
        <v>Natalia Domínguez</v>
      </c>
      <c r="D803" s="60">
        <v>44726</v>
      </c>
      <c r="E803" s="60">
        <f t="shared" si="36"/>
        <v>45091</v>
      </c>
      <c r="F803" s="50" t="s">
        <v>1597</v>
      </c>
      <c r="G803" s="56" t="s">
        <v>1602</v>
      </c>
      <c r="H803" s="47">
        <v>63</v>
      </c>
      <c r="I803" s="60">
        <v>22930</v>
      </c>
      <c r="J803" s="56" t="s">
        <v>1609</v>
      </c>
      <c r="K803" s="56">
        <v>2015</v>
      </c>
      <c r="L803" s="52">
        <f t="shared" si="37"/>
        <v>18504.543750000004</v>
      </c>
      <c r="M803" s="56">
        <f>LISTAS!$B$22*_xlfn.XLOOKUP(G803,LISTAS!$B$27:$B$36,LISTAS!$A$27:$A$36)*_xlfn.XLOOKUP(H803,LISTAS!$B$38:$B$47,LISTAS!$A$38:$A$47,,-1)*_xlfn.XLOOKUP(J803,LISTAS!$E$26:$H$26,LISTAS!$E$48:$H$48)*_xlfn.XLOOKUP(F803,LISTAS!$A$15:$A$18,LISTAS!$H$15:$H$18)</f>
        <v>2.4255000000000006E-2</v>
      </c>
      <c r="N803" s="54" cm="1">
        <f t="array" ref="N803">_xlfn.XLOOKUP(K803,LISTAS!$D$27:$D$47,_xlfn.XLOOKUP(J803,LISTAS!$E$26:$H$26,LISTAS!$E$27:$H$47))</f>
        <v>9155000</v>
      </c>
      <c r="O803" s="56" t="s">
        <v>1625</v>
      </c>
      <c r="P803" s="76" t="str">
        <f t="shared" ca="1" si="38"/>
        <v>Vencida</v>
      </c>
    </row>
    <row r="804" spans="1:16" x14ac:dyDescent="0.3">
      <c r="A804" s="58" t="s">
        <v>1094</v>
      </c>
      <c r="B804" s="56" t="s">
        <v>110</v>
      </c>
      <c r="C804" s="50" t="str">
        <f>_xlfn.XLOOKUP(B804,CLIENTES!$A$2:$A$301,CLIENTES!$B$2:$B$301)</f>
        <v>Valentina Ponce</v>
      </c>
      <c r="D804" s="60">
        <v>45923</v>
      </c>
      <c r="E804" s="60">
        <f t="shared" si="36"/>
        <v>46288</v>
      </c>
      <c r="F804" s="50" t="s">
        <v>1596</v>
      </c>
      <c r="G804" s="56" t="s">
        <v>1605</v>
      </c>
      <c r="H804" s="47">
        <v>61</v>
      </c>
      <c r="I804" s="60">
        <v>23854</v>
      </c>
      <c r="J804" s="56" t="s">
        <v>1610</v>
      </c>
      <c r="K804" s="56">
        <v>2020</v>
      </c>
      <c r="L804" s="52">
        <f t="shared" si="37"/>
        <v>34004.383875000014</v>
      </c>
      <c r="M804" s="56">
        <f>LISTAS!$B$22*_xlfn.XLOOKUP(G804,LISTAS!$B$27:$B$36,LISTAS!$A$27:$A$36)*_xlfn.XLOOKUP(H804,LISTAS!$B$38:$B$47,LISTAS!$A$38:$A$47,,-1)*_xlfn.XLOOKUP(J804,LISTAS!$E$26:$H$26,LISTAS!$E$48:$H$48)*_xlfn.XLOOKUP(F804,LISTAS!$A$15:$A$18,LISTAS!$H$15:$H$18)</f>
        <v>1.7671500000000007E-2</v>
      </c>
      <c r="N804" s="54" cm="1">
        <f t="array" ref="N804">_xlfn.XLOOKUP(K804,LISTAS!$D$27:$D$47,_xlfn.XLOOKUP(J804,LISTAS!$E$26:$H$26,LISTAS!$E$27:$H$47))</f>
        <v>23091000</v>
      </c>
      <c r="O804" s="56" t="s">
        <v>1625</v>
      </c>
      <c r="P804" s="76" t="str">
        <f t="shared" ca="1" si="38"/>
        <v>Vigente</v>
      </c>
    </row>
    <row r="805" spans="1:16" x14ac:dyDescent="0.3">
      <c r="A805" s="58" t="s">
        <v>1095</v>
      </c>
      <c r="B805" s="56" t="s">
        <v>147</v>
      </c>
      <c r="C805" s="50" t="str">
        <f>_xlfn.XLOOKUP(B805,CLIENTES!$A$2:$A$301,CLIENTES!$B$2:$B$301)</f>
        <v>Facundo Benítez</v>
      </c>
      <c r="D805" s="60">
        <v>45433</v>
      </c>
      <c r="E805" s="60">
        <f t="shared" si="36"/>
        <v>45798</v>
      </c>
      <c r="F805" s="50" t="s">
        <v>1597</v>
      </c>
      <c r="G805" s="56" t="s">
        <v>1600</v>
      </c>
      <c r="H805" s="47">
        <v>43</v>
      </c>
      <c r="I805" s="60">
        <v>30263</v>
      </c>
      <c r="J805" s="56" t="s">
        <v>1612</v>
      </c>
      <c r="K805" s="56">
        <v>2020</v>
      </c>
      <c r="L805" s="52">
        <f t="shared" si="37"/>
        <v>38847.770499999999</v>
      </c>
      <c r="M805" s="56">
        <f>LISTAS!$B$22*_xlfn.XLOOKUP(G805,LISTAS!$B$27:$B$36,LISTAS!$A$27:$A$36)*_xlfn.XLOOKUP(H805,LISTAS!$B$38:$B$47,LISTAS!$A$38:$A$47,,-1)*_xlfn.XLOOKUP(J805,LISTAS!$E$26:$H$26,LISTAS!$E$48:$H$48)*_xlfn.XLOOKUP(F805,LISTAS!$A$15:$A$18,LISTAS!$H$15:$H$18)</f>
        <v>2.5236749999999999E-2</v>
      </c>
      <c r="N805" s="54" cm="1">
        <f t="array" ref="N805">_xlfn.XLOOKUP(K805,LISTAS!$D$27:$D$47,_xlfn.XLOOKUP(J805,LISTAS!$E$26:$H$26,LISTAS!$E$27:$H$47))</f>
        <v>18472000</v>
      </c>
      <c r="O805" s="56" t="s">
        <v>1623</v>
      </c>
      <c r="P805" s="76" t="str">
        <f t="shared" ca="1" si="38"/>
        <v>Vencida</v>
      </c>
    </row>
    <row r="806" spans="1:16" x14ac:dyDescent="0.3">
      <c r="A806" s="58" t="s">
        <v>1096</v>
      </c>
      <c r="B806" s="56" t="s">
        <v>259</v>
      </c>
      <c r="C806" s="50" t="str">
        <f>_xlfn.XLOOKUP(B806,CLIENTES!$A$2:$A$301,CLIENTES!$B$2:$B$301)</f>
        <v>Sebastián Benítez</v>
      </c>
      <c r="D806" s="60">
        <v>45130</v>
      </c>
      <c r="E806" s="60">
        <f t="shared" si="36"/>
        <v>45496</v>
      </c>
      <c r="F806" s="50" t="s">
        <v>1596</v>
      </c>
      <c r="G806" s="56" t="s">
        <v>1606</v>
      </c>
      <c r="H806" s="47">
        <v>73</v>
      </c>
      <c r="I806" s="60">
        <v>19496</v>
      </c>
      <c r="J806" s="56" t="s">
        <v>1611</v>
      </c>
      <c r="K806" s="56">
        <v>2022</v>
      </c>
      <c r="L806" s="52">
        <f t="shared" si="37"/>
        <v>71547.460833333302</v>
      </c>
      <c r="M806" s="56">
        <f>LISTAS!$B$22*_xlfn.XLOOKUP(G806,LISTAS!$B$27:$B$36,LISTAS!$A$27:$A$36)*_xlfn.XLOOKUP(H806,LISTAS!$B$38:$B$47,LISTAS!$A$38:$A$47,,-1)*_xlfn.XLOOKUP(J806,LISTAS!$E$26:$H$26,LISTAS!$E$48:$H$48)*_xlfn.XLOOKUP(F806,LISTAS!$A$15:$A$18,LISTAS!$H$15:$H$18)</f>
        <v>2.7369999999999992E-2</v>
      </c>
      <c r="N806" s="54" cm="1">
        <f t="array" ref="N806">_xlfn.XLOOKUP(K806,LISTAS!$D$27:$D$47,_xlfn.XLOOKUP(J806,LISTAS!$E$26:$H$26,LISTAS!$E$27:$H$47))</f>
        <v>31369000</v>
      </c>
      <c r="O806" s="56" t="s">
        <v>1623</v>
      </c>
      <c r="P806" s="76" t="str">
        <f t="shared" ca="1" si="38"/>
        <v>Vencida</v>
      </c>
    </row>
    <row r="807" spans="1:16" x14ac:dyDescent="0.3">
      <c r="A807" s="58" t="s">
        <v>1097</v>
      </c>
      <c r="B807" s="56" t="s">
        <v>59</v>
      </c>
      <c r="C807" s="50" t="str">
        <f>_xlfn.XLOOKUP(B807,CLIENTES!$A$2:$A$301,CLIENTES!$B$2:$B$301)</f>
        <v>Lautaro Arias</v>
      </c>
      <c r="D807" s="60">
        <v>44950</v>
      </c>
      <c r="E807" s="60">
        <f t="shared" si="36"/>
        <v>45315</v>
      </c>
      <c r="F807" s="50" t="s">
        <v>1598</v>
      </c>
      <c r="G807" s="56" t="s">
        <v>1603</v>
      </c>
      <c r="H807" s="47">
        <v>41</v>
      </c>
      <c r="I807" s="60">
        <v>31009</v>
      </c>
      <c r="J807" s="56" t="s">
        <v>1609</v>
      </c>
      <c r="K807" s="56">
        <v>2021</v>
      </c>
      <c r="L807" s="52">
        <f t="shared" si="37"/>
        <v>31010.952916666665</v>
      </c>
      <c r="M807" s="56">
        <f>LISTAS!$B$22*_xlfn.XLOOKUP(G807,LISTAS!$B$27:$B$36,LISTAS!$A$27:$A$36)*_xlfn.XLOOKUP(H807,LISTAS!$B$38:$B$47,LISTAS!$A$38:$A$47,,-1)*_xlfn.XLOOKUP(J807,LISTAS!$E$26:$H$26,LISTAS!$E$48:$H$48)*_xlfn.XLOOKUP(F807,LISTAS!$A$15:$A$18,LISTAS!$H$15:$H$18)</f>
        <v>2.3465E-2</v>
      </c>
      <c r="N807" s="54" cm="1">
        <f t="array" ref="N807">_xlfn.XLOOKUP(K807,LISTAS!$D$27:$D$47,_xlfn.XLOOKUP(J807,LISTAS!$E$26:$H$26,LISTAS!$E$27:$H$47))</f>
        <v>15859000</v>
      </c>
      <c r="O807" s="56" t="s">
        <v>1626</v>
      </c>
      <c r="P807" s="76" t="str">
        <f t="shared" ca="1" si="38"/>
        <v>Vencida</v>
      </c>
    </row>
    <row r="808" spans="1:16" x14ac:dyDescent="0.3">
      <c r="A808" s="58" t="s">
        <v>1098</v>
      </c>
      <c r="B808" s="56" t="s">
        <v>114</v>
      </c>
      <c r="C808" s="50" t="str">
        <f>_xlfn.XLOOKUP(B808,CLIENTES!$A$2:$A$301,CLIENTES!$B$2:$B$301)</f>
        <v>Mariana López</v>
      </c>
      <c r="D808" s="60">
        <v>45231</v>
      </c>
      <c r="E808" s="60">
        <f t="shared" si="36"/>
        <v>45597</v>
      </c>
      <c r="F808" s="50" t="s">
        <v>1596</v>
      </c>
      <c r="G808" s="56" t="s">
        <v>1601</v>
      </c>
      <c r="H808" s="47">
        <v>55</v>
      </c>
      <c r="I808" s="60">
        <v>25945</v>
      </c>
      <c r="J808" s="56" t="s">
        <v>1609</v>
      </c>
      <c r="K808" s="56">
        <v>2018</v>
      </c>
      <c r="L808" s="52">
        <f t="shared" si="37"/>
        <v>19470.170833333334</v>
      </c>
      <c r="M808" s="56">
        <f>LISTAS!$B$22*_xlfn.XLOOKUP(G808,LISTAS!$B$27:$B$36,LISTAS!$A$27:$A$36)*_xlfn.XLOOKUP(H808,LISTAS!$B$38:$B$47,LISTAS!$A$38:$A$47,,-1)*_xlfn.XLOOKUP(J808,LISTAS!$E$26:$H$26,LISTAS!$E$48:$H$48)*_xlfn.XLOOKUP(F808,LISTAS!$A$15:$A$18,LISTAS!$H$15:$H$18)</f>
        <v>1.9549999999999998E-2</v>
      </c>
      <c r="N808" s="54" cm="1">
        <f t="array" ref="N808">_xlfn.XLOOKUP(K808,LISTAS!$D$27:$D$47,_xlfn.XLOOKUP(J808,LISTAS!$E$26:$H$26,LISTAS!$E$27:$H$47))</f>
        <v>11951000</v>
      </c>
      <c r="O808" s="56" t="s">
        <v>1626</v>
      </c>
      <c r="P808" s="76" t="str">
        <f t="shared" ca="1" si="38"/>
        <v>Vencida</v>
      </c>
    </row>
    <row r="809" spans="1:16" x14ac:dyDescent="0.3">
      <c r="A809" s="58" t="s">
        <v>1099</v>
      </c>
      <c r="B809" s="56" t="s">
        <v>222</v>
      </c>
      <c r="C809" s="50" t="str">
        <f>_xlfn.XLOOKUP(B809,CLIENTES!$A$2:$A$301,CLIENTES!$B$2:$B$301)</f>
        <v>Mateo Rodríguez</v>
      </c>
      <c r="D809" s="60">
        <v>45556</v>
      </c>
      <c r="E809" s="60">
        <f t="shared" si="36"/>
        <v>45921</v>
      </c>
      <c r="F809" s="50" t="s">
        <v>1596</v>
      </c>
      <c r="G809" s="56" t="s">
        <v>1600</v>
      </c>
      <c r="H809" s="47">
        <v>43</v>
      </c>
      <c r="I809" s="60">
        <v>30236</v>
      </c>
      <c r="J809" s="56" t="s">
        <v>1612</v>
      </c>
      <c r="K809" s="56">
        <v>2021</v>
      </c>
      <c r="L809" s="52">
        <f t="shared" si="37"/>
        <v>32987.778031249996</v>
      </c>
      <c r="M809" s="56">
        <f>LISTAS!$B$22*_xlfn.XLOOKUP(G809,LISTAS!$B$27:$B$36,LISTAS!$A$27:$A$36)*_xlfn.XLOOKUP(H809,LISTAS!$B$38:$B$47,LISTAS!$A$38:$A$47,,-1)*_xlfn.XLOOKUP(J809,LISTAS!$E$26:$H$26,LISTAS!$E$48:$H$48)*_xlfn.XLOOKUP(F809,LISTAS!$A$15:$A$18,LISTAS!$H$15:$H$18)</f>
        <v>1.9501124999999998E-2</v>
      </c>
      <c r="N809" s="54" cm="1">
        <f t="array" ref="N809">_xlfn.XLOOKUP(K809,LISTAS!$D$27:$D$47,_xlfn.XLOOKUP(J809,LISTAS!$E$26:$H$26,LISTAS!$E$27:$H$47))</f>
        <v>20299000</v>
      </c>
      <c r="O809" s="56" t="s">
        <v>1623</v>
      </c>
      <c r="P809" s="76" t="str">
        <f t="shared" ca="1" si="38"/>
        <v>Vencida</v>
      </c>
    </row>
    <row r="810" spans="1:16" x14ac:dyDescent="0.3">
      <c r="A810" s="58" t="s">
        <v>1100</v>
      </c>
      <c r="B810" s="56" t="s">
        <v>9</v>
      </c>
      <c r="C810" s="50" t="str">
        <f>_xlfn.XLOOKUP(B810,CLIENTES!$A$2:$A$301,CLIENTES!$B$2:$B$301)</f>
        <v>Fernando Pereyra</v>
      </c>
      <c r="D810" s="60">
        <v>44824</v>
      </c>
      <c r="E810" s="60">
        <f t="shared" si="36"/>
        <v>45189</v>
      </c>
      <c r="F810" s="50" t="s">
        <v>1597</v>
      </c>
      <c r="G810" s="56" t="s">
        <v>1605</v>
      </c>
      <c r="H810" s="47">
        <v>23</v>
      </c>
      <c r="I810" s="60">
        <v>37510</v>
      </c>
      <c r="J810" s="56" t="s">
        <v>1610</v>
      </c>
      <c r="K810" s="56">
        <v>2025</v>
      </c>
      <c r="L810" s="52">
        <f t="shared" si="37"/>
        <v>90169.200000000026</v>
      </c>
      <c r="M810" s="56">
        <f>LISTAS!$B$22*_xlfn.XLOOKUP(G810,LISTAS!$B$27:$B$36,LISTAS!$A$27:$A$36)*_xlfn.XLOOKUP(H810,LISTAS!$B$38:$B$47,LISTAS!$A$38:$A$47,,-1)*_xlfn.XLOOKUP(J810,LISTAS!$E$26:$H$26,LISTAS!$E$48:$H$48)*_xlfn.XLOOKUP(F810,LISTAS!$A$15:$A$18,LISTAS!$H$15:$H$18)</f>
        <v>2.9403000000000009E-2</v>
      </c>
      <c r="N810" s="54" cm="1">
        <f t="array" ref="N810">_xlfn.XLOOKUP(K810,LISTAS!$D$27:$D$47,_xlfn.XLOOKUP(J810,LISTAS!$E$26:$H$26,LISTAS!$E$27:$H$47))</f>
        <v>36800000</v>
      </c>
      <c r="O810" s="56" t="s">
        <v>1625</v>
      </c>
      <c r="P810" s="76" t="str">
        <f t="shared" ca="1" si="38"/>
        <v>Vencida</v>
      </c>
    </row>
    <row r="811" spans="1:16" x14ac:dyDescent="0.3">
      <c r="A811" s="58" t="s">
        <v>1101</v>
      </c>
      <c r="B811" s="56" t="s">
        <v>247</v>
      </c>
      <c r="C811" s="50" t="str">
        <f>_xlfn.XLOOKUP(B811,CLIENTES!$A$2:$A$301,CLIENTES!$B$2:$B$301)</f>
        <v>Rodrigo Navarro</v>
      </c>
      <c r="D811" s="60">
        <v>45660</v>
      </c>
      <c r="E811" s="60">
        <f t="shared" si="36"/>
        <v>46025</v>
      </c>
      <c r="F811" s="50" t="s">
        <v>1598</v>
      </c>
      <c r="G811" s="56" t="s">
        <v>1604</v>
      </c>
      <c r="H811" s="47">
        <v>19</v>
      </c>
      <c r="I811" s="60">
        <v>38959</v>
      </c>
      <c r="J811" s="56" t="s">
        <v>1612</v>
      </c>
      <c r="K811" s="56">
        <v>2025</v>
      </c>
      <c r="L811" s="52">
        <f t="shared" si="37"/>
        <v>105487.20000000001</v>
      </c>
      <c r="M811" s="56">
        <f>LISTAS!$B$22*_xlfn.XLOOKUP(G811,LISTAS!$B$27:$B$36,LISTAS!$A$27:$A$36)*_xlfn.XLOOKUP(H811,LISTAS!$B$38:$B$47,LISTAS!$A$38:$A$47,,-1)*_xlfn.XLOOKUP(J811,LISTAS!$E$26:$H$26,LISTAS!$E$48:$H$48)*_xlfn.XLOOKUP(F811,LISTAS!$A$15:$A$18,LISTAS!$H$15:$H$18)</f>
        <v>4.2997500000000001E-2</v>
      </c>
      <c r="N811" s="54" cm="1">
        <f t="array" ref="N811">_xlfn.XLOOKUP(K811,LISTAS!$D$27:$D$47,_xlfn.XLOOKUP(J811,LISTAS!$E$26:$H$26,LISTAS!$E$27:$H$47))</f>
        <v>29440000</v>
      </c>
      <c r="O811" s="56" t="s">
        <v>1624</v>
      </c>
      <c r="P811" s="76" t="str">
        <f t="shared" ca="1" si="38"/>
        <v>Vencida</v>
      </c>
    </row>
    <row r="812" spans="1:16" x14ac:dyDescent="0.3">
      <c r="A812" s="58" t="s">
        <v>1102</v>
      </c>
      <c r="B812" s="56" t="s">
        <v>269</v>
      </c>
      <c r="C812" s="50" t="str">
        <f>_xlfn.XLOOKUP(B812,CLIENTES!$A$2:$A$301,CLIENTES!$B$2:$B$301)</f>
        <v>Agustina Quiroga</v>
      </c>
      <c r="D812" s="60">
        <v>45426</v>
      </c>
      <c r="E812" s="60">
        <f t="shared" si="36"/>
        <v>45791</v>
      </c>
      <c r="F812" s="50" t="s">
        <v>1595</v>
      </c>
      <c r="G812" s="56" t="s">
        <v>1599</v>
      </c>
      <c r="H812" s="47">
        <v>29</v>
      </c>
      <c r="I812" s="60">
        <v>35408</v>
      </c>
      <c r="J812" s="56" t="s">
        <v>1612</v>
      </c>
      <c r="K812" s="56">
        <v>2024</v>
      </c>
      <c r="L812" s="52">
        <f t="shared" si="37"/>
        <v>40730.256000000001</v>
      </c>
      <c r="M812" s="56">
        <f>LISTAS!$B$22*_xlfn.XLOOKUP(G812,LISTAS!$B$27:$B$36,LISTAS!$A$27:$A$36)*_xlfn.XLOOKUP(H812,LISTAS!$B$38:$B$47,LISTAS!$A$38:$A$47,,-1)*_xlfn.XLOOKUP(J812,LISTAS!$E$26:$H$26,LISTAS!$E$48:$H$48)*_xlfn.XLOOKUP(F812,LISTAS!$A$15:$A$18,LISTAS!$H$15:$H$18)</f>
        <v>1.8144E-2</v>
      </c>
      <c r="N812" s="54" cm="1">
        <f t="array" ref="N812">_xlfn.XLOOKUP(K812,LISTAS!$D$27:$D$47,_xlfn.XLOOKUP(J812,LISTAS!$E$26:$H$26,LISTAS!$E$27:$H$47))</f>
        <v>26938000</v>
      </c>
      <c r="O812" s="56" t="s">
        <v>1623</v>
      </c>
      <c r="P812" s="76" t="str">
        <f t="shared" ca="1" si="38"/>
        <v>Vencida</v>
      </c>
    </row>
    <row r="813" spans="1:16" x14ac:dyDescent="0.3">
      <c r="A813" s="58" t="s">
        <v>1103</v>
      </c>
      <c r="B813" s="56" t="s">
        <v>106</v>
      </c>
      <c r="C813" s="50" t="str">
        <f>_xlfn.XLOOKUP(B813,CLIENTES!$A$2:$A$301,CLIENTES!$B$2:$B$301)</f>
        <v>Maximiliano Gutiérrez</v>
      </c>
      <c r="D813" s="60">
        <v>45606</v>
      </c>
      <c r="E813" s="60">
        <f t="shared" si="36"/>
        <v>45971</v>
      </c>
      <c r="F813" s="50" t="s">
        <v>1595</v>
      </c>
      <c r="G813" s="56" t="s">
        <v>1607</v>
      </c>
      <c r="H813" s="47">
        <v>33</v>
      </c>
      <c r="I813" s="60">
        <v>34000</v>
      </c>
      <c r="J813" s="56" t="s">
        <v>1610</v>
      </c>
      <c r="K813" s="56">
        <v>2021</v>
      </c>
      <c r="L813" s="52">
        <f t="shared" si="37"/>
        <v>30702.540000000005</v>
      </c>
      <c r="M813" s="56">
        <f>LISTAS!$B$22*_xlfn.XLOOKUP(G813,LISTAS!$B$27:$B$36,LISTAS!$A$27:$A$36)*_xlfn.XLOOKUP(H813,LISTAS!$B$38:$B$47,LISTAS!$A$38:$A$47,,-1)*_xlfn.XLOOKUP(J813,LISTAS!$E$26:$H$26,LISTAS!$E$48:$H$48)*_xlfn.XLOOKUP(F813,LISTAS!$A$15:$A$18,LISTAS!$H$15:$H$18)</f>
        <v>1.4520000000000002E-2</v>
      </c>
      <c r="N813" s="54" cm="1">
        <f t="array" ref="N813">_xlfn.XLOOKUP(K813,LISTAS!$D$27:$D$47,_xlfn.XLOOKUP(J813,LISTAS!$E$26:$H$26,LISTAS!$E$27:$H$47))</f>
        <v>25374000</v>
      </c>
      <c r="O813" s="56" t="s">
        <v>1623</v>
      </c>
      <c r="P813" s="76" t="str">
        <f t="shared" ca="1" si="38"/>
        <v>Vencida</v>
      </c>
    </row>
    <row r="814" spans="1:16" x14ac:dyDescent="0.3">
      <c r="A814" s="58" t="s">
        <v>1104</v>
      </c>
      <c r="B814" s="56" t="s">
        <v>74</v>
      </c>
      <c r="C814" s="50" t="str">
        <f>_xlfn.XLOOKUP(B814,CLIENTES!$A$2:$A$301,CLIENTES!$B$2:$B$301)</f>
        <v>Federico Flores</v>
      </c>
      <c r="D814" s="60">
        <v>46139</v>
      </c>
      <c r="E814" s="60">
        <f t="shared" si="36"/>
        <v>46504</v>
      </c>
      <c r="F814" s="50" t="s">
        <v>1595</v>
      </c>
      <c r="G814" s="56" t="s">
        <v>1599</v>
      </c>
      <c r="H814" s="47">
        <v>48</v>
      </c>
      <c r="I814" s="60">
        <v>28418</v>
      </c>
      <c r="J814" s="56" t="s">
        <v>1612</v>
      </c>
      <c r="K814" s="56">
        <v>2016</v>
      </c>
      <c r="L814" s="52">
        <f t="shared" si="37"/>
        <v>15246.189</v>
      </c>
      <c r="M814" s="56">
        <f>LISTAS!$B$22*_xlfn.XLOOKUP(G814,LISTAS!$B$27:$B$36,LISTAS!$A$27:$A$36)*_xlfn.XLOOKUP(H814,LISTAS!$B$38:$B$47,LISTAS!$A$38:$A$47,,-1)*_xlfn.XLOOKUP(J814,LISTAS!$E$26:$H$26,LISTAS!$E$48:$H$48)*_xlfn.XLOOKUP(F814,LISTAS!$A$15:$A$18,LISTAS!$H$15:$H$18)</f>
        <v>1.4364000000000002E-2</v>
      </c>
      <c r="N814" s="54" cm="1">
        <f t="array" ref="N814">_xlfn.XLOOKUP(K814,LISTAS!$D$27:$D$47,_xlfn.XLOOKUP(J814,LISTAS!$E$26:$H$26,LISTAS!$E$27:$H$47))</f>
        <v>12737000</v>
      </c>
      <c r="O814" s="56" t="s">
        <v>1624</v>
      </c>
      <c r="P814" s="76" t="str">
        <f t="shared" ca="1" si="38"/>
        <v>Vigente</v>
      </c>
    </row>
    <row r="815" spans="1:16" x14ac:dyDescent="0.3">
      <c r="A815" s="58" t="s">
        <v>1105</v>
      </c>
      <c r="B815" s="56" t="s">
        <v>193</v>
      </c>
      <c r="C815" s="50" t="str">
        <f>_xlfn.XLOOKUP(B815,CLIENTES!$A$2:$A$301,CLIENTES!$B$2:$B$301)</f>
        <v>Maximiliano Benítez</v>
      </c>
      <c r="D815" s="60">
        <v>45961</v>
      </c>
      <c r="E815" s="60">
        <f t="shared" si="36"/>
        <v>46326</v>
      </c>
      <c r="F815" s="50" t="s">
        <v>1596</v>
      </c>
      <c r="G815" s="56" t="s">
        <v>1603</v>
      </c>
      <c r="H815" s="47">
        <v>58</v>
      </c>
      <c r="I815" s="60">
        <v>24828</v>
      </c>
      <c r="J815" s="56" t="s">
        <v>1609</v>
      </c>
      <c r="K815" s="56">
        <v>2026</v>
      </c>
      <c r="L815" s="52">
        <f t="shared" si="37"/>
        <v>33645.833333333328</v>
      </c>
      <c r="M815" s="56">
        <f>LISTAS!$B$22*_xlfn.XLOOKUP(G815,LISTAS!$B$27:$B$36,LISTAS!$A$27:$A$36)*_xlfn.XLOOKUP(H815,LISTAS!$B$38:$B$47,LISTAS!$A$38:$A$47,,-1)*_xlfn.XLOOKUP(J815,LISTAS!$E$26:$H$26,LISTAS!$E$48:$H$48)*_xlfn.XLOOKUP(F815,LISTAS!$A$15:$A$18,LISTAS!$H$15:$H$18)</f>
        <v>1.6149999999999998E-2</v>
      </c>
      <c r="N815" s="54" cm="1">
        <f t="array" ref="N815">_xlfn.XLOOKUP(K815,LISTAS!$D$27:$D$47,_xlfn.XLOOKUP(J815,LISTAS!$E$26:$H$26,LISTAS!$E$27:$H$47))</f>
        <v>25000000</v>
      </c>
      <c r="O815" s="56" t="s">
        <v>1623</v>
      </c>
      <c r="P815" s="76" t="str">
        <f t="shared" ca="1" si="38"/>
        <v>Vigente</v>
      </c>
    </row>
    <row r="816" spans="1:16" x14ac:dyDescent="0.3">
      <c r="A816" s="58" t="s">
        <v>1106</v>
      </c>
      <c r="B816" s="56" t="s">
        <v>178</v>
      </c>
      <c r="C816" s="50" t="str">
        <f>_xlfn.XLOOKUP(B816,CLIENTES!$A$2:$A$301,CLIENTES!$B$2:$B$301)</f>
        <v>Lautaro Ortiz</v>
      </c>
      <c r="D816" s="60">
        <v>46167</v>
      </c>
      <c r="E816" s="60">
        <f t="shared" si="36"/>
        <v>46532</v>
      </c>
      <c r="F816" s="50" t="s">
        <v>1596</v>
      </c>
      <c r="G816" s="56" t="s">
        <v>1607</v>
      </c>
      <c r="H816" s="47">
        <v>79</v>
      </c>
      <c r="I816" s="60">
        <v>17225</v>
      </c>
      <c r="J816" s="56" t="s">
        <v>1612</v>
      </c>
      <c r="K816" s="56">
        <v>2024</v>
      </c>
      <c r="L816" s="52">
        <f t="shared" si="37"/>
        <v>63912.088625000004</v>
      </c>
      <c r="M816" s="56">
        <f>LISTAS!$B$22*_xlfn.XLOOKUP(G816,LISTAS!$B$27:$B$36,LISTAS!$A$27:$A$36)*_xlfn.XLOOKUP(H816,LISTAS!$B$38:$B$47,LISTAS!$A$38:$A$47,,-1)*_xlfn.XLOOKUP(J816,LISTAS!$E$26:$H$26,LISTAS!$E$48:$H$48)*_xlfn.XLOOKUP(F816,LISTAS!$A$15:$A$18,LISTAS!$H$15:$H$18)</f>
        <v>2.8470750000000003E-2</v>
      </c>
      <c r="N816" s="54" cm="1">
        <f t="array" ref="N816">_xlfn.XLOOKUP(K816,LISTAS!$D$27:$D$47,_xlfn.XLOOKUP(J816,LISTAS!$E$26:$H$26,LISTAS!$E$27:$H$47))</f>
        <v>26938000</v>
      </c>
      <c r="O816" s="56" t="s">
        <v>1623</v>
      </c>
      <c r="P816" s="76" t="str">
        <f t="shared" ca="1" si="38"/>
        <v>Vigente</v>
      </c>
    </row>
    <row r="817" spans="1:16" x14ac:dyDescent="0.3">
      <c r="A817" s="58" t="s">
        <v>1107</v>
      </c>
      <c r="B817" s="56" t="s">
        <v>237</v>
      </c>
      <c r="C817" s="50" t="str">
        <f>_xlfn.XLOOKUP(B817,CLIENTES!$A$2:$A$301,CLIENTES!$B$2:$B$301)</f>
        <v>Florencia Peralta</v>
      </c>
      <c r="D817" s="60">
        <v>45949</v>
      </c>
      <c r="E817" s="60">
        <f t="shared" si="36"/>
        <v>46314</v>
      </c>
      <c r="F817" s="50" t="s">
        <v>1596</v>
      </c>
      <c r="G817" s="56" t="s">
        <v>1602</v>
      </c>
      <c r="H817" s="47">
        <v>48</v>
      </c>
      <c r="I817" s="60">
        <v>28487</v>
      </c>
      <c r="J817" s="56" t="s">
        <v>1609</v>
      </c>
      <c r="K817" s="56">
        <v>2023</v>
      </c>
      <c r="L817" s="52">
        <f t="shared" si="37"/>
        <v>27062.756875000003</v>
      </c>
      <c r="M817" s="56">
        <f>LISTAS!$B$22*_xlfn.XLOOKUP(G817,LISTAS!$B$27:$B$36,LISTAS!$A$27:$A$36)*_xlfn.XLOOKUP(H817,LISTAS!$B$38:$B$47,LISTAS!$A$38:$A$47,,-1)*_xlfn.XLOOKUP(J817,LISTAS!$E$26:$H$26,LISTAS!$E$48:$H$48)*_xlfn.XLOOKUP(F817,LISTAS!$A$15:$A$18,LISTAS!$H$15:$H$18)</f>
        <v>1.69575E-2</v>
      </c>
      <c r="N817" s="54" cm="1">
        <f t="array" ref="N817">_xlfn.XLOOKUP(K817,LISTAS!$D$27:$D$47,_xlfn.XLOOKUP(J817,LISTAS!$E$26:$H$26,LISTAS!$E$27:$H$47))</f>
        <v>19151000</v>
      </c>
      <c r="O817" s="56" t="s">
        <v>1623</v>
      </c>
      <c r="P817" s="76" t="str">
        <f t="shared" ca="1" si="38"/>
        <v>Vigente</v>
      </c>
    </row>
    <row r="818" spans="1:16" x14ac:dyDescent="0.3">
      <c r="A818" s="58" t="s">
        <v>1108</v>
      </c>
      <c r="B818" s="56" t="s">
        <v>85</v>
      </c>
      <c r="C818" s="50" t="str">
        <f>_xlfn.XLOOKUP(B818,CLIENTES!$A$2:$A$301,CLIENTES!$B$2:$B$301)</f>
        <v>Nicolás Bravo</v>
      </c>
      <c r="D818" s="60">
        <v>45703</v>
      </c>
      <c r="E818" s="60">
        <f t="shared" si="36"/>
        <v>46068</v>
      </c>
      <c r="F818" s="50" t="s">
        <v>1596</v>
      </c>
      <c r="G818" s="56" t="s">
        <v>1607</v>
      </c>
      <c r="H818" s="47">
        <v>22</v>
      </c>
      <c r="I818" s="60">
        <v>38086</v>
      </c>
      <c r="J818" s="56" t="s">
        <v>1612</v>
      </c>
      <c r="K818" s="56">
        <v>2020</v>
      </c>
      <c r="L818" s="52">
        <f t="shared" si="37"/>
        <v>40803.493500000004</v>
      </c>
      <c r="M818" s="56">
        <f>LISTAS!$B$22*_xlfn.XLOOKUP(G818,LISTAS!$B$27:$B$36,LISTAS!$A$27:$A$36)*_xlfn.XLOOKUP(H818,LISTAS!$B$38:$B$47,LISTAS!$A$38:$A$47,,-1)*_xlfn.XLOOKUP(J818,LISTAS!$E$26:$H$26,LISTAS!$E$48:$H$48)*_xlfn.XLOOKUP(F818,LISTAS!$A$15:$A$18,LISTAS!$H$15:$H$18)</f>
        <v>2.6507250000000003E-2</v>
      </c>
      <c r="N818" s="54" cm="1">
        <f t="array" ref="N818">_xlfn.XLOOKUP(K818,LISTAS!$D$27:$D$47,_xlfn.XLOOKUP(J818,LISTAS!$E$26:$H$26,LISTAS!$E$27:$H$47))</f>
        <v>18472000</v>
      </c>
      <c r="O818" s="56" t="s">
        <v>1624</v>
      </c>
      <c r="P818" s="76" t="str">
        <f t="shared" ca="1" si="38"/>
        <v>Vencida</v>
      </c>
    </row>
    <row r="819" spans="1:16" x14ac:dyDescent="0.3">
      <c r="A819" s="58" t="s">
        <v>1109</v>
      </c>
      <c r="B819" s="56" t="s">
        <v>229</v>
      </c>
      <c r="C819" s="50" t="str">
        <f>_xlfn.XLOOKUP(B819,CLIENTES!$A$2:$A$301,CLIENTES!$B$2:$B$301)</f>
        <v>Martín González</v>
      </c>
      <c r="D819" s="60">
        <v>45292</v>
      </c>
      <c r="E819" s="60">
        <f t="shared" si="36"/>
        <v>45658</v>
      </c>
      <c r="F819" s="50" t="s">
        <v>1595</v>
      </c>
      <c r="G819" s="56" t="s">
        <v>1608</v>
      </c>
      <c r="H819" s="47">
        <v>52</v>
      </c>
      <c r="I819" s="60">
        <v>26998</v>
      </c>
      <c r="J819" s="56" t="s">
        <v>1609</v>
      </c>
      <c r="K819" s="56">
        <v>2017</v>
      </c>
      <c r="L819" s="52">
        <f t="shared" si="37"/>
        <v>10331.249999999998</v>
      </c>
      <c r="M819" s="56">
        <f>LISTAS!$B$22*_xlfn.XLOOKUP(G819,LISTAS!$B$27:$B$36,LISTAS!$A$27:$A$36)*_xlfn.XLOOKUP(H819,LISTAS!$B$38:$B$47,LISTAS!$A$38:$A$47,,-1)*_xlfn.XLOOKUP(J819,LISTAS!$E$26:$H$26,LISTAS!$E$48:$H$48)*_xlfn.XLOOKUP(F819,LISTAS!$A$15:$A$18,LISTAS!$H$15:$H$18)</f>
        <v>1.1399999999999999E-2</v>
      </c>
      <c r="N819" s="54" cm="1">
        <f t="array" ref="N819">_xlfn.XLOOKUP(K819,LISTAS!$D$27:$D$47,_xlfn.XLOOKUP(J819,LISTAS!$E$26:$H$26,LISTAS!$E$27:$H$47))</f>
        <v>10875000</v>
      </c>
      <c r="O819" s="56" t="s">
        <v>1623</v>
      </c>
      <c r="P819" s="76" t="str">
        <f t="shared" ca="1" si="38"/>
        <v>Vencida</v>
      </c>
    </row>
    <row r="820" spans="1:16" x14ac:dyDescent="0.3">
      <c r="A820" s="58" t="s">
        <v>1110</v>
      </c>
      <c r="B820" s="56" t="s">
        <v>92</v>
      </c>
      <c r="C820" s="50" t="str">
        <f>_xlfn.XLOOKUP(B820,CLIENTES!$A$2:$A$301,CLIENTES!$B$2:$B$301)</f>
        <v>Rodrigo Méndez</v>
      </c>
      <c r="D820" s="60">
        <v>45668</v>
      </c>
      <c r="E820" s="60">
        <f t="shared" si="36"/>
        <v>46033</v>
      </c>
      <c r="F820" s="50" t="s">
        <v>1595</v>
      </c>
      <c r="G820" s="56" t="s">
        <v>1601</v>
      </c>
      <c r="H820" s="47">
        <v>70</v>
      </c>
      <c r="I820" s="60">
        <v>20472</v>
      </c>
      <c r="J820" s="56" t="s">
        <v>1609</v>
      </c>
      <c r="K820" s="56">
        <v>2023</v>
      </c>
      <c r="L820" s="52">
        <f t="shared" si="37"/>
        <v>30833.11</v>
      </c>
      <c r="M820" s="56">
        <f>LISTAS!$B$22*_xlfn.XLOOKUP(G820,LISTAS!$B$27:$B$36,LISTAS!$A$27:$A$36)*_xlfn.XLOOKUP(H820,LISTAS!$B$38:$B$47,LISTAS!$A$38:$A$47,,-1)*_xlfn.XLOOKUP(J820,LISTAS!$E$26:$H$26,LISTAS!$E$48:$H$48)*_xlfn.XLOOKUP(F820,LISTAS!$A$15:$A$18,LISTAS!$H$15:$H$18)</f>
        <v>1.932E-2</v>
      </c>
      <c r="N820" s="54" cm="1">
        <f t="array" ref="N820">_xlfn.XLOOKUP(K820,LISTAS!$D$27:$D$47,_xlfn.XLOOKUP(J820,LISTAS!$E$26:$H$26,LISTAS!$E$27:$H$47))</f>
        <v>19151000</v>
      </c>
      <c r="O820" s="56" t="s">
        <v>1623</v>
      </c>
      <c r="P820" s="76" t="str">
        <f t="shared" ca="1" si="38"/>
        <v>Vencida</v>
      </c>
    </row>
    <row r="821" spans="1:16" x14ac:dyDescent="0.3">
      <c r="A821" s="58" t="s">
        <v>1111</v>
      </c>
      <c r="B821" s="56" t="s">
        <v>115</v>
      </c>
      <c r="C821" s="50" t="str">
        <f>_xlfn.XLOOKUP(B821,CLIENTES!$A$2:$A$301,CLIENTES!$B$2:$B$301)</f>
        <v>Martín Pérez</v>
      </c>
      <c r="D821" s="60">
        <v>45624</v>
      </c>
      <c r="E821" s="60">
        <f t="shared" si="36"/>
        <v>45989</v>
      </c>
      <c r="F821" s="50" t="s">
        <v>1598</v>
      </c>
      <c r="G821" s="56" t="s">
        <v>1604</v>
      </c>
      <c r="H821" s="47">
        <v>25</v>
      </c>
      <c r="I821" s="60">
        <v>37104</v>
      </c>
      <c r="J821" s="56" t="s">
        <v>1611</v>
      </c>
      <c r="K821" s="56">
        <v>2023</v>
      </c>
      <c r="L821" s="52">
        <f t="shared" si="37"/>
        <v>108224.844</v>
      </c>
      <c r="M821" s="56">
        <f>LISTAS!$B$22*_xlfn.XLOOKUP(G821,LISTAS!$B$27:$B$36,LISTAS!$A$27:$A$36)*_xlfn.XLOOKUP(H821,LISTAS!$B$38:$B$47,LISTAS!$A$38:$A$47,,-1)*_xlfn.XLOOKUP(J821,LISTAS!$E$26:$H$26,LISTAS!$E$48:$H$48)*_xlfn.XLOOKUP(F821,LISTAS!$A$15:$A$18,LISTAS!$H$15:$H$18)</f>
        <v>3.7673999999999999E-2</v>
      </c>
      <c r="N821" s="54" cm="1">
        <f t="array" ref="N821">_xlfn.XLOOKUP(K821,LISTAS!$D$27:$D$47,_xlfn.XLOOKUP(J821,LISTAS!$E$26:$H$26,LISTAS!$E$27:$H$47))</f>
        <v>34472000</v>
      </c>
      <c r="O821" s="56" t="s">
        <v>1626</v>
      </c>
      <c r="P821" s="76" t="str">
        <f t="shared" ca="1" si="38"/>
        <v>Vencida</v>
      </c>
    </row>
    <row r="822" spans="1:16" x14ac:dyDescent="0.3">
      <c r="A822" s="58" t="s">
        <v>1112</v>
      </c>
      <c r="B822" s="56" t="s">
        <v>125</v>
      </c>
      <c r="C822" s="50" t="str">
        <f>_xlfn.XLOOKUP(B822,CLIENTES!$A$2:$A$301,CLIENTES!$B$2:$B$301)</f>
        <v>Martín Ruiz</v>
      </c>
      <c r="D822" s="60">
        <v>44442</v>
      </c>
      <c r="E822" s="60">
        <f t="shared" si="36"/>
        <v>44807</v>
      </c>
      <c r="F822" s="50" t="s">
        <v>1596</v>
      </c>
      <c r="G822" s="56" t="s">
        <v>1607</v>
      </c>
      <c r="H822" s="47">
        <v>54</v>
      </c>
      <c r="I822" s="60">
        <v>26360</v>
      </c>
      <c r="J822" s="56" t="s">
        <v>1612</v>
      </c>
      <c r="K822" s="56">
        <v>2014</v>
      </c>
      <c r="L822" s="52">
        <f t="shared" si="37"/>
        <v>17640.411250000001</v>
      </c>
      <c r="M822" s="56">
        <f>LISTAS!$B$22*_xlfn.XLOOKUP(G822,LISTAS!$B$27:$B$36,LISTAS!$A$27:$A$36)*_xlfn.XLOOKUP(H822,LISTAS!$B$38:$B$47,LISTAS!$A$38:$A$47,,-1)*_xlfn.XLOOKUP(J822,LISTAS!$E$26:$H$26,LISTAS!$E$48:$H$48)*_xlfn.XLOOKUP(F822,LISTAS!$A$15:$A$18,LISTAS!$H$15:$H$18)</f>
        <v>1.9635000000000003E-2</v>
      </c>
      <c r="N822" s="54" cm="1">
        <f t="array" ref="N822">_xlfn.XLOOKUP(K822,LISTAS!$D$27:$D$47,_xlfn.XLOOKUP(J822,LISTAS!$E$26:$H$26,LISTAS!$E$27:$H$47))</f>
        <v>10781000</v>
      </c>
      <c r="O822" s="56" t="s">
        <v>1624</v>
      </c>
      <c r="P822" s="76" t="str">
        <f t="shared" ca="1" si="38"/>
        <v>Vencida</v>
      </c>
    </row>
    <row r="823" spans="1:16" x14ac:dyDescent="0.3">
      <c r="A823" s="58" t="s">
        <v>1113</v>
      </c>
      <c r="B823" s="56" t="s">
        <v>164</v>
      </c>
      <c r="C823" s="50" t="str">
        <f>_xlfn.XLOOKUP(B823,CLIENTES!$A$2:$A$301,CLIENTES!$B$2:$B$301)</f>
        <v>Julieta Ferreyra</v>
      </c>
      <c r="D823" s="60">
        <v>44522</v>
      </c>
      <c r="E823" s="60">
        <f t="shared" si="36"/>
        <v>44887</v>
      </c>
      <c r="F823" s="50" t="s">
        <v>1598</v>
      </c>
      <c r="G823" s="56" t="s">
        <v>1607</v>
      </c>
      <c r="H823" s="47">
        <v>34</v>
      </c>
      <c r="I823" s="60">
        <v>33630</v>
      </c>
      <c r="J823" s="56" t="s">
        <v>1611</v>
      </c>
      <c r="K823" s="56">
        <v>2017</v>
      </c>
      <c r="L823" s="52">
        <f t="shared" si="37"/>
        <v>53651.8125</v>
      </c>
      <c r="M823" s="56">
        <f>LISTAS!$B$22*_xlfn.XLOOKUP(G823,LISTAS!$B$27:$B$36,LISTAS!$A$27:$A$36)*_xlfn.XLOOKUP(H823,LISTAS!$B$38:$B$47,LISTAS!$A$38:$A$47,,-1)*_xlfn.XLOOKUP(J823,LISTAS!$E$26:$H$26,LISTAS!$E$48:$H$48)*_xlfn.XLOOKUP(F823,LISTAS!$A$15:$A$18,LISTAS!$H$15:$H$18)</f>
        <v>3.2890000000000003E-2</v>
      </c>
      <c r="N823" s="54" cm="1">
        <f t="array" ref="N823">_xlfn.XLOOKUP(K823,LISTAS!$D$27:$D$47,_xlfn.XLOOKUP(J823,LISTAS!$E$26:$H$26,LISTAS!$E$27:$H$47))</f>
        <v>19575000</v>
      </c>
      <c r="O823" s="56" t="s">
        <v>1623</v>
      </c>
      <c r="P823" s="76" t="str">
        <f t="shared" ca="1" si="38"/>
        <v>Vencida</v>
      </c>
    </row>
    <row r="824" spans="1:16" x14ac:dyDescent="0.3">
      <c r="A824" s="58" t="s">
        <v>1114</v>
      </c>
      <c r="B824" s="56" t="s">
        <v>247</v>
      </c>
      <c r="C824" s="50" t="str">
        <f>_xlfn.XLOOKUP(B824,CLIENTES!$A$2:$A$301,CLIENTES!$B$2:$B$301)</f>
        <v>Rodrigo Navarro</v>
      </c>
      <c r="D824" s="60">
        <v>44522</v>
      </c>
      <c r="E824" s="60">
        <f t="shared" si="36"/>
        <v>44887</v>
      </c>
      <c r="F824" s="50" t="s">
        <v>1597</v>
      </c>
      <c r="G824" s="56" t="s">
        <v>1606</v>
      </c>
      <c r="H824" s="47">
        <v>72</v>
      </c>
      <c r="I824" s="60">
        <v>19695</v>
      </c>
      <c r="J824" s="56" t="s">
        <v>1612</v>
      </c>
      <c r="K824" s="56">
        <v>2010</v>
      </c>
      <c r="L824" s="52">
        <f t="shared" si="37"/>
        <v>21500.710000000003</v>
      </c>
      <c r="M824" s="56">
        <f>LISTAS!$B$22*_xlfn.XLOOKUP(G824,LISTAS!$B$27:$B$36,LISTAS!$A$27:$A$36)*_xlfn.XLOOKUP(H824,LISTAS!$B$38:$B$47,LISTAS!$A$38:$A$47,,-1)*_xlfn.XLOOKUP(J824,LISTAS!$E$26:$H$26,LISTAS!$E$48:$H$48)*_xlfn.XLOOKUP(F824,LISTAS!$A$15:$A$18,LISTAS!$H$15:$H$18)</f>
        <v>3.2340000000000001E-2</v>
      </c>
      <c r="N824" s="54" cm="1">
        <f t="array" ref="N824">_xlfn.XLOOKUP(K824,LISTAS!$D$27:$D$47,_xlfn.XLOOKUP(J824,LISTAS!$E$26:$H$26,LISTAS!$E$27:$H$47))</f>
        <v>7978000</v>
      </c>
      <c r="O824" s="56" t="s">
        <v>1623</v>
      </c>
      <c r="P824" s="76" t="str">
        <f t="shared" ca="1" si="38"/>
        <v>Vencida</v>
      </c>
    </row>
    <row r="825" spans="1:16" x14ac:dyDescent="0.3">
      <c r="A825" s="58" t="s">
        <v>1115</v>
      </c>
      <c r="B825" s="56" t="s">
        <v>83</v>
      </c>
      <c r="C825" s="50" t="str">
        <f>_xlfn.XLOOKUP(B825,CLIENTES!$A$2:$A$301,CLIENTES!$B$2:$B$301)</f>
        <v>Valentina Cabrera</v>
      </c>
      <c r="D825" s="60">
        <v>44949</v>
      </c>
      <c r="E825" s="60">
        <f t="shared" si="36"/>
        <v>45314</v>
      </c>
      <c r="F825" s="50" t="s">
        <v>1596</v>
      </c>
      <c r="G825" s="56" t="s">
        <v>1607</v>
      </c>
      <c r="H825" s="47">
        <v>54</v>
      </c>
      <c r="I825" s="60">
        <v>26231</v>
      </c>
      <c r="J825" s="56" t="s">
        <v>1609</v>
      </c>
      <c r="K825" s="56">
        <v>2023</v>
      </c>
      <c r="L825" s="52">
        <f t="shared" si="37"/>
        <v>29843.641666666666</v>
      </c>
      <c r="M825" s="56">
        <f>LISTAS!$B$22*_xlfn.XLOOKUP(G825,LISTAS!$B$27:$B$36,LISTAS!$A$27:$A$36)*_xlfn.XLOOKUP(H825,LISTAS!$B$38:$B$47,LISTAS!$A$38:$A$47,,-1)*_xlfn.XLOOKUP(J825,LISTAS!$E$26:$H$26,LISTAS!$E$48:$H$48)*_xlfn.XLOOKUP(F825,LISTAS!$A$15:$A$18,LISTAS!$H$15:$H$18)</f>
        <v>1.8700000000000001E-2</v>
      </c>
      <c r="N825" s="54" cm="1">
        <f t="array" ref="N825">_xlfn.XLOOKUP(K825,LISTAS!$D$27:$D$47,_xlfn.XLOOKUP(J825,LISTAS!$E$26:$H$26,LISTAS!$E$27:$H$47))</f>
        <v>19151000</v>
      </c>
      <c r="O825" s="56" t="s">
        <v>1625</v>
      </c>
      <c r="P825" s="76" t="str">
        <f t="shared" ca="1" si="38"/>
        <v>Vencida</v>
      </c>
    </row>
    <row r="826" spans="1:16" x14ac:dyDescent="0.3">
      <c r="A826" s="58" t="s">
        <v>1116</v>
      </c>
      <c r="B826" s="56" t="s">
        <v>85</v>
      </c>
      <c r="C826" s="50" t="str">
        <f>_xlfn.XLOOKUP(B826,CLIENTES!$A$2:$A$301,CLIENTES!$B$2:$B$301)</f>
        <v>Nicolás Bravo</v>
      </c>
      <c r="D826" s="60">
        <v>44856</v>
      </c>
      <c r="E826" s="60">
        <f t="shared" si="36"/>
        <v>45221</v>
      </c>
      <c r="F826" s="50" t="s">
        <v>1597</v>
      </c>
      <c r="G826" s="56" t="s">
        <v>1605</v>
      </c>
      <c r="H826" s="47">
        <v>71</v>
      </c>
      <c r="I826" s="60">
        <v>20084</v>
      </c>
      <c r="J826" s="56" t="s">
        <v>1610</v>
      </c>
      <c r="K826" s="56">
        <v>2024</v>
      </c>
      <c r="L826" s="52">
        <f t="shared" si="37"/>
        <v>85560.552000000011</v>
      </c>
      <c r="M826" s="56">
        <f>LISTAS!$B$22*_xlfn.XLOOKUP(G826,LISTAS!$B$27:$B$36,LISTAS!$A$27:$A$36)*_xlfn.XLOOKUP(H826,LISTAS!$B$38:$B$47,LISTAS!$A$38:$A$47,,-1)*_xlfn.XLOOKUP(J826,LISTAS!$E$26:$H$26,LISTAS!$E$48:$H$48)*_xlfn.XLOOKUP(F826,LISTAS!$A$15:$A$18,LISTAS!$H$15:$H$18)</f>
        <v>3.0492000000000005E-2</v>
      </c>
      <c r="N826" s="54" cm="1">
        <f t="array" ref="N826">_xlfn.XLOOKUP(K826,LISTAS!$D$27:$D$47,_xlfn.XLOOKUP(J826,LISTAS!$E$26:$H$26,LISTAS!$E$27:$H$47))</f>
        <v>33672000</v>
      </c>
      <c r="O826" s="56" t="s">
        <v>1623</v>
      </c>
      <c r="P826" s="76" t="str">
        <f t="shared" ca="1" si="38"/>
        <v>Vencida</v>
      </c>
    </row>
    <row r="827" spans="1:16" x14ac:dyDescent="0.3">
      <c r="A827" s="58" t="s">
        <v>1117</v>
      </c>
      <c r="B827" s="56" t="s">
        <v>96</v>
      </c>
      <c r="C827" s="50" t="str">
        <f>_xlfn.XLOOKUP(B827,CLIENTES!$A$2:$A$301,CLIENTES!$B$2:$B$301)</f>
        <v>Lautaro Rojas</v>
      </c>
      <c r="D827" s="60">
        <v>45682</v>
      </c>
      <c r="E827" s="60">
        <f t="shared" si="36"/>
        <v>46047</v>
      </c>
      <c r="F827" s="50" t="s">
        <v>1597</v>
      </c>
      <c r="G827" s="56" t="s">
        <v>1601</v>
      </c>
      <c r="H827" s="47">
        <v>67</v>
      </c>
      <c r="I827" s="60">
        <v>21564</v>
      </c>
      <c r="J827" s="56" t="s">
        <v>1611</v>
      </c>
      <c r="K827" s="56">
        <v>2022</v>
      </c>
      <c r="L827" s="52">
        <f t="shared" si="37"/>
        <v>87465.267770833321</v>
      </c>
      <c r="M827" s="56">
        <f>LISTAS!$B$22*_xlfn.XLOOKUP(G827,LISTAS!$B$27:$B$36,LISTAS!$A$27:$A$36)*_xlfn.XLOOKUP(H827,LISTAS!$B$38:$B$47,LISTAS!$A$38:$A$47,,-1)*_xlfn.XLOOKUP(J827,LISTAS!$E$26:$H$26,LISTAS!$E$48:$H$48)*_xlfn.XLOOKUP(F827,LISTAS!$A$15:$A$18,LISTAS!$H$15:$H$18)</f>
        <v>3.3459249999999996E-2</v>
      </c>
      <c r="N827" s="54" cm="1">
        <f t="array" ref="N827">_xlfn.XLOOKUP(K827,LISTAS!$D$27:$D$47,_xlfn.XLOOKUP(J827,LISTAS!$E$26:$H$26,LISTAS!$E$27:$H$47))</f>
        <v>31369000</v>
      </c>
      <c r="O827" s="56" t="s">
        <v>1623</v>
      </c>
      <c r="P827" s="76" t="str">
        <f t="shared" ca="1" si="38"/>
        <v>Vencida</v>
      </c>
    </row>
    <row r="828" spans="1:16" x14ac:dyDescent="0.3">
      <c r="A828" s="58" t="s">
        <v>1118</v>
      </c>
      <c r="B828" s="56" t="s">
        <v>219</v>
      </c>
      <c r="C828" s="50" t="str">
        <f>_xlfn.XLOOKUP(B828,CLIENTES!$A$2:$A$301,CLIENTES!$B$2:$B$301)</f>
        <v>Joaquín Pereyra</v>
      </c>
      <c r="D828" s="60">
        <v>45099</v>
      </c>
      <c r="E828" s="60">
        <f t="shared" si="36"/>
        <v>45465</v>
      </c>
      <c r="F828" s="50" t="s">
        <v>1596</v>
      </c>
      <c r="G828" s="56" t="s">
        <v>1600</v>
      </c>
      <c r="H828" s="47">
        <v>26</v>
      </c>
      <c r="I828" s="60">
        <v>36692</v>
      </c>
      <c r="J828" s="56" t="s">
        <v>1610</v>
      </c>
      <c r="K828" s="56">
        <v>2019</v>
      </c>
      <c r="L828" s="52">
        <f t="shared" si="37"/>
        <v>45186.306000000004</v>
      </c>
      <c r="M828" s="56">
        <f>LISTAS!$B$22*_xlfn.XLOOKUP(G828,LISTAS!$B$27:$B$36,LISTAS!$A$27:$A$36)*_xlfn.XLOOKUP(H828,LISTAS!$B$38:$B$47,LISTAS!$A$38:$A$47,,-1)*_xlfn.XLOOKUP(J828,LISTAS!$E$26:$H$26,LISTAS!$E$48:$H$48)*_xlfn.XLOOKUP(F828,LISTAS!$A$15:$A$18,LISTAS!$H$15:$H$18)</f>
        <v>2.5805999999999999E-2</v>
      </c>
      <c r="N828" s="54" cm="1">
        <f t="array" ref="N828">_xlfn.XLOOKUP(K828,LISTAS!$D$27:$D$47,_xlfn.XLOOKUP(J828,LISTAS!$E$26:$H$26,LISTAS!$E$27:$H$47))</f>
        <v>21012000</v>
      </c>
      <c r="O828" s="56" t="s">
        <v>1624</v>
      </c>
      <c r="P828" s="76" t="str">
        <f t="shared" ca="1" si="38"/>
        <v>Vencida</v>
      </c>
    </row>
    <row r="829" spans="1:16" x14ac:dyDescent="0.3">
      <c r="A829" s="58" t="s">
        <v>1119</v>
      </c>
      <c r="B829" s="56" t="s">
        <v>29</v>
      </c>
      <c r="C829" s="50" t="str">
        <f>_xlfn.XLOOKUP(B829,CLIENTES!$A$2:$A$301,CLIENTES!$B$2:$B$301)</f>
        <v>Malena Vázquez</v>
      </c>
      <c r="D829" s="60">
        <v>45118</v>
      </c>
      <c r="E829" s="60">
        <f t="shared" si="36"/>
        <v>45484</v>
      </c>
      <c r="F829" s="50" t="s">
        <v>1597</v>
      </c>
      <c r="G829" s="56" t="s">
        <v>1601</v>
      </c>
      <c r="H829" s="47">
        <v>27</v>
      </c>
      <c r="I829" s="60">
        <v>36309</v>
      </c>
      <c r="J829" s="56" t="s">
        <v>1611</v>
      </c>
      <c r="K829" s="56">
        <v>2025</v>
      </c>
      <c r="L829" s="52">
        <f t="shared" si="37"/>
        <v>120453.3</v>
      </c>
      <c r="M829" s="56">
        <f>LISTAS!$B$22*_xlfn.XLOOKUP(G829,LISTAS!$B$27:$B$36,LISTAS!$A$27:$A$36)*_xlfn.XLOOKUP(H829,LISTAS!$B$38:$B$47,LISTAS!$A$38:$A$47,,-1)*_xlfn.XLOOKUP(J829,LISTAS!$E$26:$H$26,LISTAS!$E$48:$H$48)*_xlfn.XLOOKUP(F829,LISTAS!$A$15:$A$18,LISTAS!$H$15:$H$18)</f>
        <v>3.4914000000000001E-2</v>
      </c>
      <c r="N829" s="54" cm="1">
        <f t="array" ref="N829">_xlfn.XLOOKUP(K829,LISTAS!$D$27:$D$47,_xlfn.XLOOKUP(J829,LISTAS!$E$26:$H$26,LISTAS!$E$27:$H$47))</f>
        <v>41400000</v>
      </c>
      <c r="O829" s="56" t="s">
        <v>1626</v>
      </c>
      <c r="P829" s="76" t="str">
        <f t="shared" ca="1" si="38"/>
        <v>Vencida</v>
      </c>
    </row>
    <row r="830" spans="1:16" x14ac:dyDescent="0.3">
      <c r="A830" s="58" t="s">
        <v>1120</v>
      </c>
      <c r="B830" s="56" t="s">
        <v>177</v>
      </c>
      <c r="C830" s="50" t="str">
        <f>_xlfn.XLOOKUP(B830,CLIENTES!$A$2:$A$301,CLIENTES!$B$2:$B$301)</f>
        <v>Lucía Navarro</v>
      </c>
      <c r="D830" s="60">
        <v>44897</v>
      </c>
      <c r="E830" s="60">
        <f t="shared" si="36"/>
        <v>45262</v>
      </c>
      <c r="F830" s="50" t="s">
        <v>1597</v>
      </c>
      <c r="G830" s="56" t="s">
        <v>1602</v>
      </c>
      <c r="H830" s="47">
        <v>47</v>
      </c>
      <c r="I830" s="60">
        <v>28916</v>
      </c>
      <c r="J830" s="56" t="s">
        <v>1609</v>
      </c>
      <c r="K830" s="56">
        <v>2022</v>
      </c>
      <c r="L830" s="52">
        <f t="shared" si="37"/>
        <v>31869.626250000001</v>
      </c>
      <c r="M830" s="56">
        <f>LISTAS!$B$22*_xlfn.XLOOKUP(G830,LISTAS!$B$27:$B$36,LISTAS!$A$27:$A$36)*_xlfn.XLOOKUP(H830,LISTAS!$B$38:$B$47,LISTAS!$A$38:$A$47,,-1)*_xlfn.XLOOKUP(J830,LISTAS!$E$26:$H$26,LISTAS!$E$48:$H$48)*_xlfn.XLOOKUP(F830,LISTAS!$A$15:$A$18,LISTAS!$H$15:$H$18)</f>
        <v>2.1944999999999999E-2</v>
      </c>
      <c r="N830" s="54" cm="1">
        <f t="array" ref="N830">_xlfn.XLOOKUP(K830,LISTAS!$D$27:$D$47,_xlfn.XLOOKUP(J830,LISTAS!$E$26:$H$26,LISTAS!$E$27:$H$47))</f>
        <v>17427000</v>
      </c>
      <c r="O830" s="56" t="s">
        <v>1623</v>
      </c>
      <c r="P830" s="76" t="str">
        <f t="shared" ca="1" si="38"/>
        <v>Vencida</v>
      </c>
    </row>
    <row r="831" spans="1:16" x14ac:dyDescent="0.3">
      <c r="A831" s="58" t="s">
        <v>1121</v>
      </c>
      <c r="B831" s="56" t="s">
        <v>176</v>
      </c>
      <c r="C831" s="50" t="str">
        <f>_xlfn.XLOOKUP(B831,CLIENTES!$A$2:$A$301,CLIENTES!$B$2:$B$301)</f>
        <v>Valentina Pérez</v>
      </c>
      <c r="D831" s="60">
        <v>45538</v>
      </c>
      <c r="E831" s="60">
        <f t="shared" si="36"/>
        <v>45903</v>
      </c>
      <c r="F831" s="50" t="s">
        <v>1596</v>
      </c>
      <c r="G831" s="56" t="s">
        <v>1604</v>
      </c>
      <c r="H831" s="47">
        <v>29</v>
      </c>
      <c r="I831" s="60">
        <v>35406</v>
      </c>
      <c r="J831" s="56" t="s">
        <v>1611</v>
      </c>
      <c r="K831" s="56">
        <v>2021</v>
      </c>
      <c r="L831" s="52">
        <f t="shared" si="37"/>
        <v>58597.801500000001</v>
      </c>
      <c r="M831" s="56">
        <f>LISTAS!$B$22*_xlfn.XLOOKUP(G831,LISTAS!$B$27:$B$36,LISTAS!$A$27:$A$36)*_xlfn.XLOOKUP(H831,LISTAS!$B$38:$B$47,LISTAS!$A$38:$A$47,,-1)*_xlfn.XLOOKUP(J831,LISTAS!$E$26:$H$26,LISTAS!$E$48:$H$48)*_xlfn.XLOOKUP(F831,LISTAS!$A$15:$A$18,LISTAS!$H$15:$H$18)</f>
        <v>2.4632999999999999E-2</v>
      </c>
      <c r="N831" s="54" cm="1">
        <f t="array" ref="N831">_xlfn.XLOOKUP(K831,LISTAS!$D$27:$D$47,_xlfn.XLOOKUP(J831,LISTAS!$E$26:$H$26,LISTAS!$E$27:$H$47))</f>
        <v>28546000</v>
      </c>
      <c r="O831" s="56" t="s">
        <v>1623</v>
      </c>
      <c r="P831" s="76" t="str">
        <f t="shared" ca="1" si="38"/>
        <v>Vencida</v>
      </c>
    </row>
    <row r="832" spans="1:16" x14ac:dyDescent="0.3">
      <c r="A832" s="58" t="s">
        <v>1122</v>
      </c>
      <c r="B832" s="56" t="s">
        <v>157</v>
      </c>
      <c r="C832" s="50" t="str">
        <f>_xlfn.XLOOKUP(B832,CLIENTES!$A$2:$A$301,CLIENTES!$B$2:$B$301)</f>
        <v>Tomás Sánchez</v>
      </c>
      <c r="D832" s="60">
        <v>44431</v>
      </c>
      <c r="E832" s="60">
        <f t="shared" si="36"/>
        <v>44796</v>
      </c>
      <c r="F832" s="50" t="s">
        <v>1595</v>
      </c>
      <c r="G832" s="56" t="s">
        <v>1603</v>
      </c>
      <c r="H832" s="47">
        <v>71</v>
      </c>
      <c r="I832" s="60">
        <v>20226</v>
      </c>
      <c r="J832" s="56" t="s">
        <v>1611</v>
      </c>
      <c r="K832" s="56">
        <v>2023</v>
      </c>
      <c r="L832" s="52">
        <f t="shared" si="37"/>
        <v>52724.923999999992</v>
      </c>
      <c r="M832" s="56">
        <f>LISTAS!$B$22*_xlfn.XLOOKUP(G832,LISTAS!$B$27:$B$36,LISTAS!$A$27:$A$36)*_xlfn.XLOOKUP(H832,LISTAS!$B$38:$B$47,LISTAS!$A$38:$A$47,,-1)*_xlfn.XLOOKUP(J832,LISTAS!$E$26:$H$26,LISTAS!$E$48:$H$48)*_xlfn.XLOOKUP(F832,LISTAS!$A$15:$A$18,LISTAS!$H$15:$H$18)</f>
        <v>1.8353999999999995E-2</v>
      </c>
      <c r="N832" s="54" cm="1">
        <f t="array" ref="N832">_xlfn.XLOOKUP(K832,LISTAS!$D$27:$D$47,_xlfn.XLOOKUP(J832,LISTAS!$E$26:$H$26,LISTAS!$E$27:$H$47))</f>
        <v>34472000</v>
      </c>
      <c r="O832" s="56" t="s">
        <v>1623</v>
      </c>
      <c r="P832" s="76" t="str">
        <f t="shared" ca="1" si="38"/>
        <v>Vencida</v>
      </c>
    </row>
    <row r="833" spans="1:16" x14ac:dyDescent="0.3">
      <c r="A833" s="58" t="s">
        <v>1123</v>
      </c>
      <c r="B833" s="56" t="s">
        <v>277</v>
      </c>
      <c r="C833" s="50" t="str">
        <f>_xlfn.XLOOKUP(B833,CLIENTES!$A$2:$A$301,CLIENTES!$B$2:$B$301)</f>
        <v>Mateo Díaz</v>
      </c>
      <c r="D833" s="60">
        <v>45504</v>
      </c>
      <c r="E833" s="60">
        <f t="shared" si="36"/>
        <v>45869</v>
      </c>
      <c r="F833" s="50" t="s">
        <v>1596</v>
      </c>
      <c r="G833" s="56" t="s">
        <v>1600</v>
      </c>
      <c r="H833" s="47">
        <v>44</v>
      </c>
      <c r="I833" s="60">
        <v>29827</v>
      </c>
      <c r="J833" s="56" t="s">
        <v>1611</v>
      </c>
      <c r="K833" s="56">
        <v>2019</v>
      </c>
      <c r="L833" s="52">
        <f t="shared" si="37"/>
        <v>42074.21888541666</v>
      </c>
      <c r="M833" s="56">
        <f>LISTAS!$B$22*_xlfn.XLOOKUP(G833,LISTAS!$B$27:$B$36,LISTAS!$A$27:$A$36)*_xlfn.XLOOKUP(H833,LISTAS!$B$38:$B$47,LISTAS!$A$38:$A$47,,-1)*_xlfn.XLOOKUP(J833,LISTAS!$E$26:$H$26,LISTAS!$E$48:$H$48)*_xlfn.XLOOKUP(F833,LISTAS!$A$15:$A$18,LISTAS!$H$15:$H$18)</f>
        <v>2.1358374999999995E-2</v>
      </c>
      <c r="N833" s="54" cm="1">
        <f t="array" ref="N833">_xlfn.XLOOKUP(K833,LISTAS!$D$27:$D$47,_xlfn.XLOOKUP(J833,LISTAS!$E$26:$H$26,LISTAS!$E$27:$H$47))</f>
        <v>23639000</v>
      </c>
      <c r="O833" s="56" t="s">
        <v>1623</v>
      </c>
      <c r="P833" s="76" t="str">
        <f t="shared" ca="1" si="38"/>
        <v>Vencida</v>
      </c>
    </row>
    <row r="834" spans="1:16" x14ac:dyDescent="0.3">
      <c r="A834" s="58" t="s">
        <v>1124</v>
      </c>
      <c r="B834" s="56" t="s">
        <v>132</v>
      </c>
      <c r="C834" s="50" t="str">
        <f>_xlfn.XLOOKUP(B834,CLIENTES!$A$2:$A$301,CLIENTES!$B$2:$B$301)</f>
        <v>Paula Roldán</v>
      </c>
      <c r="D834" s="60">
        <v>45555</v>
      </c>
      <c r="E834" s="60">
        <f t="shared" si="36"/>
        <v>45920</v>
      </c>
      <c r="F834" s="50" t="s">
        <v>1596</v>
      </c>
      <c r="G834" s="56" t="s">
        <v>1606</v>
      </c>
      <c r="H834" s="47">
        <v>60</v>
      </c>
      <c r="I834" s="60">
        <v>23993</v>
      </c>
      <c r="J834" s="56" t="s">
        <v>1609</v>
      </c>
      <c r="K834" s="56">
        <v>2016</v>
      </c>
      <c r="L834" s="52">
        <f t="shared" si="37"/>
        <v>14802.112500000001</v>
      </c>
      <c r="M834" s="56">
        <f>LISTAS!$B$22*_xlfn.XLOOKUP(G834,LISTAS!$B$27:$B$36,LISTAS!$A$27:$A$36)*_xlfn.XLOOKUP(H834,LISTAS!$B$38:$B$47,LISTAS!$A$38:$A$47,,-1)*_xlfn.XLOOKUP(J834,LISTAS!$E$26:$H$26,LISTAS!$E$48:$H$48)*_xlfn.XLOOKUP(F834,LISTAS!$A$15:$A$18,LISTAS!$H$15:$H$18)</f>
        <v>1.7850000000000001E-2</v>
      </c>
      <c r="N834" s="54" cm="1">
        <f t="array" ref="N834">_xlfn.XLOOKUP(K834,LISTAS!$D$27:$D$47,_xlfn.XLOOKUP(J834,LISTAS!$E$26:$H$26,LISTAS!$E$27:$H$47))</f>
        <v>9951000</v>
      </c>
      <c r="O834" s="56" t="s">
        <v>1624</v>
      </c>
      <c r="P834" s="76" t="str">
        <f t="shared" ca="1" si="38"/>
        <v>Vencida</v>
      </c>
    </row>
    <row r="835" spans="1:16" x14ac:dyDescent="0.3">
      <c r="A835" s="58" t="s">
        <v>1125</v>
      </c>
      <c r="B835" s="56" t="s">
        <v>176</v>
      </c>
      <c r="C835" s="50" t="str">
        <f>_xlfn.XLOOKUP(B835,CLIENTES!$A$2:$A$301,CLIENTES!$B$2:$B$301)</f>
        <v>Valentina Pérez</v>
      </c>
      <c r="D835" s="60">
        <v>44665</v>
      </c>
      <c r="E835" s="60">
        <f t="shared" ref="E835:E898" si="39">EDATE(D835,12)</f>
        <v>45030</v>
      </c>
      <c r="F835" s="50" t="s">
        <v>1597</v>
      </c>
      <c r="G835" s="56" t="s">
        <v>1604</v>
      </c>
      <c r="H835" s="47">
        <v>40</v>
      </c>
      <c r="I835" s="60">
        <v>31414</v>
      </c>
      <c r="J835" s="56" t="s">
        <v>1610</v>
      </c>
      <c r="K835" s="56">
        <v>2024</v>
      </c>
      <c r="L835" s="52">
        <f t="shared" ref="L835:L898" si="40">(N835*M835)/12</f>
        <v>67735.437000000005</v>
      </c>
      <c r="M835" s="56">
        <f>LISTAS!$B$22*_xlfn.XLOOKUP(G835,LISTAS!$B$27:$B$36,LISTAS!$A$27:$A$36)*_xlfn.XLOOKUP(H835,LISTAS!$B$38:$B$47,LISTAS!$A$38:$A$47,,-1)*_xlfn.XLOOKUP(J835,LISTAS!$E$26:$H$26,LISTAS!$E$48:$H$48)*_xlfn.XLOOKUP(F835,LISTAS!$A$15:$A$18,LISTAS!$H$15:$H$18)</f>
        <v>2.4139500000000001E-2</v>
      </c>
      <c r="N835" s="54" cm="1">
        <f t="array" ref="N835">_xlfn.XLOOKUP(K835,LISTAS!$D$27:$D$47,_xlfn.XLOOKUP(J835,LISTAS!$E$26:$H$26,LISTAS!$E$27:$H$47))</f>
        <v>33672000</v>
      </c>
      <c r="O835" s="56" t="s">
        <v>1623</v>
      </c>
      <c r="P835" s="76" t="str">
        <f t="shared" ref="P835:P898" ca="1" si="41">IF(TODAY()&lt;D835,"Pendiente",IF(TODAY()&gt;E835,"Vencida","Vigente"))</f>
        <v>Vencida</v>
      </c>
    </row>
    <row r="836" spans="1:16" x14ac:dyDescent="0.3">
      <c r="A836" s="58" t="s">
        <v>1126</v>
      </c>
      <c r="B836" s="56" t="s">
        <v>238</v>
      </c>
      <c r="C836" s="50" t="str">
        <f>_xlfn.XLOOKUP(B836,CLIENTES!$A$2:$A$301,CLIENTES!$B$2:$B$301)</f>
        <v>Victoria Campos</v>
      </c>
      <c r="D836" s="60">
        <v>44930</v>
      </c>
      <c r="E836" s="60">
        <f t="shared" si="39"/>
        <v>45295</v>
      </c>
      <c r="F836" s="50" t="s">
        <v>1597</v>
      </c>
      <c r="G836" s="56" t="s">
        <v>1599</v>
      </c>
      <c r="H836" s="47">
        <v>80</v>
      </c>
      <c r="I836" s="60">
        <v>17008</v>
      </c>
      <c r="J836" s="56" t="s">
        <v>1610</v>
      </c>
      <c r="K836" s="56">
        <v>2021</v>
      </c>
      <c r="L836" s="52">
        <f t="shared" si="40"/>
        <v>89037.366000000024</v>
      </c>
      <c r="M836" s="56">
        <f>LISTAS!$B$22*_xlfn.XLOOKUP(G836,LISTAS!$B$27:$B$36,LISTAS!$A$27:$A$36)*_xlfn.XLOOKUP(H836,LISTAS!$B$38:$B$47,LISTAS!$A$38:$A$47,,-1)*_xlfn.XLOOKUP(J836,LISTAS!$E$26:$H$26,LISTAS!$E$48:$H$48)*_xlfn.XLOOKUP(F836,LISTAS!$A$15:$A$18,LISTAS!$H$15:$H$18)</f>
        <v>4.2108000000000007E-2</v>
      </c>
      <c r="N836" s="54" cm="1">
        <f t="array" ref="N836">_xlfn.XLOOKUP(K836,LISTAS!$D$27:$D$47,_xlfn.XLOOKUP(J836,LISTAS!$E$26:$H$26,LISTAS!$E$27:$H$47))</f>
        <v>25374000</v>
      </c>
      <c r="O836" s="56" t="s">
        <v>1626</v>
      </c>
      <c r="P836" s="76" t="str">
        <f t="shared" ca="1" si="41"/>
        <v>Vencida</v>
      </c>
    </row>
    <row r="837" spans="1:16" x14ac:dyDescent="0.3">
      <c r="A837" s="58" t="s">
        <v>1127</v>
      </c>
      <c r="B837" s="56" t="s">
        <v>188</v>
      </c>
      <c r="C837" s="50" t="str">
        <f>_xlfn.XLOOKUP(B837,CLIENTES!$A$2:$A$301,CLIENTES!$B$2:$B$301)</f>
        <v>Diego Torres</v>
      </c>
      <c r="D837" s="60">
        <v>45997</v>
      </c>
      <c r="E837" s="60">
        <f t="shared" si="39"/>
        <v>46362</v>
      </c>
      <c r="F837" s="50" t="s">
        <v>1598</v>
      </c>
      <c r="G837" s="56" t="s">
        <v>1606</v>
      </c>
      <c r="H837" s="47">
        <v>61</v>
      </c>
      <c r="I837" s="60">
        <v>23836</v>
      </c>
      <c r="J837" s="56" t="s">
        <v>1609</v>
      </c>
      <c r="K837" s="56">
        <v>2023</v>
      </c>
      <c r="L837" s="52">
        <f t="shared" si="40"/>
        <v>43568.525000000001</v>
      </c>
      <c r="M837" s="56">
        <f>LISTAS!$B$22*_xlfn.XLOOKUP(G837,LISTAS!$B$27:$B$36,LISTAS!$A$27:$A$36)*_xlfn.XLOOKUP(H837,LISTAS!$B$38:$B$47,LISTAS!$A$38:$A$47,,-1)*_xlfn.XLOOKUP(J837,LISTAS!$E$26:$H$26,LISTAS!$E$48:$H$48)*_xlfn.XLOOKUP(F837,LISTAS!$A$15:$A$18,LISTAS!$H$15:$H$18)</f>
        <v>2.7300000000000001E-2</v>
      </c>
      <c r="N837" s="54" cm="1">
        <f t="array" ref="N837">_xlfn.XLOOKUP(K837,LISTAS!$D$27:$D$47,_xlfn.XLOOKUP(J837,LISTAS!$E$26:$H$26,LISTAS!$E$27:$H$47))</f>
        <v>19151000</v>
      </c>
      <c r="O837" s="56" t="s">
        <v>1624</v>
      </c>
      <c r="P837" s="76" t="str">
        <f t="shared" ca="1" si="41"/>
        <v>Vigente</v>
      </c>
    </row>
    <row r="838" spans="1:16" x14ac:dyDescent="0.3">
      <c r="A838" s="58" t="s">
        <v>1128</v>
      </c>
      <c r="B838" s="56" t="s">
        <v>119</v>
      </c>
      <c r="C838" s="50" t="str">
        <f>_xlfn.XLOOKUP(B838,CLIENTES!$A$2:$A$301,CLIENTES!$B$2:$B$301)</f>
        <v>Juan Gómez</v>
      </c>
      <c r="D838" s="60">
        <v>45787</v>
      </c>
      <c r="E838" s="60">
        <f t="shared" si="39"/>
        <v>46152</v>
      </c>
      <c r="F838" s="50" t="s">
        <v>1598</v>
      </c>
      <c r="G838" s="56" t="s">
        <v>1600</v>
      </c>
      <c r="H838" s="47">
        <v>24</v>
      </c>
      <c r="I838" s="60">
        <v>37236</v>
      </c>
      <c r="J838" s="56" t="s">
        <v>1610</v>
      </c>
      <c r="K838" s="56">
        <v>2017</v>
      </c>
      <c r="L838" s="52">
        <f t="shared" si="40"/>
        <v>64382.175000000017</v>
      </c>
      <c r="M838" s="56">
        <f>LISTAS!$B$22*_xlfn.XLOOKUP(G838,LISTAS!$B$27:$B$36,LISTAS!$A$27:$A$36)*_xlfn.XLOOKUP(H838,LISTAS!$B$38:$B$47,LISTAS!$A$38:$A$47,,-1)*_xlfn.XLOOKUP(J838,LISTAS!$E$26:$H$26,LISTAS!$E$48:$H$48)*_xlfn.XLOOKUP(F838,LISTAS!$A$15:$A$18,LISTAS!$H$15:$H$18)</f>
        <v>4.440150000000001E-2</v>
      </c>
      <c r="N838" s="54" cm="1">
        <f t="array" ref="N838">_xlfn.XLOOKUP(K838,LISTAS!$D$27:$D$47,_xlfn.XLOOKUP(J838,LISTAS!$E$26:$H$26,LISTAS!$E$27:$H$47))</f>
        <v>17400000</v>
      </c>
      <c r="O838" s="56" t="s">
        <v>1623</v>
      </c>
      <c r="P838" s="76" t="str">
        <f t="shared" ca="1" si="41"/>
        <v>Vencida</v>
      </c>
    </row>
    <row r="839" spans="1:16" x14ac:dyDescent="0.3">
      <c r="A839" s="58" t="s">
        <v>1129</v>
      </c>
      <c r="B839" s="56" t="s">
        <v>89</v>
      </c>
      <c r="C839" s="50" t="str">
        <f>_xlfn.XLOOKUP(B839,CLIENTES!$A$2:$A$301,CLIENTES!$B$2:$B$301)</f>
        <v>Gonzalo Acosta</v>
      </c>
      <c r="D839" s="60">
        <v>45121</v>
      </c>
      <c r="E839" s="60">
        <f t="shared" si="39"/>
        <v>45487</v>
      </c>
      <c r="F839" s="50" t="s">
        <v>1597</v>
      </c>
      <c r="G839" s="56" t="s">
        <v>1607</v>
      </c>
      <c r="H839" s="47">
        <v>52</v>
      </c>
      <c r="I839" s="60">
        <v>27208</v>
      </c>
      <c r="J839" s="56" t="s">
        <v>1611</v>
      </c>
      <c r="K839" s="56">
        <v>2023</v>
      </c>
      <c r="L839" s="52">
        <f t="shared" si="40"/>
        <v>79946.313333333339</v>
      </c>
      <c r="M839" s="56">
        <f>LISTAS!$B$22*_xlfn.XLOOKUP(G839,LISTAS!$B$27:$B$36,LISTAS!$A$27:$A$36)*_xlfn.XLOOKUP(H839,LISTAS!$B$38:$B$47,LISTAS!$A$38:$A$47,,-1)*_xlfn.XLOOKUP(J839,LISTAS!$E$26:$H$26,LISTAS!$E$48:$H$48)*_xlfn.XLOOKUP(F839,LISTAS!$A$15:$A$18,LISTAS!$H$15:$H$18)</f>
        <v>2.7830000000000001E-2</v>
      </c>
      <c r="N839" s="54" cm="1">
        <f t="array" ref="N839">_xlfn.XLOOKUP(K839,LISTAS!$D$27:$D$47,_xlfn.XLOOKUP(J839,LISTAS!$E$26:$H$26,LISTAS!$E$27:$H$47))</f>
        <v>34472000</v>
      </c>
      <c r="O839" s="56" t="s">
        <v>1624</v>
      </c>
      <c r="P839" s="76" t="str">
        <f t="shared" ca="1" si="41"/>
        <v>Vencida</v>
      </c>
    </row>
    <row r="840" spans="1:16" x14ac:dyDescent="0.3">
      <c r="A840" s="58" t="s">
        <v>1130</v>
      </c>
      <c r="B840" s="56" t="s">
        <v>160</v>
      </c>
      <c r="C840" s="50" t="str">
        <f>_xlfn.XLOOKUP(B840,CLIENTES!$A$2:$A$301,CLIENTES!$B$2:$B$301)</f>
        <v>Gabriela Sosa</v>
      </c>
      <c r="D840" s="60">
        <v>45405</v>
      </c>
      <c r="E840" s="60">
        <f t="shared" si="39"/>
        <v>45770</v>
      </c>
      <c r="F840" s="50" t="s">
        <v>1596</v>
      </c>
      <c r="G840" s="56" t="s">
        <v>1605</v>
      </c>
      <c r="H840" s="47">
        <v>29</v>
      </c>
      <c r="I840" s="60">
        <v>35476</v>
      </c>
      <c r="J840" s="56" t="s">
        <v>1612</v>
      </c>
      <c r="K840" s="56">
        <v>2023</v>
      </c>
      <c r="L840" s="52">
        <f t="shared" si="40"/>
        <v>39380.1345</v>
      </c>
      <c r="M840" s="56">
        <f>LISTAS!$B$22*_xlfn.XLOOKUP(G840,LISTAS!$B$27:$B$36,LISTAS!$A$27:$A$36)*_xlfn.XLOOKUP(H840,LISTAS!$B$38:$B$47,LISTAS!$A$38:$A$47,,-1)*_xlfn.XLOOKUP(J840,LISTAS!$E$26:$H$26,LISTAS!$E$48:$H$48)*_xlfn.XLOOKUP(F840,LISTAS!$A$15:$A$18,LISTAS!$H$15:$H$18)</f>
        <v>1.9278E-2</v>
      </c>
      <c r="N840" s="54" cm="1">
        <f t="array" ref="N840">_xlfn.XLOOKUP(K840,LISTAS!$D$27:$D$47,_xlfn.XLOOKUP(J840,LISTAS!$E$26:$H$26,LISTAS!$E$27:$H$47))</f>
        <v>24513000</v>
      </c>
      <c r="O840" s="56" t="s">
        <v>1624</v>
      </c>
      <c r="P840" s="76" t="str">
        <f t="shared" ca="1" si="41"/>
        <v>Vencida</v>
      </c>
    </row>
    <row r="841" spans="1:16" x14ac:dyDescent="0.3">
      <c r="A841" s="58" t="s">
        <v>1131</v>
      </c>
      <c r="B841" s="56" t="s">
        <v>94</v>
      </c>
      <c r="C841" s="50" t="str">
        <f>_xlfn.XLOOKUP(B841,CLIENTES!$A$2:$A$301,CLIENTES!$B$2:$B$301)</f>
        <v>Joaquín Torres</v>
      </c>
      <c r="D841" s="60">
        <v>44733</v>
      </c>
      <c r="E841" s="60">
        <f t="shared" si="39"/>
        <v>45098</v>
      </c>
      <c r="F841" s="50" t="s">
        <v>1596</v>
      </c>
      <c r="G841" s="56" t="s">
        <v>1600</v>
      </c>
      <c r="H841" s="47">
        <v>63</v>
      </c>
      <c r="I841" s="60">
        <v>23159</v>
      </c>
      <c r="J841" s="56" t="s">
        <v>1609</v>
      </c>
      <c r="K841" s="56">
        <v>2008</v>
      </c>
      <c r="L841" s="52">
        <f t="shared" si="40"/>
        <v>9321.1956250000003</v>
      </c>
      <c r="M841" s="56">
        <f>LISTAS!$B$22*_xlfn.XLOOKUP(G841,LISTAS!$B$27:$B$36,LISTAS!$A$27:$A$36)*_xlfn.XLOOKUP(H841,LISTAS!$B$38:$B$47,LISTAS!$A$38:$A$47,,-1)*_xlfn.XLOOKUP(J841,LISTAS!$E$26:$H$26,LISTAS!$E$48:$H$48)*_xlfn.XLOOKUP(F841,LISTAS!$A$15:$A$18,LISTAS!$H$15:$H$18)</f>
        <v>2.0527500000000001E-2</v>
      </c>
      <c r="N841" s="54" cm="1">
        <f t="array" ref="N841">_xlfn.XLOOKUP(K841,LISTAS!$D$27:$D$47,_xlfn.XLOOKUP(J841,LISTAS!$E$26:$H$26,LISTAS!$E$27:$H$47))</f>
        <v>5449000</v>
      </c>
      <c r="O841" s="56" t="s">
        <v>1623</v>
      </c>
      <c r="P841" s="76" t="str">
        <f t="shared" ca="1" si="41"/>
        <v>Vencida</v>
      </c>
    </row>
    <row r="842" spans="1:16" x14ac:dyDescent="0.3">
      <c r="A842" s="58" t="s">
        <v>1132</v>
      </c>
      <c r="B842" s="56" t="s">
        <v>99</v>
      </c>
      <c r="C842" s="50" t="str">
        <f>_xlfn.XLOOKUP(B842,CLIENTES!$A$2:$A$301,CLIENTES!$B$2:$B$301)</f>
        <v>Diego Domínguez</v>
      </c>
      <c r="D842" s="60">
        <v>44541</v>
      </c>
      <c r="E842" s="60">
        <f t="shared" si="39"/>
        <v>44906</v>
      </c>
      <c r="F842" s="50" t="s">
        <v>1596</v>
      </c>
      <c r="G842" s="56" t="s">
        <v>1605</v>
      </c>
      <c r="H842" s="47">
        <v>34</v>
      </c>
      <c r="I842" s="60">
        <v>33554</v>
      </c>
      <c r="J842" s="56" t="s">
        <v>1611</v>
      </c>
      <c r="K842" s="56">
        <v>2021</v>
      </c>
      <c r="L842" s="52">
        <f t="shared" si="40"/>
        <v>41855.572500000002</v>
      </c>
      <c r="M842" s="56">
        <f>LISTAS!$B$22*_xlfn.XLOOKUP(G842,LISTAS!$B$27:$B$36,LISTAS!$A$27:$A$36)*_xlfn.XLOOKUP(H842,LISTAS!$B$38:$B$47,LISTAS!$A$38:$A$47,,-1)*_xlfn.XLOOKUP(J842,LISTAS!$E$26:$H$26,LISTAS!$E$48:$H$48)*_xlfn.XLOOKUP(F842,LISTAS!$A$15:$A$18,LISTAS!$H$15:$H$18)</f>
        <v>1.7595E-2</v>
      </c>
      <c r="N842" s="54" cm="1">
        <f t="array" ref="N842">_xlfn.XLOOKUP(K842,LISTAS!$D$27:$D$47,_xlfn.XLOOKUP(J842,LISTAS!$E$26:$H$26,LISTAS!$E$27:$H$47))</f>
        <v>28546000</v>
      </c>
      <c r="O842" s="56" t="s">
        <v>1624</v>
      </c>
      <c r="P842" s="76" t="str">
        <f t="shared" ca="1" si="41"/>
        <v>Vencida</v>
      </c>
    </row>
    <row r="843" spans="1:16" x14ac:dyDescent="0.3">
      <c r="A843" s="58" t="s">
        <v>1133</v>
      </c>
      <c r="B843" s="56" t="s">
        <v>211</v>
      </c>
      <c r="C843" s="50" t="str">
        <f>_xlfn.XLOOKUP(B843,CLIENTES!$A$2:$A$301,CLIENTES!$B$2:$B$301)</f>
        <v>Mariana Peralta</v>
      </c>
      <c r="D843" s="60">
        <v>45958</v>
      </c>
      <c r="E843" s="60">
        <f t="shared" si="39"/>
        <v>46323</v>
      </c>
      <c r="F843" s="50" t="s">
        <v>1596</v>
      </c>
      <c r="G843" s="56" t="s">
        <v>1600</v>
      </c>
      <c r="H843" s="47">
        <v>65</v>
      </c>
      <c r="I843" s="60">
        <v>22276</v>
      </c>
      <c r="J843" s="56" t="s">
        <v>1611</v>
      </c>
      <c r="K843" s="56">
        <v>2021</v>
      </c>
      <c r="L843" s="52">
        <f t="shared" si="40"/>
        <v>61504.438479166653</v>
      </c>
      <c r="M843" s="56">
        <f>LISTAS!$B$22*_xlfn.XLOOKUP(G843,LISTAS!$B$27:$B$36,LISTAS!$A$27:$A$36)*_xlfn.XLOOKUP(H843,LISTAS!$B$38:$B$47,LISTAS!$A$38:$A$47,,-1)*_xlfn.XLOOKUP(J843,LISTAS!$E$26:$H$26,LISTAS!$E$48:$H$48)*_xlfn.XLOOKUP(F843,LISTAS!$A$15:$A$18,LISTAS!$H$15:$H$18)</f>
        <v>2.5854874999999996E-2</v>
      </c>
      <c r="N843" s="54" cm="1">
        <f t="array" ref="N843">_xlfn.XLOOKUP(K843,LISTAS!$D$27:$D$47,_xlfn.XLOOKUP(J843,LISTAS!$E$26:$H$26,LISTAS!$E$27:$H$47))</f>
        <v>28546000</v>
      </c>
      <c r="O843" s="56" t="s">
        <v>1624</v>
      </c>
      <c r="P843" s="76" t="str">
        <f t="shared" ca="1" si="41"/>
        <v>Vigente</v>
      </c>
    </row>
    <row r="844" spans="1:16" x14ac:dyDescent="0.3">
      <c r="A844" s="58" t="s">
        <v>1134</v>
      </c>
      <c r="B844" s="56" t="s">
        <v>117</v>
      </c>
      <c r="C844" s="50" t="str">
        <f>_xlfn.XLOOKUP(B844,CLIENTES!$A$2:$A$301,CLIENTES!$B$2:$B$301)</f>
        <v>Gonzalo Gómez</v>
      </c>
      <c r="D844" s="60">
        <v>45118</v>
      </c>
      <c r="E844" s="60">
        <f t="shared" si="39"/>
        <v>45484</v>
      </c>
      <c r="F844" s="50" t="s">
        <v>1597</v>
      </c>
      <c r="G844" s="56" t="s">
        <v>1600</v>
      </c>
      <c r="H844" s="47">
        <v>32</v>
      </c>
      <c r="I844" s="60">
        <v>34363</v>
      </c>
      <c r="J844" s="56" t="s">
        <v>1610</v>
      </c>
      <c r="K844" s="56">
        <v>2021</v>
      </c>
      <c r="L844" s="52">
        <f t="shared" si="40"/>
        <v>58846.535000000011</v>
      </c>
      <c r="M844" s="56">
        <f>LISTAS!$B$22*_xlfn.XLOOKUP(G844,LISTAS!$B$27:$B$36,LISTAS!$A$27:$A$36)*_xlfn.XLOOKUP(H844,LISTAS!$B$38:$B$47,LISTAS!$A$38:$A$47,,-1)*_xlfn.XLOOKUP(J844,LISTAS!$E$26:$H$26,LISTAS!$E$48:$H$48)*_xlfn.XLOOKUP(F844,LISTAS!$A$15:$A$18,LISTAS!$H$15:$H$18)</f>
        <v>2.7830000000000004E-2</v>
      </c>
      <c r="N844" s="54" cm="1">
        <f t="array" ref="N844">_xlfn.XLOOKUP(K844,LISTAS!$D$27:$D$47,_xlfn.XLOOKUP(J844,LISTAS!$E$26:$H$26,LISTAS!$E$27:$H$47))</f>
        <v>25374000</v>
      </c>
      <c r="O844" s="56" t="s">
        <v>1623</v>
      </c>
      <c r="P844" s="76" t="str">
        <f t="shared" ca="1" si="41"/>
        <v>Vencida</v>
      </c>
    </row>
    <row r="845" spans="1:16" x14ac:dyDescent="0.3">
      <c r="A845" s="58" t="s">
        <v>1135</v>
      </c>
      <c r="B845" s="56" t="s">
        <v>157</v>
      </c>
      <c r="C845" s="50" t="str">
        <f>_xlfn.XLOOKUP(B845,CLIENTES!$A$2:$A$301,CLIENTES!$B$2:$B$301)</f>
        <v>Tomás Sánchez</v>
      </c>
      <c r="D845" s="60">
        <v>45840</v>
      </c>
      <c r="E845" s="60">
        <f t="shared" si="39"/>
        <v>46205</v>
      </c>
      <c r="F845" s="50" t="s">
        <v>1597</v>
      </c>
      <c r="G845" s="56" t="s">
        <v>1604</v>
      </c>
      <c r="H845" s="47">
        <v>26</v>
      </c>
      <c r="I845" s="60">
        <v>36698</v>
      </c>
      <c r="J845" s="56" t="s">
        <v>1612</v>
      </c>
      <c r="K845" s="56">
        <v>2011</v>
      </c>
      <c r="L845" s="52">
        <f t="shared" si="40"/>
        <v>20808.364500000003</v>
      </c>
      <c r="M845" s="56">
        <f>LISTAS!$B$22*_xlfn.XLOOKUP(G845,LISTAS!$B$27:$B$36,LISTAS!$A$27:$A$36)*_xlfn.XLOOKUP(H845,LISTAS!$B$38:$B$47,LISTAS!$A$38:$A$47,,-1)*_xlfn.XLOOKUP(J845,LISTAS!$E$26:$H$26,LISTAS!$E$48:$H$48)*_xlfn.XLOOKUP(F845,LISTAS!$A$15:$A$18,LISTAS!$H$15:$H$18)</f>
        <v>2.9106000000000003E-2</v>
      </c>
      <c r="N845" s="54" cm="1">
        <f t="array" ref="N845">_xlfn.XLOOKUP(K845,LISTAS!$D$27:$D$47,_xlfn.XLOOKUP(J845,LISTAS!$E$26:$H$26,LISTAS!$E$27:$H$47))</f>
        <v>8579000</v>
      </c>
      <c r="O845" s="56" t="s">
        <v>1626</v>
      </c>
      <c r="P845" s="76" t="str">
        <f t="shared" ca="1" si="41"/>
        <v>Vencida</v>
      </c>
    </row>
    <row r="846" spans="1:16" x14ac:dyDescent="0.3">
      <c r="A846" s="58" t="s">
        <v>1136</v>
      </c>
      <c r="B846" s="56" t="s">
        <v>187</v>
      </c>
      <c r="C846" s="50" t="str">
        <f>_xlfn.XLOOKUP(B846,CLIENTES!$A$2:$A$301,CLIENTES!$B$2:$B$301)</f>
        <v>Victoria Sosa</v>
      </c>
      <c r="D846" s="60">
        <v>46187</v>
      </c>
      <c r="E846" s="60">
        <f t="shared" si="39"/>
        <v>46552</v>
      </c>
      <c r="F846" s="50" t="s">
        <v>1598</v>
      </c>
      <c r="G846" s="56" t="s">
        <v>1607</v>
      </c>
      <c r="H846" s="47">
        <v>50</v>
      </c>
      <c r="I846" s="60">
        <v>27963</v>
      </c>
      <c r="J846" s="56" t="s">
        <v>1610</v>
      </c>
      <c r="K846" s="56">
        <v>2024</v>
      </c>
      <c r="L846" s="52">
        <f t="shared" si="40"/>
        <v>88276.760000000009</v>
      </c>
      <c r="M846" s="56">
        <f>LISTAS!$B$22*_xlfn.XLOOKUP(G846,LISTAS!$B$27:$B$36,LISTAS!$A$27:$A$36)*_xlfn.XLOOKUP(H846,LISTAS!$B$38:$B$47,LISTAS!$A$38:$A$47,,-1)*_xlfn.XLOOKUP(J846,LISTAS!$E$26:$H$26,LISTAS!$E$48:$H$48)*_xlfn.XLOOKUP(F846,LISTAS!$A$15:$A$18,LISTAS!$H$15:$H$18)</f>
        <v>3.1460000000000002E-2</v>
      </c>
      <c r="N846" s="54" cm="1">
        <f t="array" ref="N846">_xlfn.XLOOKUP(K846,LISTAS!$D$27:$D$47,_xlfn.XLOOKUP(J846,LISTAS!$E$26:$H$26,LISTAS!$E$27:$H$47))</f>
        <v>33672000</v>
      </c>
      <c r="O846" s="56" t="s">
        <v>1624</v>
      </c>
      <c r="P846" s="76" t="str">
        <f t="shared" ca="1" si="41"/>
        <v>Vigente</v>
      </c>
    </row>
    <row r="847" spans="1:16" x14ac:dyDescent="0.3">
      <c r="A847" s="58" t="s">
        <v>1137</v>
      </c>
      <c r="B847" s="56" t="s">
        <v>27</v>
      </c>
      <c r="C847" s="50" t="str">
        <f>_xlfn.XLOOKUP(B847,CLIENTES!$A$2:$A$301,CLIENTES!$B$2:$B$301)</f>
        <v>Agustina Vera</v>
      </c>
      <c r="D847" s="60">
        <v>45504</v>
      </c>
      <c r="E847" s="60">
        <f t="shared" si="39"/>
        <v>45869</v>
      </c>
      <c r="F847" s="50" t="s">
        <v>1598</v>
      </c>
      <c r="G847" s="56" t="s">
        <v>1600</v>
      </c>
      <c r="H847" s="47">
        <v>72</v>
      </c>
      <c r="I847" s="60">
        <v>19643</v>
      </c>
      <c r="J847" s="56" t="s">
        <v>1611</v>
      </c>
      <c r="K847" s="56">
        <v>2025</v>
      </c>
      <c r="L847" s="52">
        <f t="shared" si="40"/>
        <v>166079.54999999999</v>
      </c>
      <c r="M847" s="56">
        <f>LISTAS!$B$22*_xlfn.XLOOKUP(G847,LISTAS!$B$27:$B$36,LISTAS!$A$27:$A$36)*_xlfn.XLOOKUP(H847,LISTAS!$B$38:$B$47,LISTAS!$A$38:$A$47,,-1)*_xlfn.XLOOKUP(J847,LISTAS!$E$26:$H$26,LISTAS!$E$48:$H$48)*_xlfn.XLOOKUP(F847,LISTAS!$A$15:$A$18,LISTAS!$H$15:$H$18)</f>
        <v>4.8138999999999994E-2</v>
      </c>
      <c r="N847" s="54" cm="1">
        <f t="array" ref="N847">_xlfn.XLOOKUP(K847,LISTAS!$D$27:$D$47,_xlfn.XLOOKUP(J847,LISTAS!$E$26:$H$26,LISTAS!$E$27:$H$47))</f>
        <v>41400000</v>
      </c>
      <c r="O847" s="56" t="s">
        <v>1624</v>
      </c>
      <c r="P847" s="76" t="str">
        <f t="shared" ca="1" si="41"/>
        <v>Vencida</v>
      </c>
    </row>
    <row r="848" spans="1:16" x14ac:dyDescent="0.3">
      <c r="A848" s="58" t="s">
        <v>1138</v>
      </c>
      <c r="B848" s="56" t="s">
        <v>35</v>
      </c>
      <c r="C848" s="50" t="str">
        <f>_xlfn.XLOOKUP(B848,CLIENTES!$A$2:$A$301,CLIENTES!$B$2:$B$301)</f>
        <v>Natalia Ferreyra</v>
      </c>
      <c r="D848" s="60">
        <v>45557</v>
      </c>
      <c r="E848" s="60">
        <f t="shared" si="39"/>
        <v>45922</v>
      </c>
      <c r="F848" s="50" t="s">
        <v>1597</v>
      </c>
      <c r="G848" s="56" t="s">
        <v>1600</v>
      </c>
      <c r="H848" s="47">
        <v>33</v>
      </c>
      <c r="I848" s="60">
        <v>33908</v>
      </c>
      <c r="J848" s="56" t="s">
        <v>1611</v>
      </c>
      <c r="K848" s="56">
        <v>2020</v>
      </c>
      <c r="L848" s="52">
        <f t="shared" si="40"/>
        <v>62983.401249999995</v>
      </c>
      <c r="M848" s="56">
        <f>LISTAS!$B$22*_xlfn.XLOOKUP(G848,LISTAS!$B$27:$B$36,LISTAS!$A$27:$A$36)*_xlfn.XLOOKUP(H848,LISTAS!$B$38:$B$47,LISTAS!$A$38:$A$47,,-1)*_xlfn.XLOOKUP(J848,LISTAS!$E$26:$H$26,LISTAS!$E$48:$H$48)*_xlfn.XLOOKUP(F848,LISTAS!$A$15:$A$18,LISTAS!$H$15:$H$18)</f>
        <v>2.9094999999999999E-2</v>
      </c>
      <c r="N848" s="54" cm="1">
        <f t="array" ref="N848">_xlfn.XLOOKUP(K848,LISTAS!$D$27:$D$47,_xlfn.XLOOKUP(J848,LISTAS!$E$26:$H$26,LISTAS!$E$27:$H$47))</f>
        <v>25977000</v>
      </c>
      <c r="O848" s="56" t="s">
        <v>1623</v>
      </c>
      <c r="P848" s="76" t="str">
        <f t="shared" ca="1" si="41"/>
        <v>Vencida</v>
      </c>
    </row>
    <row r="849" spans="1:16" x14ac:dyDescent="0.3">
      <c r="A849" s="58" t="s">
        <v>1139</v>
      </c>
      <c r="B849" s="56" t="s">
        <v>135</v>
      </c>
      <c r="C849" s="50" t="str">
        <f>_xlfn.XLOOKUP(B849,CLIENTES!$A$2:$A$301,CLIENTES!$B$2:$B$301)</f>
        <v>Gonzalo Pereyra</v>
      </c>
      <c r="D849" s="60">
        <v>45040</v>
      </c>
      <c r="E849" s="60">
        <f t="shared" si="39"/>
        <v>45406</v>
      </c>
      <c r="F849" s="50" t="s">
        <v>1598</v>
      </c>
      <c r="G849" s="56" t="s">
        <v>1601</v>
      </c>
      <c r="H849" s="47">
        <v>26</v>
      </c>
      <c r="I849" s="60">
        <v>36502</v>
      </c>
      <c r="J849" s="56" t="s">
        <v>1611</v>
      </c>
      <c r="K849" s="56">
        <v>2021</v>
      </c>
      <c r="L849" s="52">
        <f t="shared" si="40"/>
        <v>98155.420999999988</v>
      </c>
      <c r="M849" s="56">
        <f>LISTAS!$B$22*_xlfn.XLOOKUP(G849,LISTAS!$B$27:$B$36,LISTAS!$A$27:$A$36)*_xlfn.XLOOKUP(H849,LISTAS!$B$38:$B$47,LISTAS!$A$38:$A$47,,-1)*_xlfn.XLOOKUP(J849,LISTAS!$E$26:$H$26,LISTAS!$E$48:$H$48)*_xlfn.XLOOKUP(F849,LISTAS!$A$15:$A$18,LISTAS!$H$15:$H$18)</f>
        <v>4.1262E-2</v>
      </c>
      <c r="N849" s="54" cm="1">
        <f t="array" ref="N849">_xlfn.XLOOKUP(K849,LISTAS!$D$27:$D$47,_xlfn.XLOOKUP(J849,LISTAS!$E$26:$H$26,LISTAS!$E$27:$H$47))</f>
        <v>28546000</v>
      </c>
      <c r="O849" s="56" t="s">
        <v>1623</v>
      </c>
      <c r="P849" s="76" t="str">
        <f t="shared" ca="1" si="41"/>
        <v>Vencida</v>
      </c>
    </row>
    <row r="850" spans="1:16" x14ac:dyDescent="0.3">
      <c r="A850" s="58" t="s">
        <v>1140</v>
      </c>
      <c r="B850" s="56" t="s">
        <v>246</v>
      </c>
      <c r="C850" s="50" t="str">
        <f>_xlfn.XLOOKUP(B850,CLIENTES!$A$2:$A$301,CLIENTES!$B$2:$B$301)</f>
        <v>Bruno Núñez</v>
      </c>
      <c r="D850" s="60">
        <v>45487</v>
      </c>
      <c r="E850" s="60">
        <f t="shared" si="39"/>
        <v>45852</v>
      </c>
      <c r="F850" s="50" t="s">
        <v>1595</v>
      </c>
      <c r="G850" s="56" t="s">
        <v>1608</v>
      </c>
      <c r="H850" s="47">
        <v>39</v>
      </c>
      <c r="I850" s="60">
        <v>31697</v>
      </c>
      <c r="J850" s="56" t="s">
        <v>1610</v>
      </c>
      <c r="K850" s="56">
        <v>2021</v>
      </c>
      <c r="L850" s="52">
        <f t="shared" si="40"/>
        <v>26515.83</v>
      </c>
      <c r="M850" s="56">
        <f>LISTAS!$B$22*_xlfn.XLOOKUP(G850,LISTAS!$B$27:$B$36,LISTAS!$A$27:$A$36)*_xlfn.XLOOKUP(H850,LISTAS!$B$38:$B$47,LISTAS!$A$38:$A$47,,-1)*_xlfn.XLOOKUP(J850,LISTAS!$E$26:$H$26,LISTAS!$E$48:$H$48)*_xlfn.XLOOKUP(F850,LISTAS!$A$15:$A$18,LISTAS!$H$15:$H$18)</f>
        <v>1.2540000000000001E-2</v>
      </c>
      <c r="N850" s="54" cm="1">
        <f t="array" ref="N850">_xlfn.XLOOKUP(K850,LISTAS!$D$27:$D$47,_xlfn.XLOOKUP(J850,LISTAS!$E$26:$H$26,LISTAS!$E$27:$H$47))</f>
        <v>25374000</v>
      </c>
      <c r="O850" s="56" t="s">
        <v>1623</v>
      </c>
      <c r="P850" s="76" t="str">
        <f t="shared" ca="1" si="41"/>
        <v>Vencida</v>
      </c>
    </row>
    <row r="851" spans="1:16" x14ac:dyDescent="0.3">
      <c r="A851" s="58" t="s">
        <v>1141</v>
      </c>
      <c r="B851" s="56" t="s">
        <v>285</v>
      </c>
      <c r="C851" s="50" t="str">
        <f>_xlfn.XLOOKUP(B851,CLIENTES!$A$2:$A$301,CLIENTES!$B$2:$B$301)</f>
        <v>Agustín Díaz</v>
      </c>
      <c r="D851" s="60">
        <v>45940</v>
      </c>
      <c r="E851" s="60">
        <f t="shared" si="39"/>
        <v>46305</v>
      </c>
      <c r="F851" s="50" t="s">
        <v>1596</v>
      </c>
      <c r="G851" s="56" t="s">
        <v>1601</v>
      </c>
      <c r="H851" s="47">
        <v>25</v>
      </c>
      <c r="I851" s="60">
        <v>37110</v>
      </c>
      <c r="J851" s="56" t="s">
        <v>1612</v>
      </c>
      <c r="K851" s="56">
        <v>2020</v>
      </c>
      <c r="L851" s="52">
        <f t="shared" si="40"/>
        <v>37918.398000000001</v>
      </c>
      <c r="M851" s="56">
        <f>LISTAS!$B$22*_xlfn.XLOOKUP(G851,LISTAS!$B$27:$B$36,LISTAS!$A$27:$A$36)*_xlfn.XLOOKUP(H851,LISTAS!$B$38:$B$47,LISTAS!$A$38:$A$47,,-1)*_xlfn.XLOOKUP(J851,LISTAS!$E$26:$H$26,LISTAS!$E$48:$H$48)*_xlfn.XLOOKUP(F851,LISTAS!$A$15:$A$18,LISTAS!$H$15:$H$18)</f>
        <v>2.4633000000000002E-2</v>
      </c>
      <c r="N851" s="54" cm="1">
        <f t="array" ref="N851">_xlfn.XLOOKUP(K851,LISTAS!$D$27:$D$47,_xlfn.XLOOKUP(J851,LISTAS!$E$26:$H$26,LISTAS!$E$27:$H$47))</f>
        <v>18472000</v>
      </c>
      <c r="O851" s="56" t="s">
        <v>1623</v>
      </c>
      <c r="P851" s="76" t="str">
        <f t="shared" ca="1" si="41"/>
        <v>Vigente</v>
      </c>
    </row>
    <row r="852" spans="1:16" x14ac:dyDescent="0.3">
      <c r="A852" s="58" t="s">
        <v>1142</v>
      </c>
      <c r="B852" s="56" t="s">
        <v>188</v>
      </c>
      <c r="C852" s="50" t="str">
        <f>_xlfn.XLOOKUP(B852,CLIENTES!$A$2:$A$301,CLIENTES!$B$2:$B$301)</f>
        <v>Diego Torres</v>
      </c>
      <c r="D852" s="60">
        <v>45802</v>
      </c>
      <c r="E852" s="60">
        <f t="shared" si="39"/>
        <v>46167</v>
      </c>
      <c r="F852" s="50" t="s">
        <v>1598</v>
      </c>
      <c r="G852" s="56" t="s">
        <v>1608</v>
      </c>
      <c r="H852" s="47">
        <v>34</v>
      </c>
      <c r="I852" s="60">
        <v>33499</v>
      </c>
      <c r="J852" s="56" t="s">
        <v>1610</v>
      </c>
      <c r="K852" s="56">
        <v>2020</v>
      </c>
      <c r="L852" s="52">
        <f t="shared" si="40"/>
        <v>52281.872500000005</v>
      </c>
      <c r="M852" s="56">
        <f>LISTAS!$B$22*_xlfn.XLOOKUP(G852,LISTAS!$B$27:$B$36,LISTAS!$A$27:$A$36)*_xlfn.XLOOKUP(H852,LISTAS!$B$38:$B$47,LISTAS!$A$38:$A$47,,-1)*_xlfn.XLOOKUP(J852,LISTAS!$E$26:$H$26,LISTAS!$E$48:$H$48)*_xlfn.XLOOKUP(F852,LISTAS!$A$15:$A$18,LISTAS!$H$15:$H$18)</f>
        <v>2.7170000000000003E-2</v>
      </c>
      <c r="N852" s="54" cm="1">
        <f t="array" ref="N852">_xlfn.XLOOKUP(K852,LISTAS!$D$27:$D$47,_xlfn.XLOOKUP(J852,LISTAS!$E$26:$H$26,LISTAS!$E$27:$H$47))</f>
        <v>23091000</v>
      </c>
      <c r="O852" s="56" t="s">
        <v>1624</v>
      </c>
      <c r="P852" s="76" t="str">
        <f t="shared" ca="1" si="41"/>
        <v>Vencida</v>
      </c>
    </row>
    <row r="853" spans="1:16" x14ac:dyDescent="0.3">
      <c r="A853" s="58" t="s">
        <v>1143</v>
      </c>
      <c r="B853" s="56" t="s">
        <v>148</v>
      </c>
      <c r="C853" s="50" t="str">
        <f>_xlfn.XLOOKUP(B853,CLIENTES!$A$2:$A$301,CLIENTES!$B$2:$B$301)</f>
        <v>Federico Aguirre</v>
      </c>
      <c r="D853" s="60">
        <v>45557</v>
      </c>
      <c r="E853" s="60">
        <f t="shared" si="39"/>
        <v>45922</v>
      </c>
      <c r="F853" s="50" t="s">
        <v>1597</v>
      </c>
      <c r="G853" s="56" t="s">
        <v>1600</v>
      </c>
      <c r="H853" s="47">
        <v>21</v>
      </c>
      <c r="I853" s="60">
        <v>38227</v>
      </c>
      <c r="J853" s="56" t="s">
        <v>1611</v>
      </c>
      <c r="K853" s="56">
        <v>2023</v>
      </c>
      <c r="L853" s="52">
        <f t="shared" si="40"/>
        <v>112833.3195</v>
      </c>
      <c r="M853" s="56">
        <f>LISTAS!$B$22*_xlfn.XLOOKUP(G853,LISTAS!$B$27:$B$36,LISTAS!$A$27:$A$36)*_xlfn.XLOOKUP(H853,LISTAS!$B$38:$B$47,LISTAS!$A$38:$A$47,,-1)*_xlfn.XLOOKUP(J853,LISTAS!$E$26:$H$26,LISTAS!$E$48:$H$48)*_xlfn.XLOOKUP(F853,LISTAS!$A$15:$A$18,LISTAS!$H$15:$H$18)</f>
        <v>3.9278250000000001E-2</v>
      </c>
      <c r="N853" s="54" cm="1">
        <f t="array" ref="N853">_xlfn.XLOOKUP(K853,LISTAS!$D$27:$D$47,_xlfn.XLOOKUP(J853,LISTAS!$E$26:$H$26,LISTAS!$E$27:$H$47))</f>
        <v>34472000</v>
      </c>
      <c r="O853" s="56" t="s">
        <v>1623</v>
      </c>
      <c r="P853" s="76" t="str">
        <f t="shared" ca="1" si="41"/>
        <v>Vencida</v>
      </c>
    </row>
    <row r="854" spans="1:16" x14ac:dyDescent="0.3">
      <c r="A854" s="58" t="s">
        <v>1144</v>
      </c>
      <c r="B854" s="56" t="s">
        <v>214</v>
      </c>
      <c r="C854" s="50" t="str">
        <f>_xlfn.XLOOKUP(B854,CLIENTES!$A$2:$A$301,CLIENTES!$B$2:$B$301)</f>
        <v>Sofía Cabrera</v>
      </c>
      <c r="D854" s="60">
        <v>46225</v>
      </c>
      <c r="E854" s="60">
        <f t="shared" si="39"/>
        <v>46590</v>
      </c>
      <c r="F854" s="50" t="s">
        <v>1596</v>
      </c>
      <c r="G854" s="56" t="s">
        <v>1602</v>
      </c>
      <c r="H854" s="47">
        <v>25</v>
      </c>
      <c r="I854" s="60">
        <v>36763</v>
      </c>
      <c r="J854" s="56" t="s">
        <v>1612</v>
      </c>
      <c r="K854" s="56">
        <v>2018</v>
      </c>
      <c r="L854" s="52">
        <f t="shared" si="40"/>
        <v>28670.402249999999</v>
      </c>
      <c r="M854" s="56">
        <f>LISTAS!$B$22*_xlfn.XLOOKUP(G854,LISTAS!$B$27:$B$36,LISTAS!$A$27:$A$36)*_xlfn.XLOOKUP(H854,LISTAS!$B$38:$B$47,LISTAS!$A$38:$A$47,,-1)*_xlfn.XLOOKUP(J854,LISTAS!$E$26:$H$26,LISTAS!$E$48:$H$48)*_xlfn.XLOOKUP(F854,LISTAS!$A$15:$A$18,LISTAS!$H$15:$H$18)</f>
        <v>2.2491000000000001E-2</v>
      </c>
      <c r="N854" s="54" cm="1">
        <f t="array" ref="N854">_xlfn.XLOOKUP(K854,LISTAS!$D$27:$D$47,_xlfn.XLOOKUP(J854,LISTAS!$E$26:$H$26,LISTAS!$E$27:$H$47))</f>
        <v>15297000</v>
      </c>
      <c r="O854" s="56" t="s">
        <v>1623</v>
      </c>
      <c r="P854" s="76" t="str">
        <f t="shared" ca="1" si="41"/>
        <v>Vigente</v>
      </c>
    </row>
    <row r="855" spans="1:16" x14ac:dyDescent="0.3">
      <c r="A855" s="58" t="s">
        <v>1145</v>
      </c>
      <c r="B855" s="56" t="s">
        <v>233</v>
      </c>
      <c r="C855" s="50" t="str">
        <f>_xlfn.XLOOKUP(B855,CLIENTES!$A$2:$A$301,CLIENTES!$B$2:$B$301)</f>
        <v>Julieta Méndez</v>
      </c>
      <c r="D855" s="60">
        <v>45799</v>
      </c>
      <c r="E855" s="60">
        <f t="shared" si="39"/>
        <v>46164</v>
      </c>
      <c r="F855" s="50" t="s">
        <v>1598</v>
      </c>
      <c r="G855" s="56" t="s">
        <v>1602</v>
      </c>
      <c r="H855" s="47">
        <v>75</v>
      </c>
      <c r="I855" s="60">
        <v>18731</v>
      </c>
      <c r="J855" s="56" t="s">
        <v>1609</v>
      </c>
      <c r="K855" s="56">
        <v>2026</v>
      </c>
      <c r="L855" s="52">
        <f t="shared" si="40"/>
        <v>82468.75</v>
      </c>
      <c r="M855" s="56">
        <f>LISTAS!$B$22*_xlfn.XLOOKUP(G855,LISTAS!$B$27:$B$36,LISTAS!$A$27:$A$36)*_xlfn.XLOOKUP(H855,LISTAS!$B$38:$B$47,LISTAS!$A$38:$A$47,,-1)*_xlfn.XLOOKUP(J855,LISTAS!$E$26:$H$26,LISTAS!$E$48:$H$48)*_xlfn.XLOOKUP(F855,LISTAS!$A$15:$A$18,LISTAS!$H$15:$H$18)</f>
        <v>3.9585000000000002E-2</v>
      </c>
      <c r="N855" s="54" cm="1">
        <f t="array" ref="N855">_xlfn.XLOOKUP(K855,LISTAS!$D$27:$D$47,_xlfn.XLOOKUP(J855,LISTAS!$E$26:$H$26,LISTAS!$E$27:$H$47))</f>
        <v>25000000</v>
      </c>
      <c r="O855" s="56" t="s">
        <v>1623</v>
      </c>
      <c r="P855" s="76" t="str">
        <f t="shared" ca="1" si="41"/>
        <v>Vencida</v>
      </c>
    </row>
    <row r="856" spans="1:16" x14ac:dyDescent="0.3">
      <c r="A856" s="58" t="s">
        <v>1146</v>
      </c>
      <c r="B856" s="56" t="s">
        <v>201</v>
      </c>
      <c r="C856" s="50" t="str">
        <f>_xlfn.XLOOKUP(B856,CLIENTES!$A$2:$A$301,CLIENTES!$B$2:$B$301)</f>
        <v>Gabriel Luna</v>
      </c>
      <c r="D856" s="60">
        <v>44812</v>
      </c>
      <c r="E856" s="60">
        <f t="shared" si="39"/>
        <v>45177</v>
      </c>
      <c r="F856" s="50" t="s">
        <v>1595</v>
      </c>
      <c r="G856" s="56" t="s">
        <v>1604</v>
      </c>
      <c r="H856" s="47">
        <v>65</v>
      </c>
      <c r="I856" s="60">
        <v>22254</v>
      </c>
      <c r="J856" s="56" t="s">
        <v>1610</v>
      </c>
      <c r="K856" s="56">
        <v>2023</v>
      </c>
      <c r="L856" s="52">
        <f t="shared" si="40"/>
        <v>40700.236500000006</v>
      </c>
      <c r="M856" s="56">
        <f>LISTAS!$B$22*_xlfn.XLOOKUP(G856,LISTAS!$B$27:$B$36,LISTAS!$A$27:$A$36)*_xlfn.XLOOKUP(H856,LISTAS!$B$38:$B$47,LISTAS!$A$38:$A$47,,-1)*_xlfn.XLOOKUP(J856,LISTAS!$E$26:$H$26,LISTAS!$E$48:$H$48)*_xlfn.XLOOKUP(F856,LISTAS!$A$15:$A$18,LISTAS!$H$15:$H$18)</f>
        <v>1.5939000000000002E-2</v>
      </c>
      <c r="N856" s="54" cm="1">
        <f t="array" ref="N856">_xlfn.XLOOKUP(K856,LISTAS!$D$27:$D$47,_xlfn.XLOOKUP(J856,LISTAS!$E$26:$H$26,LISTAS!$E$27:$H$47))</f>
        <v>30642000</v>
      </c>
      <c r="O856" s="56" t="s">
        <v>1624</v>
      </c>
      <c r="P856" s="76" t="str">
        <f t="shared" ca="1" si="41"/>
        <v>Vencida</v>
      </c>
    </row>
    <row r="857" spans="1:16" x14ac:dyDescent="0.3">
      <c r="A857" s="58" t="s">
        <v>1147</v>
      </c>
      <c r="B857" s="56" t="s">
        <v>136</v>
      </c>
      <c r="C857" s="50" t="str">
        <f>_xlfn.XLOOKUP(B857,CLIENTES!$A$2:$A$301,CLIENTES!$B$2:$B$301)</f>
        <v>Martina Cabrera</v>
      </c>
      <c r="D857" s="60">
        <v>45475</v>
      </c>
      <c r="E857" s="60">
        <f t="shared" si="39"/>
        <v>45840</v>
      </c>
      <c r="F857" s="50" t="s">
        <v>1597</v>
      </c>
      <c r="G857" s="56" t="s">
        <v>1608</v>
      </c>
      <c r="H857" s="47">
        <v>71</v>
      </c>
      <c r="I857" s="60">
        <v>20097</v>
      </c>
      <c r="J857" s="56" t="s">
        <v>1611</v>
      </c>
      <c r="K857" s="56">
        <v>2021</v>
      </c>
      <c r="L857" s="52">
        <f t="shared" si="40"/>
        <v>80045.362833333333</v>
      </c>
      <c r="M857" s="56">
        <f>LISTAS!$B$22*_xlfn.XLOOKUP(G857,LISTAS!$B$27:$B$36,LISTAS!$A$27:$A$36)*_xlfn.XLOOKUP(H857,LISTAS!$B$38:$B$47,LISTAS!$A$38:$A$47,,-1)*_xlfn.XLOOKUP(J857,LISTAS!$E$26:$H$26,LISTAS!$E$48:$H$48)*_xlfn.XLOOKUP(F857,LISTAS!$A$15:$A$18,LISTAS!$H$15:$H$18)</f>
        <v>3.3648999999999998E-2</v>
      </c>
      <c r="N857" s="54" cm="1">
        <f t="array" ref="N857">_xlfn.XLOOKUP(K857,LISTAS!$D$27:$D$47,_xlfn.XLOOKUP(J857,LISTAS!$E$26:$H$26,LISTAS!$E$27:$H$47))</f>
        <v>28546000</v>
      </c>
      <c r="O857" s="56" t="s">
        <v>1623</v>
      </c>
      <c r="P857" s="76" t="str">
        <f t="shared" ca="1" si="41"/>
        <v>Vencida</v>
      </c>
    </row>
    <row r="858" spans="1:16" x14ac:dyDescent="0.3">
      <c r="A858" s="58" t="s">
        <v>1148</v>
      </c>
      <c r="B858" s="56" t="s">
        <v>82</v>
      </c>
      <c r="C858" s="50" t="str">
        <f>_xlfn.XLOOKUP(B858,CLIENTES!$A$2:$A$301,CLIENTES!$B$2:$B$301)</f>
        <v>Lucas Martínez</v>
      </c>
      <c r="D858" s="60">
        <v>44445</v>
      </c>
      <c r="E858" s="60">
        <f t="shared" si="39"/>
        <v>44810</v>
      </c>
      <c r="F858" s="50" t="s">
        <v>1598</v>
      </c>
      <c r="G858" s="56" t="s">
        <v>1599</v>
      </c>
      <c r="H858" s="47">
        <v>57</v>
      </c>
      <c r="I858" s="60">
        <v>25393</v>
      </c>
      <c r="J858" s="56" t="s">
        <v>1612</v>
      </c>
      <c r="K858" s="56">
        <v>2024</v>
      </c>
      <c r="L858" s="52">
        <f t="shared" si="40"/>
        <v>73540.740000000005</v>
      </c>
      <c r="M858" s="56">
        <f>LISTAS!$B$22*_xlfn.XLOOKUP(G858,LISTAS!$B$27:$B$36,LISTAS!$A$27:$A$36)*_xlfn.XLOOKUP(H858,LISTAS!$B$38:$B$47,LISTAS!$A$38:$A$47,,-1)*_xlfn.XLOOKUP(J858,LISTAS!$E$26:$H$26,LISTAS!$E$48:$H$48)*_xlfn.XLOOKUP(F858,LISTAS!$A$15:$A$18,LISTAS!$H$15:$H$18)</f>
        <v>3.2760000000000004E-2</v>
      </c>
      <c r="N858" s="54" cm="1">
        <f t="array" ref="N858">_xlfn.XLOOKUP(K858,LISTAS!$D$27:$D$47,_xlfn.XLOOKUP(J858,LISTAS!$E$26:$H$26,LISTAS!$E$27:$H$47))</f>
        <v>26938000</v>
      </c>
      <c r="O858" s="56" t="s">
        <v>1624</v>
      </c>
      <c r="P858" s="76" t="str">
        <f t="shared" ca="1" si="41"/>
        <v>Vencida</v>
      </c>
    </row>
    <row r="859" spans="1:16" x14ac:dyDescent="0.3">
      <c r="A859" s="58" t="s">
        <v>1149</v>
      </c>
      <c r="B859" s="56" t="s">
        <v>122</v>
      </c>
      <c r="C859" s="50" t="str">
        <f>_xlfn.XLOOKUP(B859,CLIENTES!$A$2:$A$301,CLIENTES!$B$2:$B$301)</f>
        <v>Lucía Ponce</v>
      </c>
      <c r="D859" s="60">
        <v>46178</v>
      </c>
      <c r="E859" s="60">
        <f t="shared" si="39"/>
        <v>46543</v>
      </c>
      <c r="F859" s="50" t="s">
        <v>1597</v>
      </c>
      <c r="G859" s="56" t="s">
        <v>1607</v>
      </c>
      <c r="H859" s="47">
        <v>54</v>
      </c>
      <c r="I859" s="60">
        <v>26358</v>
      </c>
      <c r="J859" s="56" t="s">
        <v>1610</v>
      </c>
      <c r="K859" s="56">
        <v>2022</v>
      </c>
      <c r="L859" s="52">
        <f t="shared" si="40"/>
        <v>61856.006666666683</v>
      </c>
      <c r="M859" s="56">
        <f>LISTAS!$B$22*_xlfn.XLOOKUP(G859,LISTAS!$B$27:$B$36,LISTAS!$A$27:$A$36)*_xlfn.XLOOKUP(H859,LISTAS!$B$38:$B$47,LISTAS!$A$38:$A$47,,-1)*_xlfn.XLOOKUP(J859,LISTAS!$E$26:$H$26,LISTAS!$E$48:$H$48)*_xlfn.XLOOKUP(F859,LISTAS!$A$15:$A$18,LISTAS!$H$15:$H$18)</f>
        <v>2.6620000000000005E-2</v>
      </c>
      <c r="N859" s="54" cm="1">
        <f t="array" ref="N859">_xlfn.XLOOKUP(K859,LISTAS!$D$27:$D$47,_xlfn.XLOOKUP(J859,LISTAS!$E$26:$H$26,LISTAS!$E$27:$H$47))</f>
        <v>27884000</v>
      </c>
      <c r="O859" s="56" t="s">
        <v>1626</v>
      </c>
      <c r="P859" s="76" t="str">
        <f t="shared" ca="1" si="41"/>
        <v>Vigente</v>
      </c>
    </row>
    <row r="860" spans="1:16" x14ac:dyDescent="0.3">
      <c r="A860" s="58" t="s">
        <v>1150</v>
      </c>
      <c r="B860" s="56" t="s">
        <v>197</v>
      </c>
      <c r="C860" s="50" t="str">
        <f>_xlfn.XLOOKUP(B860,CLIENTES!$A$2:$A$301,CLIENTES!$B$2:$B$301)</f>
        <v>Sofía Mansilla</v>
      </c>
      <c r="D860" s="60">
        <v>45732</v>
      </c>
      <c r="E860" s="60">
        <f t="shared" si="39"/>
        <v>46097</v>
      </c>
      <c r="F860" s="50" t="s">
        <v>1598</v>
      </c>
      <c r="G860" s="56" t="s">
        <v>1605</v>
      </c>
      <c r="H860" s="47">
        <v>19</v>
      </c>
      <c r="I860" s="60">
        <v>39091</v>
      </c>
      <c r="J860" s="56" t="s">
        <v>1609</v>
      </c>
      <c r="K860" s="56">
        <v>2025</v>
      </c>
      <c r="L860" s="52">
        <f t="shared" si="40"/>
        <v>67275.000000000015</v>
      </c>
      <c r="M860" s="56">
        <f>LISTAS!$B$22*_xlfn.XLOOKUP(G860,LISTAS!$B$27:$B$36,LISTAS!$A$27:$A$36)*_xlfn.XLOOKUP(H860,LISTAS!$B$38:$B$47,LISTAS!$A$38:$A$47,,-1)*_xlfn.XLOOKUP(J860,LISTAS!$E$26:$H$26,LISTAS!$E$48:$H$48)*_xlfn.XLOOKUP(F860,LISTAS!$A$15:$A$18,LISTAS!$H$15:$H$18)</f>
        <v>3.5100000000000006E-2</v>
      </c>
      <c r="N860" s="54" cm="1">
        <f t="array" ref="N860">_xlfn.XLOOKUP(K860,LISTAS!$D$27:$D$47,_xlfn.XLOOKUP(J860,LISTAS!$E$26:$H$26,LISTAS!$E$27:$H$47))</f>
        <v>23000000</v>
      </c>
      <c r="O860" s="56" t="s">
        <v>1623</v>
      </c>
      <c r="P860" s="76" t="str">
        <f t="shared" ca="1" si="41"/>
        <v>Vencida</v>
      </c>
    </row>
    <row r="861" spans="1:16" x14ac:dyDescent="0.3">
      <c r="A861" s="58" t="s">
        <v>1151</v>
      </c>
      <c r="B861" s="56" t="s">
        <v>237</v>
      </c>
      <c r="C861" s="50" t="str">
        <f>_xlfn.XLOOKUP(B861,CLIENTES!$A$2:$A$301,CLIENTES!$B$2:$B$301)</f>
        <v>Florencia Peralta</v>
      </c>
      <c r="D861" s="60">
        <v>45520</v>
      </c>
      <c r="E861" s="60">
        <f t="shared" si="39"/>
        <v>45885</v>
      </c>
      <c r="F861" s="50" t="s">
        <v>1597</v>
      </c>
      <c r="G861" s="56" t="s">
        <v>1606</v>
      </c>
      <c r="H861" s="47">
        <v>31</v>
      </c>
      <c r="I861" s="60">
        <v>34773</v>
      </c>
      <c r="J861" s="56" t="s">
        <v>1610</v>
      </c>
      <c r="K861" s="56">
        <v>2021</v>
      </c>
      <c r="L861" s="52">
        <f t="shared" si="40"/>
        <v>51170.9</v>
      </c>
      <c r="M861" s="56">
        <f>LISTAS!$B$22*_xlfn.XLOOKUP(G861,LISTAS!$B$27:$B$36,LISTAS!$A$27:$A$36)*_xlfn.XLOOKUP(H861,LISTAS!$B$38:$B$47,LISTAS!$A$38:$A$47,,-1)*_xlfn.XLOOKUP(J861,LISTAS!$E$26:$H$26,LISTAS!$E$48:$H$48)*_xlfn.XLOOKUP(F861,LISTAS!$A$15:$A$18,LISTAS!$H$15:$H$18)</f>
        <v>2.4200000000000003E-2</v>
      </c>
      <c r="N861" s="54" cm="1">
        <f t="array" ref="N861">_xlfn.XLOOKUP(K861,LISTAS!$D$27:$D$47,_xlfn.XLOOKUP(J861,LISTAS!$E$26:$H$26,LISTAS!$E$27:$H$47))</f>
        <v>25374000</v>
      </c>
      <c r="O861" s="56" t="s">
        <v>1623</v>
      </c>
      <c r="P861" s="76" t="str">
        <f t="shared" ca="1" si="41"/>
        <v>Vencida</v>
      </c>
    </row>
    <row r="862" spans="1:16" x14ac:dyDescent="0.3">
      <c r="A862" s="58" t="s">
        <v>1152</v>
      </c>
      <c r="B862" s="56" t="s">
        <v>40</v>
      </c>
      <c r="C862" s="50" t="str">
        <f>_xlfn.XLOOKUP(B862,CLIENTES!$A$2:$A$301,CLIENTES!$B$2:$B$301)</f>
        <v>Andrés Martínez</v>
      </c>
      <c r="D862" s="60">
        <v>45600</v>
      </c>
      <c r="E862" s="60">
        <f t="shared" si="39"/>
        <v>45965</v>
      </c>
      <c r="F862" s="50" t="s">
        <v>1595</v>
      </c>
      <c r="G862" s="56" t="s">
        <v>1601</v>
      </c>
      <c r="H862" s="47">
        <v>72</v>
      </c>
      <c r="I862" s="60">
        <v>19672</v>
      </c>
      <c r="J862" s="56" t="s">
        <v>1609</v>
      </c>
      <c r="K862" s="56">
        <v>2024</v>
      </c>
      <c r="L862" s="52">
        <f t="shared" si="40"/>
        <v>33882.450000000004</v>
      </c>
      <c r="M862" s="56">
        <f>LISTAS!$B$22*_xlfn.XLOOKUP(G862,LISTAS!$B$27:$B$36,LISTAS!$A$27:$A$36)*_xlfn.XLOOKUP(H862,LISTAS!$B$38:$B$47,LISTAS!$A$38:$A$47,,-1)*_xlfn.XLOOKUP(J862,LISTAS!$E$26:$H$26,LISTAS!$E$48:$H$48)*_xlfn.XLOOKUP(F862,LISTAS!$A$15:$A$18,LISTAS!$H$15:$H$18)</f>
        <v>1.932E-2</v>
      </c>
      <c r="N862" s="54" cm="1">
        <f t="array" ref="N862">_xlfn.XLOOKUP(K862,LISTAS!$D$27:$D$47,_xlfn.XLOOKUP(J862,LISTAS!$E$26:$H$26,LISTAS!$E$27:$H$47))</f>
        <v>21045000</v>
      </c>
      <c r="O862" s="56" t="s">
        <v>1624</v>
      </c>
      <c r="P862" s="76" t="str">
        <f t="shared" ca="1" si="41"/>
        <v>Vencida</v>
      </c>
    </row>
    <row r="863" spans="1:16" x14ac:dyDescent="0.3">
      <c r="A863" s="58" t="s">
        <v>1153</v>
      </c>
      <c r="B863" s="56" t="s">
        <v>42</v>
      </c>
      <c r="C863" s="50" t="str">
        <f>_xlfn.XLOOKUP(B863,CLIENTES!$A$2:$A$301,CLIENTES!$B$2:$B$301)</f>
        <v>Pablo Torres</v>
      </c>
      <c r="D863" s="60">
        <v>44548</v>
      </c>
      <c r="E863" s="60">
        <f t="shared" si="39"/>
        <v>44913</v>
      </c>
      <c r="F863" s="50" t="s">
        <v>1597</v>
      </c>
      <c r="G863" s="56" t="s">
        <v>1600</v>
      </c>
      <c r="H863" s="47">
        <v>55</v>
      </c>
      <c r="I863" s="60">
        <v>25859</v>
      </c>
      <c r="J863" s="56" t="s">
        <v>1612</v>
      </c>
      <c r="K863" s="56">
        <v>2023</v>
      </c>
      <c r="L863" s="52">
        <f t="shared" si="40"/>
        <v>54265.653750000005</v>
      </c>
      <c r="M863" s="56">
        <f>LISTAS!$B$22*_xlfn.XLOOKUP(G863,LISTAS!$B$27:$B$36,LISTAS!$A$27:$A$36)*_xlfn.XLOOKUP(H863,LISTAS!$B$38:$B$47,LISTAS!$A$38:$A$47,,-1)*_xlfn.XLOOKUP(J863,LISTAS!$E$26:$H$26,LISTAS!$E$48:$H$48)*_xlfn.XLOOKUP(F863,LISTAS!$A$15:$A$18,LISTAS!$H$15:$H$18)</f>
        <v>2.6565000000000005E-2</v>
      </c>
      <c r="N863" s="54" cm="1">
        <f t="array" ref="N863">_xlfn.XLOOKUP(K863,LISTAS!$D$27:$D$47,_xlfn.XLOOKUP(J863,LISTAS!$E$26:$H$26,LISTAS!$E$27:$H$47))</f>
        <v>24513000</v>
      </c>
      <c r="O863" s="56" t="s">
        <v>1624</v>
      </c>
      <c r="P863" s="76" t="str">
        <f t="shared" ca="1" si="41"/>
        <v>Vencida</v>
      </c>
    </row>
    <row r="864" spans="1:16" x14ac:dyDescent="0.3">
      <c r="A864" s="58" t="s">
        <v>1154</v>
      </c>
      <c r="B864" s="56" t="s">
        <v>224</v>
      </c>
      <c r="C864" s="50" t="str">
        <f>_xlfn.XLOOKUP(B864,CLIENTES!$A$2:$A$301,CLIENTES!$B$2:$B$301)</f>
        <v>Martín Gutiérrez</v>
      </c>
      <c r="D864" s="60">
        <v>45974</v>
      </c>
      <c r="E864" s="60">
        <f t="shared" si="39"/>
        <v>46339</v>
      </c>
      <c r="F864" s="50" t="s">
        <v>1595</v>
      </c>
      <c r="G864" s="56" t="s">
        <v>1607</v>
      </c>
      <c r="H864" s="47">
        <v>60</v>
      </c>
      <c r="I864" s="60">
        <v>24220</v>
      </c>
      <c r="J864" s="56" t="s">
        <v>1609</v>
      </c>
      <c r="K864" s="56">
        <v>2016</v>
      </c>
      <c r="L864" s="52">
        <f t="shared" si="40"/>
        <v>11493.405000000001</v>
      </c>
      <c r="M864" s="56">
        <f>LISTAS!$B$22*_xlfn.XLOOKUP(G864,LISTAS!$B$27:$B$36,LISTAS!$A$27:$A$36)*_xlfn.XLOOKUP(H864,LISTAS!$B$38:$B$47,LISTAS!$A$38:$A$47,,-1)*_xlfn.XLOOKUP(J864,LISTAS!$E$26:$H$26,LISTAS!$E$48:$H$48)*_xlfn.XLOOKUP(F864,LISTAS!$A$15:$A$18,LISTAS!$H$15:$H$18)</f>
        <v>1.3860000000000001E-2</v>
      </c>
      <c r="N864" s="54" cm="1">
        <f t="array" ref="N864">_xlfn.XLOOKUP(K864,LISTAS!$D$27:$D$47,_xlfn.XLOOKUP(J864,LISTAS!$E$26:$H$26,LISTAS!$E$27:$H$47))</f>
        <v>9951000</v>
      </c>
      <c r="O864" s="56" t="s">
        <v>1623</v>
      </c>
      <c r="P864" s="76" t="str">
        <f t="shared" ca="1" si="41"/>
        <v>Vigente</v>
      </c>
    </row>
    <row r="865" spans="1:16" x14ac:dyDescent="0.3">
      <c r="A865" s="58" t="s">
        <v>1155</v>
      </c>
      <c r="B865" s="56" t="s">
        <v>283</v>
      </c>
      <c r="C865" s="50" t="str">
        <f>_xlfn.XLOOKUP(B865,CLIENTES!$A$2:$A$301,CLIENTES!$B$2:$B$301)</f>
        <v>Lautaro Méndez</v>
      </c>
      <c r="D865" s="60">
        <v>44909</v>
      </c>
      <c r="E865" s="60">
        <f t="shared" si="39"/>
        <v>45274</v>
      </c>
      <c r="F865" s="50" t="s">
        <v>1598</v>
      </c>
      <c r="G865" s="56" t="s">
        <v>1599</v>
      </c>
      <c r="H865" s="47">
        <v>40</v>
      </c>
      <c r="I865" s="60">
        <v>31326</v>
      </c>
      <c r="J865" s="56" t="s">
        <v>1611</v>
      </c>
      <c r="K865" s="56">
        <v>2015</v>
      </c>
      <c r="L865" s="52">
        <f t="shared" si="40"/>
        <v>46808.599500000004</v>
      </c>
      <c r="M865" s="56">
        <f>LISTAS!$B$22*_xlfn.XLOOKUP(G865,LISTAS!$B$27:$B$36,LISTAS!$A$27:$A$36)*_xlfn.XLOOKUP(H865,LISTAS!$B$38:$B$47,LISTAS!$A$38:$A$47,,-1)*_xlfn.XLOOKUP(J865,LISTAS!$E$26:$H$26,LISTAS!$E$48:$H$48)*_xlfn.XLOOKUP(F865,LISTAS!$A$15:$A$18,LISTAS!$H$15:$H$18)</f>
        <v>3.4085999999999998E-2</v>
      </c>
      <c r="N865" s="54" cm="1">
        <f t="array" ref="N865">_xlfn.XLOOKUP(K865,LISTAS!$D$27:$D$47,_xlfn.XLOOKUP(J865,LISTAS!$E$26:$H$26,LISTAS!$E$27:$H$47))</f>
        <v>16479000</v>
      </c>
      <c r="O865" s="56" t="s">
        <v>1623</v>
      </c>
      <c r="P865" s="76" t="str">
        <f t="shared" ca="1" si="41"/>
        <v>Vencida</v>
      </c>
    </row>
    <row r="866" spans="1:16" x14ac:dyDescent="0.3">
      <c r="A866" s="58" t="s">
        <v>1156</v>
      </c>
      <c r="B866" s="56" t="s">
        <v>157</v>
      </c>
      <c r="C866" s="50" t="str">
        <f>_xlfn.XLOOKUP(B866,CLIENTES!$A$2:$A$301,CLIENTES!$B$2:$B$301)</f>
        <v>Tomás Sánchez</v>
      </c>
      <c r="D866" s="60">
        <v>45704</v>
      </c>
      <c r="E866" s="60">
        <f t="shared" si="39"/>
        <v>46069</v>
      </c>
      <c r="F866" s="50" t="s">
        <v>1598</v>
      </c>
      <c r="G866" s="56" t="s">
        <v>1603</v>
      </c>
      <c r="H866" s="47">
        <v>19</v>
      </c>
      <c r="I866" s="60">
        <v>39047</v>
      </c>
      <c r="J866" s="56" t="s">
        <v>1611</v>
      </c>
      <c r="K866" s="56">
        <v>2025</v>
      </c>
      <c r="L866" s="52">
        <f t="shared" si="40"/>
        <v>146995.87499999997</v>
      </c>
      <c r="M866" s="56">
        <f>LISTAS!$B$22*_xlfn.XLOOKUP(G866,LISTAS!$B$27:$B$36,LISTAS!$A$27:$A$36)*_xlfn.XLOOKUP(H866,LISTAS!$B$38:$B$47,LISTAS!$A$38:$A$47,,-1)*_xlfn.XLOOKUP(J866,LISTAS!$E$26:$H$26,LISTAS!$E$48:$H$48)*_xlfn.XLOOKUP(F866,LISTAS!$A$15:$A$18,LISTAS!$H$15:$H$18)</f>
        <v>4.2607499999999993E-2</v>
      </c>
      <c r="N866" s="54" cm="1">
        <f t="array" ref="N866">_xlfn.XLOOKUP(K866,LISTAS!$D$27:$D$47,_xlfn.XLOOKUP(J866,LISTAS!$E$26:$H$26,LISTAS!$E$27:$H$47))</f>
        <v>41400000</v>
      </c>
      <c r="O866" s="56" t="s">
        <v>1623</v>
      </c>
      <c r="P866" s="76" t="str">
        <f t="shared" ca="1" si="41"/>
        <v>Vencida</v>
      </c>
    </row>
    <row r="867" spans="1:16" x14ac:dyDescent="0.3">
      <c r="A867" s="58" t="s">
        <v>1157</v>
      </c>
      <c r="B867" s="56" t="s">
        <v>39</v>
      </c>
      <c r="C867" s="50" t="str">
        <f>_xlfn.XLOOKUP(B867,CLIENTES!$A$2:$A$301,CLIENTES!$B$2:$B$301)</f>
        <v>Juan Romero</v>
      </c>
      <c r="D867" s="60">
        <v>45935</v>
      </c>
      <c r="E867" s="60">
        <f t="shared" si="39"/>
        <v>46300</v>
      </c>
      <c r="F867" s="50" t="s">
        <v>1595</v>
      </c>
      <c r="G867" s="56" t="s">
        <v>1599</v>
      </c>
      <c r="H867" s="47">
        <v>56</v>
      </c>
      <c r="I867" s="60">
        <v>25635</v>
      </c>
      <c r="J867" s="56" t="s">
        <v>1609</v>
      </c>
      <c r="K867" s="56">
        <v>2023</v>
      </c>
      <c r="L867" s="52">
        <f t="shared" si="40"/>
        <v>22981.199999999997</v>
      </c>
      <c r="M867" s="56">
        <f>LISTAS!$B$22*_xlfn.XLOOKUP(G867,LISTAS!$B$27:$B$36,LISTAS!$A$27:$A$36)*_xlfn.XLOOKUP(H867,LISTAS!$B$38:$B$47,LISTAS!$A$38:$A$47,,-1)*_xlfn.XLOOKUP(J867,LISTAS!$E$26:$H$26,LISTAS!$E$48:$H$48)*_xlfn.XLOOKUP(F867,LISTAS!$A$15:$A$18,LISTAS!$H$15:$H$18)</f>
        <v>1.44E-2</v>
      </c>
      <c r="N867" s="54" cm="1">
        <f t="array" ref="N867">_xlfn.XLOOKUP(K867,LISTAS!$D$27:$D$47,_xlfn.XLOOKUP(J867,LISTAS!$E$26:$H$26,LISTAS!$E$27:$H$47))</f>
        <v>19151000</v>
      </c>
      <c r="O867" s="56" t="s">
        <v>1626</v>
      </c>
      <c r="P867" s="76" t="str">
        <f t="shared" ca="1" si="41"/>
        <v>Vigente</v>
      </c>
    </row>
    <row r="868" spans="1:16" x14ac:dyDescent="0.3">
      <c r="A868" s="58" t="s">
        <v>1158</v>
      </c>
      <c r="B868" s="56" t="s">
        <v>134</v>
      </c>
      <c r="C868" s="50" t="str">
        <f>_xlfn.XLOOKUP(B868,CLIENTES!$A$2:$A$301,CLIENTES!$B$2:$B$301)</f>
        <v>Micaela Bravo</v>
      </c>
      <c r="D868" s="60">
        <v>46179</v>
      </c>
      <c r="E868" s="60">
        <f t="shared" si="39"/>
        <v>46544</v>
      </c>
      <c r="F868" s="50" t="s">
        <v>1598</v>
      </c>
      <c r="G868" s="56" t="s">
        <v>1600</v>
      </c>
      <c r="H868" s="47">
        <v>46</v>
      </c>
      <c r="I868" s="60">
        <v>29275</v>
      </c>
      <c r="J868" s="56" t="s">
        <v>1609</v>
      </c>
      <c r="K868" s="56">
        <v>2021</v>
      </c>
      <c r="L868" s="52">
        <f t="shared" si="40"/>
        <v>37539.574583333335</v>
      </c>
      <c r="M868" s="56">
        <f>LISTAS!$B$22*_xlfn.XLOOKUP(G868,LISTAS!$B$27:$B$36,LISTAS!$A$27:$A$36)*_xlfn.XLOOKUP(H868,LISTAS!$B$38:$B$47,LISTAS!$A$38:$A$47,,-1)*_xlfn.XLOOKUP(J868,LISTAS!$E$26:$H$26,LISTAS!$E$48:$H$48)*_xlfn.XLOOKUP(F868,LISTAS!$A$15:$A$18,LISTAS!$H$15:$H$18)</f>
        <v>2.8405E-2</v>
      </c>
      <c r="N868" s="54" cm="1">
        <f t="array" ref="N868">_xlfn.XLOOKUP(K868,LISTAS!$D$27:$D$47,_xlfn.XLOOKUP(J868,LISTAS!$E$26:$H$26,LISTAS!$E$27:$H$47))</f>
        <v>15859000</v>
      </c>
      <c r="O868" s="56" t="s">
        <v>1625</v>
      </c>
      <c r="P868" s="76" t="str">
        <f t="shared" ca="1" si="41"/>
        <v>Vigente</v>
      </c>
    </row>
    <row r="869" spans="1:16" x14ac:dyDescent="0.3">
      <c r="A869" s="58" t="s">
        <v>1159</v>
      </c>
      <c r="B869" s="56" t="s">
        <v>67</v>
      </c>
      <c r="C869" s="50" t="str">
        <f>_xlfn.XLOOKUP(B869,CLIENTES!$A$2:$A$301,CLIENTES!$B$2:$B$301)</f>
        <v>Sebastián Molina</v>
      </c>
      <c r="D869" s="60">
        <v>45891</v>
      </c>
      <c r="E869" s="60">
        <f t="shared" si="39"/>
        <v>46256</v>
      </c>
      <c r="F869" s="50" t="s">
        <v>1597</v>
      </c>
      <c r="G869" s="56" t="s">
        <v>1604</v>
      </c>
      <c r="H869" s="47">
        <v>32</v>
      </c>
      <c r="I869" s="60">
        <v>34545</v>
      </c>
      <c r="J869" s="56" t="s">
        <v>1609</v>
      </c>
      <c r="K869" s="56">
        <v>2016</v>
      </c>
      <c r="L869" s="52">
        <f t="shared" si="40"/>
        <v>19155.675000000003</v>
      </c>
      <c r="M869" s="56">
        <f>LISTAS!$B$22*_xlfn.XLOOKUP(G869,LISTAS!$B$27:$B$36,LISTAS!$A$27:$A$36)*_xlfn.XLOOKUP(H869,LISTAS!$B$38:$B$47,LISTAS!$A$38:$A$47,,-1)*_xlfn.XLOOKUP(J869,LISTAS!$E$26:$H$26,LISTAS!$E$48:$H$48)*_xlfn.XLOOKUP(F869,LISTAS!$A$15:$A$18,LISTAS!$H$15:$H$18)</f>
        <v>2.3100000000000002E-2</v>
      </c>
      <c r="N869" s="54" cm="1">
        <f t="array" ref="N869">_xlfn.XLOOKUP(K869,LISTAS!$D$27:$D$47,_xlfn.XLOOKUP(J869,LISTAS!$E$26:$H$26,LISTAS!$E$27:$H$47))</f>
        <v>9951000</v>
      </c>
      <c r="O869" s="56" t="s">
        <v>1626</v>
      </c>
      <c r="P869" s="76" t="str">
        <f t="shared" ca="1" si="41"/>
        <v>Vencida</v>
      </c>
    </row>
    <row r="870" spans="1:16" x14ac:dyDescent="0.3">
      <c r="A870" s="58" t="s">
        <v>1160</v>
      </c>
      <c r="B870" s="56" t="s">
        <v>101</v>
      </c>
      <c r="C870" s="50" t="str">
        <f>_xlfn.XLOOKUP(B870,CLIENTES!$A$2:$A$301,CLIENTES!$B$2:$B$301)</f>
        <v>Sofía Vera</v>
      </c>
      <c r="D870" s="60">
        <v>45392</v>
      </c>
      <c r="E870" s="60">
        <f t="shared" si="39"/>
        <v>45757</v>
      </c>
      <c r="F870" s="50" t="s">
        <v>1595</v>
      </c>
      <c r="G870" s="56" t="s">
        <v>1600</v>
      </c>
      <c r="H870" s="47">
        <v>37</v>
      </c>
      <c r="I870" s="60">
        <v>32590</v>
      </c>
      <c r="J870" s="56" t="s">
        <v>1609</v>
      </c>
      <c r="K870" s="56">
        <v>2020</v>
      </c>
      <c r="L870" s="52">
        <f t="shared" si="40"/>
        <v>16596.8</v>
      </c>
      <c r="M870" s="56">
        <f>LISTAS!$B$22*_xlfn.XLOOKUP(G870,LISTAS!$B$27:$B$36,LISTAS!$A$27:$A$36)*_xlfn.XLOOKUP(H870,LISTAS!$B$38:$B$47,LISTAS!$A$38:$A$47,,-1)*_xlfn.XLOOKUP(J870,LISTAS!$E$26:$H$26,LISTAS!$E$48:$H$48)*_xlfn.XLOOKUP(F870,LISTAS!$A$15:$A$18,LISTAS!$H$15:$H$18)</f>
        <v>1.38E-2</v>
      </c>
      <c r="N870" s="54" cm="1">
        <f t="array" ref="N870">_xlfn.XLOOKUP(K870,LISTAS!$D$27:$D$47,_xlfn.XLOOKUP(J870,LISTAS!$E$26:$H$26,LISTAS!$E$27:$H$47))</f>
        <v>14432000</v>
      </c>
      <c r="O870" s="56" t="s">
        <v>1624</v>
      </c>
      <c r="P870" s="76" t="str">
        <f t="shared" ca="1" si="41"/>
        <v>Vencida</v>
      </c>
    </row>
    <row r="871" spans="1:16" x14ac:dyDescent="0.3">
      <c r="A871" s="58" t="s">
        <v>1161</v>
      </c>
      <c r="B871" s="56" t="s">
        <v>200</v>
      </c>
      <c r="C871" s="50" t="str">
        <f>_xlfn.XLOOKUP(B871,CLIENTES!$A$2:$A$301,CLIENTES!$B$2:$B$301)</f>
        <v>Gabriela Sosa</v>
      </c>
      <c r="D871" s="60">
        <v>45431</v>
      </c>
      <c r="E871" s="60">
        <f t="shared" si="39"/>
        <v>45796</v>
      </c>
      <c r="F871" s="50" t="s">
        <v>1595</v>
      </c>
      <c r="G871" s="56" t="s">
        <v>1608</v>
      </c>
      <c r="H871" s="47">
        <v>52</v>
      </c>
      <c r="I871" s="60">
        <v>27120</v>
      </c>
      <c r="J871" s="56" t="s">
        <v>1610</v>
      </c>
      <c r="K871" s="56">
        <v>2019</v>
      </c>
      <c r="L871" s="52">
        <f t="shared" si="40"/>
        <v>21957.540000000005</v>
      </c>
      <c r="M871" s="56">
        <f>LISTAS!$B$22*_xlfn.XLOOKUP(G871,LISTAS!$B$27:$B$36,LISTAS!$A$27:$A$36)*_xlfn.XLOOKUP(H871,LISTAS!$B$38:$B$47,LISTAS!$A$38:$A$47,,-1)*_xlfn.XLOOKUP(J871,LISTAS!$E$26:$H$26,LISTAS!$E$48:$H$48)*_xlfn.XLOOKUP(F871,LISTAS!$A$15:$A$18,LISTAS!$H$15:$H$18)</f>
        <v>1.2540000000000001E-2</v>
      </c>
      <c r="N871" s="54" cm="1">
        <f t="array" ref="N871">_xlfn.XLOOKUP(K871,LISTAS!$D$27:$D$47,_xlfn.XLOOKUP(J871,LISTAS!$E$26:$H$26,LISTAS!$E$27:$H$47))</f>
        <v>21012000</v>
      </c>
      <c r="O871" s="56" t="s">
        <v>1623</v>
      </c>
      <c r="P871" s="76" t="str">
        <f t="shared" ca="1" si="41"/>
        <v>Vencida</v>
      </c>
    </row>
    <row r="872" spans="1:16" x14ac:dyDescent="0.3">
      <c r="A872" s="58" t="s">
        <v>1162</v>
      </c>
      <c r="B872" s="56" t="s">
        <v>70</v>
      </c>
      <c r="C872" s="50" t="str">
        <f>_xlfn.XLOOKUP(B872,CLIENTES!$A$2:$A$301,CLIENTES!$B$2:$B$301)</f>
        <v>Facundo Flores</v>
      </c>
      <c r="D872" s="60">
        <v>46179</v>
      </c>
      <c r="E872" s="60">
        <f t="shared" si="39"/>
        <v>46544</v>
      </c>
      <c r="F872" s="50" t="s">
        <v>1598</v>
      </c>
      <c r="G872" s="56" t="s">
        <v>1606</v>
      </c>
      <c r="H872" s="47">
        <v>61</v>
      </c>
      <c r="I872" s="60">
        <v>23897</v>
      </c>
      <c r="J872" s="56" t="s">
        <v>1609</v>
      </c>
      <c r="K872" s="56">
        <v>2023</v>
      </c>
      <c r="L872" s="52">
        <f t="shared" si="40"/>
        <v>43568.525000000001</v>
      </c>
      <c r="M872" s="56">
        <f>LISTAS!$B$22*_xlfn.XLOOKUP(G872,LISTAS!$B$27:$B$36,LISTAS!$A$27:$A$36)*_xlfn.XLOOKUP(H872,LISTAS!$B$38:$B$47,LISTAS!$A$38:$A$47,,-1)*_xlfn.XLOOKUP(J872,LISTAS!$E$26:$H$26,LISTAS!$E$48:$H$48)*_xlfn.XLOOKUP(F872,LISTAS!$A$15:$A$18,LISTAS!$H$15:$H$18)</f>
        <v>2.7300000000000001E-2</v>
      </c>
      <c r="N872" s="54" cm="1">
        <f t="array" ref="N872">_xlfn.XLOOKUP(K872,LISTAS!$D$27:$D$47,_xlfn.XLOOKUP(J872,LISTAS!$E$26:$H$26,LISTAS!$E$27:$H$47))</f>
        <v>19151000</v>
      </c>
      <c r="O872" s="56" t="s">
        <v>1623</v>
      </c>
      <c r="P872" s="76" t="str">
        <f t="shared" ca="1" si="41"/>
        <v>Vigente</v>
      </c>
    </row>
    <row r="873" spans="1:16" x14ac:dyDescent="0.3">
      <c r="A873" s="58" t="s">
        <v>1163</v>
      </c>
      <c r="B873" s="56" t="s">
        <v>208</v>
      </c>
      <c r="C873" s="50" t="str">
        <f>_xlfn.XLOOKUP(B873,CLIENTES!$A$2:$A$301,CLIENTES!$B$2:$B$301)</f>
        <v>Malena Luna</v>
      </c>
      <c r="D873" s="60">
        <v>45252</v>
      </c>
      <c r="E873" s="60">
        <f t="shared" si="39"/>
        <v>45618</v>
      </c>
      <c r="F873" s="50" t="s">
        <v>1597</v>
      </c>
      <c r="G873" s="56" t="s">
        <v>1608</v>
      </c>
      <c r="H873" s="47">
        <v>68</v>
      </c>
      <c r="I873" s="60">
        <v>21366</v>
      </c>
      <c r="J873" s="56" t="s">
        <v>1609</v>
      </c>
      <c r="K873" s="56">
        <v>2022</v>
      </c>
      <c r="L873" s="52">
        <f t="shared" si="40"/>
        <v>34904.828750000001</v>
      </c>
      <c r="M873" s="56">
        <f>LISTAS!$B$22*_xlfn.XLOOKUP(G873,LISTAS!$B$27:$B$36,LISTAS!$A$27:$A$36)*_xlfn.XLOOKUP(H873,LISTAS!$B$38:$B$47,LISTAS!$A$38:$A$47,,-1)*_xlfn.XLOOKUP(J873,LISTAS!$E$26:$H$26,LISTAS!$E$48:$H$48)*_xlfn.XLOOKUP(F873,LISTAS!$A$15:$A$18,LISTAS!$H$15:$H$18)</f>
        <v>2.4035000000000001E-2</v>
      </c>
      <c r="N873" s="54" cm="1">
        <f t="array" ref="N873">_xlfn.XLOOKUP(K873,LISTAS!$D$27:$D$47,_xlfn.XLOOKUP(J873,LISTAS!$E$26:$H$26,LISTAS!$E$27:$H$47))</f>
        <v>17427000</v>
      </c>
      <c r="O873" s="56" t="s">
        <v>1625</v>
      </c>
      <c r="P873" s="76" t="str">
        <f t="shared" ca="1" si="41"/>
        <v>Vencida</v>
      </c>
    </row>
    <row r="874" spans="1:16" x14ac:dyDescent="0.3">
      <c r="A874" s="58" t="s">
        <v>1164</v>
      </c>
      <c r="B874" s="56" t="s">
        <v>185</v>
      </c>
      <c r="C874" s="50" t="str">
        <f>_xlfn.XLOOKUP(B874,CLIENTES!$A$2:$A$301,CLIENTES!$B$2:$B$301)</f>
        <v>Mateo Gómez</v>
      </c>
      <c r="D874" s="60">
        <v>45761</v>
      </c>
      <c r="E874" s="60">
        <f t="shared" si="39"/>
        <v>46126</v>
      </c>
      <c r="F874" s="50" t="s">
        <v>1595</v>
      </c>
      <c r="G874" s="56" t="s">
        <v>1601</v>
      </c>
      <c r="H874" s="47">
        <v>76</v>
      </c>
      <c r="I874" s="60">
        <v>18238</v>
      </c>
      <c r="J874" s="56" t="s">
        <v>1609</v>
      </c>
      <c r="K874" s="56">
        <v>2018</v>
      </c>
      <c r="L874" s="52">
        <f t="shared" si="40"/>
        <v>19928.292499999996</v>
      </c>
      <c r="M874" s="56">
        <f>LISTAS!$B$22*_xlfn.XLOOKUP(G874,LISTAS!$B$27:$B$36,LISTAS!$A$27:$A$36)*_xlfn.XLOOKUP(H874,LISTAS!$B$38:$B$47,LISTAS!$A$38:$A$47,,-1)*_xlfn.XLOOKUP(J874,LISTAS!$E$26:$H$26,LISTAS!$E$48:$H$48)*_xlfn.XLOOKUP(F874,LISTAS!$A$15:$A$18,LISTAS!$H$15:$H$18)</f>
        <v>2.0009999999999997E-2</v>
      </c>
      <c r="N874" s="54" cm="1">
        <f t="array" ref="N874">_xlfn.XLOOKUP(K874,LISTAS!$D$27:$D$47,_xlfn.XLOOKUP(J874,LISTAS!$E$26:$H$26,LISTAS!$E$27:$H$47))</f>
        <v>11951000</v>
      </c>
      <c r="O874" s="56" t="s">
        <v>1623</v>
      </c>
      <c r="P874" s="76" t="str">
        <f t="shared" ca="1" si="41"/>
        <v>Vencida</v>
      </c>
    </row>
    <row r="875" spans="1:16" x14ac:dyDescent="0.3">
      <c r="A875" s="58" t="s">
        <v>1165</v>
      </c>
      <c r="B875" s="56" t="s">
        <v>276</v>
      </c>
      <c r="C875" s="50" t="str">
        <f>_xlfn.XLOOKUP(B875,CLIENTES!$A$2:$A$301,CLIENTES!$B$2:$B$301)</f>
        <v>Agustina Bravo</v>
      </c>
      <c r="D875" s="60">
        <v>44891</v>
      </c>
      <c r="E875" s="60">
        <f t="shared" si="39"/>
        <v>45256</v>
      </c>
      <c r="F875" s="50" t="s">
        <v>1595</v>
      </c>
      <c r="G875" s="56" t="s">
        <v>1606</v>
      </c>
      <c r="H875" s="47">
        <v>76</v>
      </c>
      <c r="I875" s="60">
        <v>18156</v>
      </c>
      <c r="J875" s="56" t="s">
        <v>1609</v>
      </c>
      <c r="K875" s="56">
        <v>2018</v>
      </c>
      <c r="L875" s="52">
        <f t="shared" si="40"/>
        <v>17328.95</v>
      </c>
      <c r="M875" s="56">
        <f>LISTAS!$B$22*_xlfn.XLOOKUP(G875,LISTAS!$B$27:$B$36,LISTAS!$A$27:$A$36)*_xlfn.XLOOKUP(H875,LISTAS!$B$38:$B$47,LISTAS!$A$38:$A$47,,-1)*_xlfn.XLOOKUP(J875,LISTAS!$E$26:$H$26,LISTAS!$E$48:$H$48)*_xlfn.XLOOKUP(F875,LISTAS!$A$15:$A$18,LISTAS!$H$15:$H$18)</f>
        <v>1.7399999999999999E-2</v>
      </c>
      <c r="N875" s="54" cm="1">
        <f t="array" ref="N875">_xlfn.XLOOKUP(K875,LISTAS!$D$27:$D$47,_xlfn.XLOOKUP(J875,LISTAS!$E$26:$H$26,LISTAS!$E$27:$H$47))</f>
        <v>11951000</v>
      </c>
      <c r="O875" s="56" t="s">
        <v>1624</v>
      </c>
      <c r="P875" s="76" t="str">
        <f t="shared" ca="1" si="41"/>
        <v>Vencida</v>
      </c>
    </row>
    <row r="876" spans="1:16" x14ac:dyDescent="0.3">
      <c r="A876" s="58" t="s">
        <v>1166</v>
      </c>
      <c r="B876" s="56" t="s">
        <v>4</v>
      </c>
      <c r="C876" s="50" t="str">
        <f>_xlfn.XLOOKUP(B876,CLIENTES!$A$2:$A$301,CLIENTES!$B$2:$B$301)</f>
        <v>Sebastián Ortiz</v>
      </c>
      <c r="D876" s="60">
        <v>45131</v>
      </c>
      <c r="E876" s="60">
        <f t="shared" si="39"/>
        <v>45497</v>
      </c>
      <c r="F876" s="50" t="s">
        <v>1598</v>
      </c>
      <c r="G876" s="56" t="s">
        <v>1603</v>
      </c>
      <c r="H876" s="47">
        <v>69</v>
      </c>
      <c r="I876" s="60">
        <v>20743</v>
      </c>
      <c r="J876" s="56" t="s">
        <v>1612</v>
      </c>
      <c r="K876" s="56">
        <v>2026</v>
      </c>
      <c r="L876" s="52">
        <f t="shared" si="40"/>
        <v>79533.999999999985</v>
      </c>
      <c r="M876" s="56">
        <f>LISTAS!$B$22*_xlfn.XLOOKUP(G876,LISTAS!$B$27:$B$36,LISTAS!$A$27:$A$36)*_xlfn.XLOOKUP(H876,LISTAS!$B$38:$B$47,LISTAS!$A$38:$A$47,,-1)*_xlfn.XLOOKUP(J876,LISTAS!$E$26:$H$26,LISTAS!$E$48:$H$48)*_xlfn.XLOOKUP(F876,LISTAS!$A$15:$A$18,LISTAS!$H$15:$H$18)</f>
        <v>2.9825249999999998E-2</v>
      </c>
      <c r="N876" s="54" cm="1">
        <f t="array" ref="N876">_xlfn.XLOOKUP(K876,LISTAS!$D$27:$D$47,_xlfn.XLOOKUP(J876,LISTAS!$E$26:$H$26,LISTAS!$E$27:$H$47))</f>
        <v>32000000</v>
      </c>
      <c r="O876" s="56" t="s">
        <v>1623</v>
      </c>
      <c r="P876" s="76" t="str">
        <f t="shared" ca="1" si="41"/>
        <v>Vencida</v>
      </c>
    </row>
    <row r="877" spans="1:16" x14ac:dyDescent="0.3">
      <c r="A877" s="58" t="s">
        <v>1167</v>
      </c>
      <c r="B877" s="56" t="s">
        <v>195</v>
      </c>
      <c r="C877" s="50" t="str">
        <f>_xlfn.XLOOKUP(B877,CLIENTES!$A$2:$A$301,CLIENTES!$B$2:$B$301)</f>
        <v>Martina Luna</v>
      </c>
      <c r="D877" s="60">
        <v>44463</v>
      </c>
      <c r="E877" s="60">
        <f t="shared" si="39"/>
        <v>44828</v>
      </c>
      <c r="F877" s="50" t="s">
        <v>1596</v>
      </c>
      <c r="G877" s="56" t="s">
        <v>1604</v>
      </c>
      <c r="H877" s="47">
        <v>70</v>
      </c>
      <c r="I877" s="60">
        <v>20506</v>
      </c>
      <c r="J877" s="56" t="s">
        <v>1610</v>
      </c>
      <c r="K877" s="56">
        <v>2012</v>
      </c>
      <c r="L877" s="52">
        <f t="shared" si="40"/>
        <v>26412.3475</v>
      </c>
      <c r="M877" s="56">
        <f>LISTAS!$B$22*_xlfn.XLOOKUP(G877,LISTAS!$B$27:$B$36,LISTAS!$A$27:$A$36)*_xlfn.XLOOKUP(H877,LISTAS!$B$38:$B$47,LISTAS!$A$38:$A$47,,-1)*_xlfn.XLOOKUP(J877,LISTAS!$E$26:$H$26,LISTAS!$E$48:$H$48)*_xlfn.XLOOKUP(F877,LISTAS!$A$15:$A$18,LISTAS!$H$15:$H$18)</f>
        <v>2.7489E-2</v>
      </c>
      <c r="N877" s="54" cm="1">
        <f t="array" ref="N877">_xlfn.XLOOKUP(K877,LISTAS!$D$27:$D$47,_xlfn.XLOOKUP(J877,LISTAS!$E$26:$H$26,LISTAS!$E$27:$H$47))</f>
        <v>11530000</v>
      </c>
      <c r="O877" s="56" t="s">
        <v>1623</v>
      </c>
      <c r="P877" s="76" t="str">
        <f t="shared" ca="1" si="41"/>
        <v>Vencida</v>
      </c>
    </row>
    <row r="878" spans="1:16" x14ac:dyDescent="0.3">
      <c r="A878" s="58" t="s">
        <v>1168</v>
      </c>
      <c r="B878" s="56" t="s">
        <v>200</v>
      </c>
      <c r="C878" s="50" t="str">
        <f>_xlfn.XLOOKUP(B878,CLIENTES!$A$2:$A$301,CLIENTES!$B$2:$B$301)</f>
        <v>Gabriela Sosa</v>
      </c>
      <c r="D878" s="60">
        <v>45407</v>
      </c>
      <c r="E878" s="60">
        <f t="shared" si="39"/>
        <v>45772</v>
      </c>
      <c r="F878" s="50" t="s">
        <v>1598</v>
      </c>
      <c r="G878" s="56" t="s">
        <v>1603</v>
      </c>
      <c r="H878" s="47">
        <v>41</v>
      </c>
      <c r="I878" s="60">
        <v>31134</v>
      </c>
      <c r="J878" s="56" t="s">
        <v>1611</v>
      </c>
      <c r="K878" s="56">
        <v>2020</v>
      </c>
      <c r="L878" s="52">
        <f t="shared" si="40"/>
        <v>58415.237562499999</v>
      </c>
      <c r="M878" s="56">
        <f>LISTAS!$B$22*_xlfn.XLOOKUP(G878,LISTAS!$B$27:$B$36,LISTAS!$A$27:$A$36)*_xlfn.XLOOKUP(H878,LISTAS!$B$38:$B$47,LISTAS!$A$38:$A$47,,-1)*_xlfn.XLOOKUP(J878,LISTAS!$E$26:$H$26,LISTAS!$E$48:$H$48)*_xlfn.XLOOKUP(F878,LISTAS!$A$15:$A$18,LISTAS!$H$15:$H$18)</f>
        <v>2.6984749999999998E-2</v>
      </c>
      <c r="N878" s="54" cm="1">
        <f t="array" ref="N878">_xlfn.XLOOKUP(K878,LISTAS!$D$27:$D$47,_xlfn.XLOOKUP(J878,LISTAS!$E$26:$H$26,LISTAS!$E$27:$H$47))</f>
        <v>25977000</v>
      </c>
      <c r="O878" s="56" t="s">
        <v>1623</v>
      </c>
      <c r="P878" s="76" t="str">
        <f t="shared" ca="1" si="41"/>
        <v>Vencida</v>
      </c>
    </row>
    <row r="879" spans="1:16" x14ac:dyDescent="0.3">
      <c r="A879" s="58" t="s">
        <v>1169</v>
      </c>
      <c r="B879" s="56" t="s">
        <v>271</v>
      </c>
      <c r="C879" s="50" t="str">
        <f>_xlfn.XLOOKUP(B879,CLIENTES!$A$2:$A$301,CLIENTES!$B$2:$B$301)</f>
        <v>Carolina Roldán</v>
      </c>
      <c r="D879" s="60">
        <v>45200</v>
      </c>
      <c r="E879" s="60">
        <f t="shared" si="39"/>
        <v>45566</v>
      </c>
      <c r="F879" s="50" t="s">
        <v>1595</v>
      </c>
      <c r="G879" s="56" t="s">
        <v>1604</v>
      </c>
      <c r="H879" s="47">
        <v>59</v>
      </c>
      <c r="I879" s="60">
        <v>24357</v>
      </c>
      <c r="J879" s="56" t="s">
        <v>1610</v>
      </c>
      <c r="K879" s="56">
        <v>2021</v>
      </c>
      <c r="L879" s="52">
        <f t="shared" si="40"/>
        <v>29306.97</v>
      </c>
      <c r="M879" s="56">
        <f>LISTAS!$B$22*_xlfn.XLOOKUP(G879,LISTAS!$B$27:$B$36,LISTAS!$A$27:$A$36)*_xlfn.XLOOKUP(H879,LISTAS!$B$38:$B$47,LISTAS!$A$38:$A$47,,-1)*_xlfn.XLOOKUP(J879,LISTAS!$E$26:$H$26,LISTAS!$E$48:$H$48)*_xlfn.XLOOKUP(F879,LISTAS!$A$15:$A$18,LISTAS!$H$15:$H$18)</f>
        <v>1.3860000000000001E-2</v>
      </c>
      <c r="N879" s="54" cm="1">
        <f t="array" ref="N879">_xlfn.XLOOKUP(K879,LISTAS!$D$27:$D$47,_xlfn.XLOOKUP(J879,LISTAS!$E$26:$H$26,LISTAS!$E$27:$H$47))</f>
        <v>25374000</v>
      </c>
      <c r="O879" s="56" t="s">
        <v>1623</v>
      </c>
      <c r="P879" s="76" t="str">
        <f t="shared" ca="1" si="41"/>
        <v>Vencida</v>
      </c>
    </row>
    <row r="880" spans="1:16" x14ac:dyDescent="0.3">
      <c r="A880" s="58" t="s">
        <v>1170</v>
      </c>
      <c r="B880" s="56" t="s">
        <v>61</v>
      </c>
      <c r="C880" s="50" t="str">
        <f>_xlfn.XLOOKUP(B880,CLIENTES!$A$2:$A$301,CLIENTES!$B$2:$B$301)</f>
        <v>Mariana Ponce</v>
      </c>
      <c r="D880" s="60">
        <v>46002</v>
      </c>
      <c r="E880" s="60">
        <f t="shared" si="39"/>
        <v>46367</v>
      </c>
      <c r="F880" s="50" t="s">
        <v>1595</v>
      </c>
      <c r="G880" s="56" t="s">
        <v>1606</v>
      </c>
      <c r="H880" s="47">
        <v>26</v>
      </c>
      <c r="I880" s="60">
        <v>36526</v>
      </c>
      <c r="J880" s="56" t="s">
        <v>1610</v>
      </c>
      <c r="K880" s="56">
        <v>2024</v>
      </c>
      <c r="L880" s="52">
        <f t="shared" si="40"/>
        <v>44447.040000000001</v>
      </c>
      <c r="M880" s="56">
        <f>LISTAS!$B$22*_xlfn.XLOOKUP(G880,LISTAS!$B$27:$B$36,LISTAS!$A$27:$A$36)*_xlfn.XLOOKUP(H880,LISTAS!$B$38:$B$47,LISTAS!$A$38:$A$47,,-1)*_xlfn.XLOOKUP(J880,LISTAS!$E$26:$H$26,LISTAS!$E$48:$H$48)*_xlfn.XLOOKUP(F880,LISTAS!$A$15:$A$18,LISTAS!$H$15:$H$18)</f>
        <v>1.584E-2</v>
      </c>
      <c r="N880" s="54" cm="1">
        <f t="array" ref="N880">_xlfn.XLOOKUP(K880,LISTAS!$D$27:$D$47,_xlfn.XLOOKUP(J880,LISTAS!$E$26:$H$26,LISTAS!$E$27:$H$47))</f>
        <v>33672000</v>
      </c>
      <c r="O880" s="56" t="s">
        <v>1624</v>
      </c>
      <c r="P880" s="76" t="str">
        <f t="shared" ca="1" si="41"/>
        <v>Vigente</v>
      </c>
    </row>
    <row r="881" spans="1:16" x14ac:dyDescent="0.3">
      <c r="A881" s="58" t="s">
        <v>1171</v>
      </c>
      <c r="B881" s="56" t="s">
        <v>33</v>
      </c>
      <c r="C881" s="50" t="str">
        <f>_xlfn.XLOOKUP(B881,CLIENTES!$A$2:$A$301,CLIENTES!$B$2:$B$301)</f>
        <v>Daniel Suárez</v>
      </c>
      <c r="D881" s="60">
        <v>45018</v>
      </c>
      <c r="E881" s="60">
        <f t="shared" si="39"/>
        <v>45384</v>
      </c>
      <c r="F881" s="50" t="s">
        <v>1595</v>
      </c>
      <c r="G881" s="56" t="s">
        <v>1608</v>
      </c>
      <c r="H881" s="47">
        <v>34</v>
      </c>
      <c r="I881" s="60">
        <v>33584</v>
      </c>
      <c r="J881" s="56" t="s">
        <v>1609</v>
      </c>
      <c r="K881" s="56">
        <v>2023</v>
      </c>
      <c r="L881" s="52">
        <f t="shared" si="40"/>
        <v>18193.449999999997</v>
      </c>
      <c r="M881" s="56">
        <f>LISTAS!$B$22*_xlfn.XLOOKUP(G881,LISTAS!$B$27:$B$36,LISTAS!$A$27:$A$36)*_xlfn.XLOOKUP(H881,LISTAS!$B$38:$B$47,LISTAS!$A$38:$A$47,,-1)*_xlfn.XLOOKUP(J881,LISTAS!$E$26:$H$26,LISTAS!$E$48:$H$48)*_xlfn.XLOOKUP(F881,LISTAS!$A$15:$A$18,LISTAS!$H$15:$H$18)</f>
        <v>1.1399999999999999E-2</v>
      </c>
      <c r="N881" s="54" cm="1">
        <f t="array" ref="N881">_xlfn.XLOOKUP(K881,LISTAS!$D$27:$D$47,_xlfn.XLOOKUP(J881,LISTAS!$E$26:$H$26,LISTAS!$E$27:$H$47))</f>
        <v>19151000</v>
      </c>
      <c r="O881" s="56" t="s">
        <v>1623</v>
      </c>
      <c r="P881" s="76" t="str">
        <f t="shared" ca="1" si="41"/>
        <v>Vencida</v>
      </c>
    </row>
    <row r="882" spans="1:16" x14ac:dyDescent="0.3">
      <c r="A882" s="58" t="s">
        <v>1172</v>
      </c>
      <c r="B882" s="56" t="s">
        <v>286</v>
      </c>
      <c r="C882" s="50" t="str">
        <f>_xlfn.XLOOKUP(B882,CLIENTES!$A$2:$A$301,CLIENTES!$B$2:$B$301)</f>
        <v>Micaela Ferreyra</v>
      </c>
      <c r="D882" s="60">
        <v>46053</v>
      </c>
      <c r="E882" s="60">
        <f t="shared" si="39"/>
        <v>46418</v>
      </c>
      <c r="F882" s="50" t="s">
        <v>1598</v>
      </c>
      <c r="G882" s="56" t="s">
        <v>1600</v>
      </c>
      <c r="H882" s="47">
        <v>39</v>
      </c>
      <c r="I882" s="60">
        <v>31885</v>
      </c>
      <c r="J882" s="56" t="s">
        <v>1611</v>
      </c>
      <c r="K882" s="56">
        <v>2026</v>
      </c>
      <c r="L882" s="52">
        <f t="shared" si="40"/>
        <v>128943.75</v>
      </c>
      <c r="M882" s="56">
        <f>LISTAS!$B$22*_xlfn.XLOOKUP(G882,LISTAS!$B$27:$B$36,LISTAS!$A$27:$A$36)*_xlfn.XLOOKUP(H882,LISTAS!$B$38:$B$47,LISTAS!$A$38:$A$47,,-1)*_xlfn.XLOOKUP(J882,LISTAS!$E$26:$H$26,LISTAS!$E$48:$H$48)*_xlfn.XLOOKUP(F882,LISTAS!$A$15:$A$18,LISTAS!$H$15:$H$18)</f>
        <v>3.4384999999999999E-2</v>
      </c>
      <c r="N882" s="54" cm="1">
        <f t="array" ref="N882">_xlfn.XLOOKUP(K882,LISTAS!$D$27:$D$47,_xlfn.XLOOKUP(J882,LISTAS!$E$26:$H$26,LISTAS!$E$27:$H$47))</f>
        <v>45000000</v>
      </c>
      <c r="O882" s="56" t="s">
        <v>1625</v>
      </c>
      <c r="P882" s="76" t="str">
        <f t="shared" ca="1" si="41"/>
        <v>Vigente</v>
      </c>
    </row>
    <row r="883" spans="1:16" x14ac:dyDescent="0.3">
      <c r="A883" s="58" t="s">
        <v>1173</v>
      </c>
      <c r="B883" s="56" t="s">
        <v>130</v>
      </c>
      <c r="C883" s="50" t="str">
        <f>_xlfn.XLOOKUP(B883,CLIENTES!$A$2:$A$301,CLIENTES!$B$2:$B$301)</f>
        <v>Sofía Peralta</v>
      </c>
      <c r="D883" s="60">
        <v>45721</v>
      </c>
      <c r="E883" s="60">
        <f t="shared" si="39"/>
        <v>46086</v>
      </c>
      <c r="F883" s="50" t="s">
        <v>1597</v>
      </c>
      <c r="G883" s="56" t="s">
        <v>1606</v>
      </c>
      <c r="H883" s="47">
        <v>21</v>
      </c>
      <c r="I883" s="60">
        <v>38405</v>
      </c>
      <c r="J883" s="56" t="s">
        <v>1612</v>
      </c>
      <c r="K883" s="56">
        <v>2006</v>
      </c>
      <c r="L883" s="52">
        <f t="shared" si="40"/>
        <v>16016.096250000004</v>
      </c>
      <c r="M883" s="56">
        <f>LISTAS!$B$22*_xlfn.XLOOKUP(G883,LISTAS!$B$27:$B$36,LISTAS!$A$27:$A$36)*_xlfn.XLOOKUP(H883,LISTAS!$B$38:$B$47,LISTAS!$A$38:$A$47,,-1)*_xlfn.XLOOKUP(J883,LISTAS!$E$26:$H$26,LISTAS!$E$48:$H$48)*_xlfn.XLOOKUP(F883,LISTAS!$A$15:$A$18,LISTAS!$H$15:$H$18)</f>
        <v>3.1185000000000008E-2</v>
      </c>
      <c r="N883" s="54" cm="1">
        <f t="array" ref="N883">_xlfn.XLOOKUP(K883,LISTAS!$D$27:$D$47,_xlfn.XLOOKUP(J883,LISTAS!$E$26:$H$26,LISTAS!$E$27:$H$47))</f>
        <v>6163000</v>
      </c>
      <c r="O883" s="56" t="s">
        <v>1624</v>
      </c>
      <c r="P883" s="76" t="str">
        <f t="shared" ca="1" si="41"/>
        <v>Vencida</v>
      </c>
    </row>
    <row r="884" spans="1:16" x14ac:dyDescent="0.3">
      <c r="A884" s="58" t="s">
        <v>1174</v>
      </c>
      <c r="B884" s="56" t="s">
        <v>153</v>
      </c>
      <c r="C884" s="50" t="str">
        <f>_xlfn.XLOOKUP(B884,CLIENTES!$A$2:$A$301,CLIENTES!$B$2:$B$301)</f>
        <v>Mateo Arias</v>
      </c>
      <c r="D884" s="60">
        <v>44664</v>
      </c>
      <c r="E884" s="60">
        <f t="shared" si="39"/>
        <v>45029</v>
      </c>
      <c r="F884" s="50" t="s">
        <v>1597</v>
      </c>
      <c r="G884" s="56" t="s">
        <v>1608</v>
      </c>
      <c r="H884" s="47">
        <v>34</v>
      </c>
      <c r="I884" s="60">
        <v>33812</v>
      </c>
      <c r="J884" s="56" t="s">
        <v>1609</v>
      </c>
      <c r="K884" s="56">
        <v>2021</v>
      </c>
      <c r="L884" s="52">
        <f t="shared" si="40"/>
        <v>27621.091666666671</v>
      </c>
      <c r="M884" s="56">
        <f>LISTAS!$B$22*_xlfn.XLOOKUP(G884,LISTAS!$B$27:$B$36,LISTAS!$A$27:$A$36)*_xlfn.XLOOKUP(H884,LISTAS!$B$38:$B$47,LISTAS!$A$38:$A$47,,-1)*_xlfn.XLOOKUP(J884,LISTAS!$E$26:$H$26,LISTAS!$E$48:$H$48)*_xlfn.XLOOKUP(F884,LISTAS!$A$15:$A$18,LISTAS!$H$15:$H$18)</f>
        <v>2.0900000000000002E-2</v>
      </c>
      <c r="N884" s="54" cm="1">
        <f t="array" ref="N884">_xlfn.XLOOKUP(K884,LISTAS!$D$27:$D$47,_xlfn.XLOOKUP(J884,LISTAS!$E$26:$H$26,LISTAS!$E$27:$H$47))</f>
        <v>15859000</v>
      </c>
      <c r="O884" s="56" t="s">
        <v>1624</v>
      </c>
      <c r="P884" s="76" t="str">
        <f t="shared" ca="1" si="41"/>
        <v>Vencida</v>
      </c>
    </row>
    <row r="885" spans="1:16" x14ac:dyDescent="0.3">
      <c r="A885" s="58" t="s">
        <v>1175</v>
      </c>
      <c r="B885" s="56" t="s">
        <v>187</v>
      </c>
      <c r="C885" s="50" t="str">
        <f>_xlfn.XLOOKUP(B885,CLIENTES!$A$2:$A$301,CLIENTES!$B$2:$B$301)</f>
        <v>Victoria Sosa</v>
      </c>
      <c r="D885" s="60">
        <v>45983</v>
      </c>
      <c r="E885" s="60">
        <f t="shared" si="39"/>
        <v>46348</v>
      </c>
      <c r="F885" s="50" t="s">
        <v>1598</v>
      </c>
      <c r="G885" s="56" t="s">
        <v>1601</v>
      </c>
      <c r="H885" s="47">
        <v>65</v>
      </c>
      <c r="I885" s="60">
        <v>22334</v>
      </c>
      <c r="J885" s="56" t="s">
        <v>1609</v>
      </c>
      <c r="K885" s="56">
        <v>2024</v>
      </c>
      <c r="L885" s="52">
        <f t="shared" si="40"/>
        <v>60302.693749999999</v>
      </c>
      <c r="M885" s="56">
        <f>LISTAS!$B$22*_xlfn.XLOOKUP(G885,LISTAS!$B$27:$B$36,LISTAS!$A$27:$A$36)*_xlfn.XLOOKUP(H885,LISTAS!$B$38:$B$47,LISTAS!$A$38:$A$47,,-1)*_xlfn.XLOOKUP(J885,LISTAS!$E$26:$H$26,LISTAS!$E$48:$H$48)*_xlfn.XLOOKUP(F885,LISTAS!$A$15:$A$18,LISTAS!$H$15:$H$18)</f>
        <v>3.4384999999999999E-2</v>
      </c>
      <c r="N885" s="54" cm="1">
        <f t="array" ref="N885">_xlfn.XLOOKUP(K885,LISTAS!$D$27:$D$47,_xlfn.XLOOKUP(J885,LISTAS!$E$26:$H$26,LISTAS!$E$27:$H$47))</f>
        <v>21045000</v>
      </c>
      <c r="O885" s="56" t="s">
        <v>1623</v>
      </c>
      <c r="P885" s="76" t="str">
        <f t="shared" ca="1" si="41"/>
        <v>Vigente</v>
      </c>
    </row>
    <row r="886" spans="1:16" x14ac:dyDescent="0.3">
      <c r="A886" s="58" t="s">
        <v>1176</v>
      </c>
      <c r="B886" s="56" t="s">
        <v>255</v>
      </c>
      <c r="C886" s="50" t="str">
        <f>_xlfn.XLOOKUP(B886,CLIENTES!$A$2:$A$301,CLIENTES!$B$2:$B$301)</f>
        <v>Julieta Vera</v>
      </c>
      <c r="D886" s="60">
        <v>45851</v>
      </c>
      <c r="E886" s="60">
        <f t="shared" si="39"/>
        <v>46216</v>
      </c>
      <c r="F886" s="50" t="s">
        <v>1598</v>
      </c>
      <c r="G886" s="56" t="s">
        <v>1603</v>
      </c>
      <c r="H886" s="47">
        <v>66</v>
      </c>
      <c r="I886" s="60">
        <v>22056</v>
      </c>
      <c r="J886" s="56" t="s">
        <v>1609</v>
      </c>
      <c r="K886" s="56">
        <v>2018</v>
      </c>
      <c r="L886" s="52">
        <f t="shared" si="40"/>
        <v>28289.012916666663</v>
      </c>
      <c r="M886" s="56">
        <f>LISTAS!$B$22*_xlfn.XLOOKUP(G886,LISTAS!$B$27:$B$36,LISTAS!$A$27:$A$36)*_xlfn.XLOOKUP(H886,LISTAS!$B$38:$B$47,LISTAS!$A$38:$A$47,,-1)*_xlfn.XLOOKUP(J886,LISTAS!$E$26:$H$26,LISTAS!$E$48:$H$48)*_xlfn.XLOOKUP(F886,LISTAS!$A$15:$A$18,LISTAS!$H$15:$H$18)</f>
        <v>2.8405E-2</v>
      </c>
      <c r="N886" s="54" cm="1">
        <f t="array" ref="N886">_xlfn.XLOOKUP(K886,LISTAS!$D$27:$D$47,_xlfn.XLOOKUP(J886,LISTAS!$E$26:$H$26,LISTAS!$E$27:$H$47))</f>
        <v>11951000</v>
      </c>
      <c r="O886" s="56" t="s">
        <v>1623</v>
      </c>
      <c r="P886" s="76" t="str">
        <f t="shared" ca="1" si="41"/>
        <v>Vencida</v>
      </c>
    </row>
    <row r="887" spans="1:16" x14ac:dyDescent="0.3">
      <c r="A887" s="58" t="s">
        <v>1177</v>
      </c>
      <c r="B887" s="56" t="s">
        <v>290</v>
      </c>
      <c r="C887" s="50" t="str">
        <f>_xlfn.XLOOKUP(B887,CLIENTES!$A$2:$A$301,CLIENTES!$B$2:$B$301)</f>
        <v>Agustina Campos</v>
      </c>
      <c r="D887" s="60">
        <v>45056</v>
      </c>
      <c r="E887" s="60">
        <f t="shared" si="39"/>
        <v>45422</v>
      </c>
      <c r="F887" s="50" t="s">
        <v>1598</v>
      </c>
      <c r="G887" s="56" t="s">
        <v>1606</v>
      </c>
      <c r="H887" s="47">
        <v>38</v>
      </c>
      <c r="I887" s="60">
        <v>32351</v>
      </c>
      <c r="J887" s="56" t="s">
        <v>1612</v>
      </c>
      <c r="K887" s="56">
        <v>2026</v>
      </c>
      <c r="L887" s="52">
        <f t="shared" si="40"/>
        <v>72800</v>
      </c>
      <c r="M887" s="56">
        <f>LISTAS!$B$22*_xlfn.XLOOKUP(G887,LISTAS!$B$27:$B$36,LISTAS!$A$27:$A$36)*_xlfn.XLOOKUP(H887,LISTAS!$B$38:$B$47,LISTAS!$A$38:$A$47,,-1)*_xlfn.XLOOKUP(J887,LISTAS!$E$26:$H$26,LISTAS!$E$48:$H$48)*_xlfn.XLOOKUP(F887,LISTAS!$A$15:$A$18,LISTAS!$H$15:$H$18)</f>
        <v>2.7300000000000001E-2</v>
      </c>
      <c r="N887" s="54" cm="1">
        <f t="array" ref="N887">_xlfn.XLOOKUP(K887,LISTAS!$D$27:$D$47,_xlfn.XLOOKUP(J887,LISTAS!$E$26:$H$26,LISTAS!$E$27:$H$47))</f>
        <v>32000000</v>
      </c>
      <c r="O887" s="56" t="s">
        <v>1623</v>
      </c>
      <c r="P887" s="76" t="str">
        <f t="shared" ca="1" si="41"/>
        <v>Vencida</v>
      </c>
    </row>
    <row r="888" spans="1:16" x14ac:dyDescent="0.3">
      <c r="A888" s="58" t="s">
        <v>1178</v>
      </c>
      <c r="B888" s="56" t="s">
        <v>255</v>
      </c>
      <c r="C888" s="50" t="str">
        <f>_xlfn.XLOOKUP(B888,CLIENTES!$A$2:$A$301,CLIENTES!$B$2:$B$301)</f>
        <v>Julieta Vera</v>
      </c>
      <c r="D888" s="60">
        <v>46226</v>
      </c>
      <c r="E888" s="60">
        <f t="shared" si="39"/>
        <v>46591</v>
      </c>
      <c r="F888" s="50" t="s">
        <v>1595</v>
      </c>
      <c r="G888" s="56" t="s">
        <v>1608</v>
      </c>
      <c r="H888" s="47">
        <v>31</v>
      </c>
      <c r="I888" s="60">
        <v>34683</v>
      </c>
      <c r="J888" s="56" t="s">
        <v>1612</v>
      </c>
      <c r="K888" s="56">
        <v>2020</v>
      </c>
      <c r="L888" s="52">
        <f t="shared" si="40"/>
        <v>18425.82</v>
      </c>
      <c r="M888" s="56">
        <f>LISTAS!$B$22*_xlfn.XLOOKUP(G888,LISTAS!$B$27:$B$36,LISTAS!$A$27:$A$36)*_xlfn.XLOOKUP(H888,LISTAS!$B$38:$B$47,LISTAS!$A$38:$A$47,,-1)*_xlfn.XLOOKUP(J888,LISTAS!$E$26:$H$26,LISTAS!$E$48:$H$48)*_xlfn.XLOOKUP(F888,LISTAS!$A$15:$A$18,LISTAS!$H$15:$H$18)</f>
        <v>1.197E-2</v>
      </c>
      <c r="N888" s="54" cm="1">
        <f t="array" ref="N888">_xlfn.XLOOKUP(K888,LISTAS!$D$27:$D$47,_xlfn.XLOOKUP(J888,LISTAS!$E$26:$H$26,LISTAS!$E$27:$H$47))</f>
        <v>18472000</v>
      </c>
      <c r="O888" s="56" t="s">
        <v>1626</v>
      </c>
      <c r="P888" s="76" t="str">
        <f t="shared" ca="1" si="41"/>
        <v>Vigente</v>
      </c>
    </row>
    <row r="889" spans="1:16" x14ac:dyDescent="0.3">
      <c r="A889" s="58" t="s">
        <v>1179</v>
      </c>
      <c r="B889" s="56" t="s">
        <v>241</v>
      </c>
      <c r="C889" s="50" t="str">
        <f>_xlfn.XLOOKUP(B889,CLIENTES!$A$2:$A$301,CLIENTES!$B$2:$B$301)</f>
        <v>Florencia Correa</v>
      </c>
      <c r="D889" s="60">
        <v>44696</v>
      </c>
      <c r="E889" s="60">
        <f t="shared" si="39"/>
        <v>45061</v>
      </c>
      <c r="F889" s="50" t="s">
        <v>1598</v>
      </c>
      <c r="G889" s="56" t="s">
        <v>1607</v>
      </c>
      <c r="H889" s="47">
        <v>80</v>
      </c>
      <c r="I889" s="60">
        <v>16674</v>
      </c>
      <c r="J889" s="56" t="s">
        <v>1611</v>
      </c>
      <c r="K889" s="56">
        <v>2018</v>
      </c>
      <c r="L889" s="52">
        <f t="shared" si="40"/>
        <v>85489.195458333343</v>
      </c>
      <c r="M889" s="56">
        <f>LISTAS!$B$22*_xlfn.XLOOKUP(G889,LISTAS!$B$27:$B$36,LISTAS!$A$27:$A$36)*_xlfn.XLOOKUP(H889,LISTAS!$B$38:$B$47,LISTAS!$A$38:$A$47,,-1)*_xlfn.XLOOKUP(J889,LISTAS!$E$26:$H$26,LISTAS!$E$48:$H$48)*_xlfn.XLOOKUP(F889,LISTAS!$A$15:$A$18,LISTAS!$H$15:$H$18)</f>
        <v>4.7690500000000004E-2</v>
      </c>
      <c r="N889" s="54" cm="1">
        <f t="array" ref="N889">_xlfn.XLOOKUP(K889,LISTAS!$D$27:$D$47,_xlfn.XLOOKUP(J889,LISTAS!$E$26:$H$26,LISTAS!$E$27:$H$47))</f>
        <v>21511000</v>
      </c>
      <c r="O889" s="56" t="s">
        <v>1626</v>
      </c>
      <c r="P889" s="76" t="str">
        <f t="shared" ca="1" si="41"/>
        <v>Vencida</v>
      </c>
    </row>
    <row r="890" spans="1:16" x14ac:dyDescent="0.3">
      <c r="A890" s="58" t="s">
        <v>1180</v>
      </c>
      <c r="B890" s="56" t="s">
        <v>112</v>
      </c>
      <c r="C890" s="50" t="str">
        <f>_xlfn.XLOOKUP(B890,CLIENTES!$A$2:$A$301,CLIENTES!$B$2:$B$301)</f>
        <v>Santiago Rodríguez</v>
      </c>
      <c r="D890" s="60">
        <v>45374</v>
      </c>
      <c r="E890" s="60">
        <f t="shared" si="39"/>
        <v>45739</v>
      </c>
      <c r="F890" s="50" t="s">
        <v>1597</v>
      </c>
      <c r="G890" s="56" t="s">
        <v>1602</v>
      </c>
      <c r="H890" s="47">
        <v>79</v>
      </c>
      <c r="I890" s="60">
        <v>17104</v>
      </c>
      <c r="J890" s="56" t="s">
        <v>1611</v>
      </c>
      <c r="K890" s="56">
        <v>2026</v>
      </c>
      <c r="L890" s="52">
        <f t="shared" si="40"/>
        <v>144447.18750000003</v>
      </c>
      <c r="M890" s="56">
        <f>LISTAS!$B$22*_xlfn.XLOOKUP(G890,LISTAS!$B$27:$B$36,LISTAS!$A$27:$A$36)*_xlfn.XLOOKUP(H890,LISTAS!$B$38:$B$47,LISTAS!$A$38:$A$47,,-1)*_xlfn.XLOOKUP(J890,LISTAS!$E$26:$H$26,LISTAS!$E$48:$H$48)*_xlfn.XLOOKUP(F890,LISTAS!$A$15:$A$18,LISTAS!$H$15:$H$18)</f>
        <v>3.8519250000000005E-2</v>
      </c>
      <c r="N890" s="54" cm="1">
        <f t="array" ref="N890">_xlfn.XLOOKUP(K890,LISTAS!$D$27:$D$47,_xlfn.XLOOKUP(J890,LISTAS!$E$26:$H$26,LISTAS!$E$27:$H$47))</f>
        <v>45000000</v>
      </c>
      <c r="O890" s="56" t="s">
        <v>1625</v>
      </c>
      <c r="P890" s="76" t="str">
        <f t="shared" ca="1" si="41"/>
        <v>Vencida</v>
      </c>
    </row>
    <row r="891" spans="1:16" x14ac:dyDescent="0.3">
      <c r="A891" s="58" t="s">
        <v>1181</v>
      </c>
      <c r="B891" s="56" t="s">
        <v>31</v>
      </c>
      <c r="C891" s="50" t="str">
        <f>_xlfn.XLOOKUP(B891,CLIENTES!$A$2:$A$301,CLIENTES!$B$2:$B$301)</f>
        <v>Bruno Vera</v>
      </c>
      <c r="D891" s="60">
        <v>45269</v>
      </c>
      <c r="E891" s="60">
        <f t="shared" si="39"/>
        <v>45635</v>
      </c>
      <c r="F891" s="50" t="s">
        <v>1595</v>
      </c>
      <c r="G891" s="56" t="s">
        <v>1606</v>
      </c>
      <c r="H891" s="47">
        <v>22</v>
      </c>
      <c r="I891" s="60">
        <v>38007</v>
      </c>
      <c r="J891" s="56" t="s">
        <v>1609</v>
      </c>
      <c r="K891" s="56">
        <v>2023</v>
      </c>
      <c r="L891" s="52">
        <f t="shared" si="40"/>
        <v>25853.850000000006</v>
      </c>
      <c r="M891" s="56">
        <f>LISTAS!$B$22*_xlfn.XLOOKUP(G891,LISTAS!$B$27:$B$36,LISTAS!$A$27:$A$36)*_xlfn.XLOOKUP(H891,LISTAS!$B$38:$B$47,LISTAS!$A$38:$A$47,,-1)*_xlfn.XLOOKUP(J891,LISTAS!$E$26:$H$26,LISTAS!$E$48:$H$48)*_xlfn.XLOOKUP(F891,LISTAS!$A$15:$A$18,LISTAS!$H$15:$H$18)</f>
        <v>1.6200000000000003E-2</v>
      </c>
      <c r="N891" s="54" cm="1">
        <f t="array" ref="N891">_xlfn.XLOOKUP(K891,LISTAS!$D$27:$D$47,_xlfn.XLOOKUP(J891,LISTAS!$E$26:$H$26,LISTAS!$E$27:$H$47))</f>
        <v>19151000</v>
      </c>
      <c r="O891" s="56" t="s">
        <v>1623</v>
      </c>
      <c r="P891" s="76" t="str">
        <f t="shared" ca="1" si="41"/>
        <v>Vencida</v>
      </c>
    </row>
    <row r="892" spans="1:16" x14ac:dyDescent="0.3">
      <c r="A892" s="58" t="s">
        <v>1182</v>
      </c>
      <c r="B892" s="56" t="s">
        <v>21</v>
      </c>
      <c r="C892" s="50" t="str">
        <f>_xlfn.XLOOKUP(B892,CLIENTES!$A$2:$A$301,CLIENTES!$B$2:$B$301)</f>
        <v>Victoria Ferreyra</v>
      </c>
      <c r="D892" s="60">
        <v>45582</v>
      </c>
      <c r="E892" s="60">
        <f t="shared" si="39"/>
        <v>45947</v>
      </c>
      <c r="F892" s="50" t="s">
        <v>1597</v>
      </c>
      <c r="G892" s="56" t="s">
        <v>1604</v>
      </c>
      <c r="H892" s="47">
        <v>70</v>
      </c>
      <c r="I892" s="60">
        <v>20481</v>
      </c>
      <c r="J892" s="56" t="s">
        <v>1611</v>
      </c>
      <c r="K892" s="56">
        <v>2017</v>
      </c>
      <c r="L892" s="52">
        <f t="shared" si="40"/>
        <v>60667.818749999999</v>
      </c>
      <c r="M892" s="56">
        <f>LISTAS!$B$22*_xlfn.XLOOKUP(G892,LISTAS!$B$27:$B$36,LISTAS!$A$27:$A$36)*_xlfn.XLOOKUP(H892,LISTAS!$B$38:$B$47,LISTAS!$A$38:$A$47,,-1)*_xlfn.XLOOKUP(J892,LISTAS!$E$26:$H$26,LISTAS!$E$48:$H$48)*_xlfn.XLOOKUP(F892,LISTAS!$A$15:$A$18,LISTAS!$H$15:$H$18)</f>
        <v>3.7190999999999995E-2</v>
      </c>
      <c r="N892" s="54" cm="1">
        <f t="array" ref="N892">_xlfn.XLOOKUP(K892,LISTAS!$D$27:$D$47,_xlfn.XLOOKUP(J892,LISTAS!$E$26:$H$26,LISTAS!$E$27:$H$47))</f>
        <v>19575000</v>
      </c>
      <c r="O892" s="56" t="s">
        <v>1625</v>
      </c>
      <c r="P892" s="76" t="str">
        <f t="shared" ca="1" si="41"/>
        <v>Vencida</v>
      </c>
    </row>
    <row r="893" spans="1:16" x14ac:dyDescent="0.3">
      <c r="A893" s="58" t="s">
        <v>1183</v>
      </c>
      <c r="B893" s="56" t="s">
        <v>87</v>
      </c>
      <c r="C893" s="50" t="str">
        <f>_xlfn.XLOOKUP(B893,CLIENTES!$A$2:$A$301,CLIENTES!$B$2:$B$301)</f>
        <v>Nicolás López</v>
      </c>
      <c r="D893" s="60">
        <v>45089</v>
      </c>
      <c r="E893" s="60">
        <f t="shared" si="39"/>
        <v>45455</v>
      </c>
      <c r="F893" s="50" t="s">
        <v>1598</v>
      </c>
      <c r="G893" s="56" t="s">
        <v>1600</v>
      </c>
      <c r="H893" s="47">
        <v>64</v>
      </c>
      <c r="I893" s="60">
        <v>22784</v>
      </c>
      <c r="J893" s="56" t="s">
        <v>1611</v>
      </c>
      <c r="K893" s="56">
        <v>2022</v>
      </c>
      <c r="L893" s="52">
        <f t="shared" si="40"/>
        <v>94379.518187499998</v>
      </c>
      <c r="M893" s="56">
        <f>LISTAS!$B$22*_xlfn.XLOOKUP(G893,LISTAS!$B$27:$B$36,LISTAS!$A$27:$A$36)*_xlfn.XLOOKUP(H893,LISTAS!$B$38:$B$47,LISTAS!$A$38:$A$47,,-1)*_xlfn.XLOOKUP(J893,LISTAS!$E$26:$H$26,LISTAS!$E$48:$H$48)*_xlfn.XLOOKUP(F893,LISTAS!$A$15:$A$18,LISTAS!$H$15:$H$18)</f>
        <v>3.6104249999999997E-2</v>
      </c>
      <c r="N893" s="54" cm="1">
        <f t="array" ref="N893">_xlfn.XLOOKUP(K893,LISTAS!$D$27:$D$47,_xlfn.XLOOKUP(J893,LISTAS!$E$26:$H$26,LISTAS!$E$27:$H$47))</f>
        <v>31369000</v>
      </c>
      <c r="O893" s="56" t="s">
        <v>1626</v>
      </c>
      <c r="P893" s="76" t="str">
        <f t="shared" ca="1" si="41"/>
        <v>Vencida</v>
      </c>
    </row>
    <row r="894" spans="1:16" x14ac:dyDescent="0.3">
      <c r="A894" s="58" t="s">
        <v>1184</v>
      </c>
      <c r="B894" s="56" t="s">
        <v>108</v>
      </c>
      <c r="C894" s="50" t="str">
        <f>_xlfn.XLOOKUP(B894,CLIENTES!$A$2:$A$301,CLIENTES!$B$2:$B$301)</f>
        <v>Paula Ponce</v>
      </c>
      <c r="D894" s="60">
        <v>45813</v>
      </c>
      <c r="E894" s="60">
        <f t="shared" si="39"/>
        <v>46178</v>
      </c>
      <c r="F894" s="50" t="s">
        <v>1596</v>
      </c>
      <c r="G894" s="56" t="s">
        <v>1608</v>
      </c>
      <c r="H894" s="47">
        <v>66</v>
      </c>
      <c r="I894" s="60">
        <v>21869</v>
      </c>
      <c r="J894" s="56" t="s">
        <v>1611</v>
      </c>
      <c r="K894" s="56">
        <v>2022</v>
      </c>
      <c r="L894" s="52">
        <f t="shared" si="40"/>
        <v>55832.572114583316</v>
      </c>
      <c r="M894" s="56">
        <f>LISTAS!$B$22*_xlfn.XLOOKUP(G894,LISTAS!$B$27:$B$36,LISTAS!$A$27:$A$36)*_xlfn.XLOOKUP(H894,LISTAS!$B$38:$B$47,LISTAS!$A$38:$A$47,,-1)*_xlfn.XLOOKUP(J894,LISTAS!$E$26:$H$26,LISTAS!$E$48:$H$48)*_xlfn.XLOOKUP(F894,LISTAS!$A$15:$A$18,LISTAS!$H$15:$H$18)</f>
        <v>2.1358374999999995E-2</v>
      </c>
      <c r="N894" s="54" cm="1">
        <f t="array" ref="N894">_xlfn.XLOOKUP(K894,LISTAS!$D$27:$D$47,_xlfn.XLOOKUP(J894,LISTAS!$E$26:$H$26,LISTAS!$E$27:$H$47))</f>
        <v>31369000</v>
      </c>
      <c r="O894" s="56" t="s">
        <v>1623</v>
      </c>
      <c r="P894" s="76" t="str">
        <f t="shared" ca="1" si="41"/>
        <v>Vencida</v>
      </c>
    </row>
    <row r="895" spans="1:16" x14ac:dyDescent="0.3">
      <c r="A895" s="58" t="s">
        <v>1185</v>
      </c>
      <c r="B895" s="56" t="s">
        <v>247</v>
      </c>
      <c r="C895" s="50" t="str">
        <f>_xlfn.XLOOKUP(B895,CLIENTES!$A$2:$A$301,CLIENTES!$B$2:$B$301)</f>
        <v>Rodrigo Navarro</v>
      </c>
      <c r="D895" s="60">
        <v>46249</v>
      </c>
      <c r="E895" s="60">
        <f t="shared" si="39"/>
        <v>46614</v>
      </c>
      <c r="F895" s="50" t="s">
        <v>1598</v>
      </c>
      <c r="G895" s="56" t="s">
        <v>1602</v>
      </c>
      <c r="H895" s="47">
        <v>51</v>
      </c>
      <c r="I895" s="60">
        <v>27287</v>
      </c>
      <c r="J895" s="56" t="s">
        <v>1609</v>
      </c>
      <c r="K895" s="56">
        <v>2021</v>
      </c>
      <c r="L895" s="52">
        <f t="shared" si="40"/>
        <v>36079.224999999999</v>
      </c>
      <c r="M895" s="56">
        <f>LISTAS!$B$22*_xlfn.XLOOKUP(G895,LISTAS!$B$27:$B$36,LISTAS!$A$27:$A$36)*_xlfn.XLOOKUP(H895,LISTAS!$B$38:$B$47,LISTAS!$A$38:$A$47,,-1)*_xlfn.XLOOKUP(J895,LISTAS!$E$26:$H$26,LISTAS!$E$48:$H$48)*_xlfn.XLOOKUP(F895,LISTAS!$A$15:$A$18,LISTAS!$H$15:$H$18)</f>
        <v>2.7300000000000001E-2</v>
      </c>
      <c r="N895" s="54" cm="1">
        <f t="array" ref="N895">_xlfn.XLOOKUP(K895,LISTAS!$D$27:$D$47,_xlfn.XLOOKUP(J895,LISTAS!$E$26:$H$26,LISTAS!$E$27:$H$47))</f>
        <v>15859000</v>
      </c>
      <c r="O895" s="56" t="s">
        <v>1623</v>
      </c>
      <c r="P895" s="76" t="str">
        <f t="shared" ca="1" si="41"/>
        <v>Vigente</v>
      </c>
    </row>
    <row r="896" spans="1:16" x14ac:dyDescent="0.3">
      <c r="A896" s="58" t="s">
        <v>1186</v>
      </c>
      <c r="B896" s="56" t="s">
        <v>268</v>
      </c>
      <c r="C896" s="50" t="str">
        <f>_xlfn.XLOOKUP(B896,CLIENTES!$A$2:$A$301,CLIENTES!$B$2:$B$301)</f>
        <v>Natalia Quiroga</v>
      </c>
      <c r="D896" s="60">
        <v>45880</v>
      </c>
      <c r="E896" s="60">
        <f t="shared" si="39"/>
        <v>46245</v>
      </c>
      <c r="F896" s="50" t="s">
        <v>1596</v>
      </c>
      <c r="G896" s="56" t="s">
        <v>1608</v>
      </c>
      <c r="H896" s="47">
        <v>48</v>
      </c>
      <c r="I896" s="60">
        <v>28639</v>
      </c>
      <c r="J896" s="56" t="s">
        <v>1609</v>
      </c>
      <c r="K896" s="56">
        <v>2019</v>
      </c>
      <c r="L896" s="52">
        <f t="shared" si="40"/>
        <v>16791.087708333333</v>
      </c>
      <c r="M896" s="56">
        <f>LISTAS!$B$22*_xlfn.XLOOKUP(G896,LISTAS!$B$27:$B$36,LISTAS!$A$27:$A$36)*_xlfn.XLOOKUP(H896,LISTAS!$B$38:$B$47,LISTAS!$A$38:$A$47,,-1)*_xlfn.XLOOKUP(J896,LISTAS!$E$26:$H$26,LISTAS!$E$48:$H$48)*_xlfn.XLOOKUP(F896,LISTAS!$A$15:$A$18,LISTAS!$H$15:$H$18)</f>
        <v>1.53425E-2</v>
      </c>
      <c r="N896" s="54" cm="1">
        <f t="array" ref="N896">_xlfn.XLOOKUP(K896,LISTAS!$D$27:$D$47,_xlfn.XLOOKUP(J896,LISTAS!$E$26:$H$26,LISTAS!$E$27:$H$47))</f>
        <v>13133000</v>
      </c>
      <c r="O896" s="56" t="s">
        <v>1625</v>
      </c>
      <c r="P896" s="76" t="str">
        <f t="shared" ca="1" si="41"/>
        <v>Vencida</v>
      </c>
    </row>
    <row r="897" spans="1:16" x14ac:dyDescent="0.3">
      <c r="A897" s="58" t="s">
        <v>1187</v>
      </c>
      <c r="B897" s="56" t="s">
        <v>167</v>
      </c>
      <c r="C897" s="50" t="str">
        <f>_xlfn.XLOOKUP(B897,CLIENTES!$A$2:$A$301,CLIENTES!$B$2:$B$301)</f>
        <v>Diego Herrera</v>
      </c>
      <c r="D897" s="60">
        <v>46091</v>
      </c>
      <c r="E897" s="60">
        <f t="shared" si="39"/>
        <v>46456</v>
      </c>
      <c r="F897" s="50" t="s">
        <v>1598</v>
      </c>
      <c r="G897" s="56" t="s">
        <v>1608</v>
      </c>
      <c r="H897" s="47">
        <v>63</v>
      </c>
      <c r="I897" s="60">
        <v>23004</v>
      </c>
      <c r="J897" s="56" t="s">
        <v>1612</v>
      </c>
      <c r="K897" s="56">
        <v>2022</v>
      </c>
      <c r="L897" s="52">
        <f t="shared" si="40"/>
        <v>50621.553937500001</v>
      </c>
      <c r="M897" s="56">
        <f>LISTAS!$B$22*_xlfn.XLOOKUP(G897,LISTAS!$B$27:$B$36,LISTAS!$A$27:$A$36)*_xlfn.XLOOKUP(H897,LISTAS!$B$38:$B$47,LISTAS!$A$38:$A$47,,-1)*_xlfn.XLOOKUP(J897,LISTAS!$E$26:$H$26,LISTAS!$E$48:$H$48)*_xlfn.XLOOKUP(F897,LISTAS!$A$15:$A$18,LISTAS!$H$15:$H$18)</f>
        <v>2.7231750000000002E-2</v>
      </c>
      <c r="N897" s="54" cm="1">
        <f t="array" ref="N897">_xlfn.XLOOKUP(K897,LISTAS!$D$27:$D$47,_xlfn.XLOOKUP(J897,LISTAS!$E$26:$H$26,LISTAS!$E$27:$H$47))</f>
        <v>22307000</v>
      </c>
      <c r="O897" s="56" t="s">
        <v>1624</v>
      </c>
      <c r="P897" s="76" t="str">
        <f t="shared" ca="1" si="41"/>
        <v>Vigente</v>
      </c>
    </row>
    <row r="898" spans="1:16" x14ac:dyDescent="0.3">
      <c r="A898" s="58" t="s">
        <v>1188</v>
      </c>
      <c r="B898" s="56" t="s">
        <v>117</v>
      </c>
      <c r="C898" s="50" t="str">
        <f>_xlfn.XLOOKUP(B898,CLIENTES!$A$2:$A$301,CLIENTES!$B$2:$B$301)</f>
        <v>Gonzalo Gómez</v>
      </c>
      <c r="D898" s="60">
        <v>44895</v>
      </c>
      <c r="E898" s="60">
        <f t="shared" si="39"/>
        <v>45260</v>
      </c>
      <c r="F898" s="50" t="s">
        <v>1598</v>
      </c>
      <c r="G898" s="56" t="s">
        <v>1603</v>
      </c>
      <c r="H898" s="47">
        <v>35</v>
      </c>
      <c r="I898" s="60">
        <v>33420</v>
      </c>
      <c r="J898" s="56" t="s">
        <v>1612</v>
      </c>
      <c r="K898" s="56">
        <v>2020</v>
      </c>
      <c r="L898" s="52">
        <f t="shared" si="40"/>
        <v>39922.61</v>
      </c>
      <c r="M898" s="56">
        <f>LISTAS!$B$22*_xlfn.XLOOKUP(G898,LISTAS!$B$27:$B$36,LISTAS!$A$27:$A$36)*_xlfn.XLOOKUP(H898,LISTAS!$B$38:$B$47,LISTAS!$A$38:$A$47,,-1)*_xlfn.XLOOKUP(J898,LISTAS!$E$26:$H$26,LISTAS!$E$48:$H$48)*_xlfn.XLOOKUP(F898,LISTAS!$A$15:$A$18,LISTAS!$H$15:$H$18)</f>
        <v>2.5935E-2</v>
      </c>
      <c r="N898" s="54" cm="1">
        <f t="array" ref="N898">_xlfn.XLOOKUP(K898,LISTAS!$D$27:$D$47,_xlfn.XLOOKUP(J898,LISTAS!$E$26:$H$26,LISTAS!$E$27:$H$47))</f>
        <v>18472000</v>
      </c>
      <c r="O898" s="56" t="s">
        <v>1626</v>
      </c>
      <c r="P898" s="76" t="str">
        <f t="shared" ca="1" si="41"/>
        <v>Vencida</v>
      </c>
    </row>
    <row r="899" spans="1:16" x14ac:dyDescent="0.3">
      <c r="A899" s="58" t="s">
        <v>1189</v>
      </c>
      <c r="B899" s="56" t="s">
        <v>257</v>
      </c>
      <c r="C899" s="50" t="str">
        <f>_xlfn.XLOOKUP(B899,CLIENTES!$A$2:$A$301,CLIENTES!$B$2:$B$301)</f>
        <v>Maximiliano Ferreyra</v>
      </c>
      <c r="D899" s="60">
        <v>44953</v>
      </c>
      <c r="E899" s="60">
        <f t="shared" ref="E899:E962" si="42">EDATE(D899,12)</f>
        <v>45318</v>
      </c>
      <c r="F899" s="50" t="s">
        <v>1597</v>
      </c>
      <c r="G899" s="56" t="s">
        <v>1601</v>
      </c>
      <c r="H899" s="47">
        <v>28</v>
      </c>
      <c r="I899" s="60">
        <v>35791</v>
      </c>
      <c r="J899" s="56" t="s">
        <v>1609</v>
      </c>
      <c r="K899" s="56">
        <v>2016</v>
      </c>
      <c r="L899" s="52">
        <f t="shared" ref="L899:L962" si="43">(N899*M899)/12</f>
        <v>25176.030000000002</v>
      </c>
      <c r="M899" s="56">
        <f>LISTAS!$B$22*_xlfn.XLOOKUP(G899,LISTAS!$B$27:$B$36,LISTAS!$A$27:$A$36)*_xlfn.XLOOKUP(H899,LISTAS!$B$38:$B$47,LISTAS!$A$38:$A$47,,-1)*_xlfn.XLOOKUP(J899,LISTAS!$E$26:$H$26,LISTAS!$E$48:$H$48)*_xlfn.XLOOKUP(F899,LISTAS!$A$15:$A$18,LISTAS!$H$15:$H$18)</f>
        <v>3.0360000000000002E-2</v>
      </c>
      <c r="N899" s="54" cm="1">
        <f t="array" ref="N899">_xlfn.XLOOKUP(K899,LISTAS!$D$27:$D$47,_xlfn.XLOOKUP(J899,LISTAS!$E$26:$H$26,LISTAS!$E$27:$H$47))</f>
        <v>9951000</v>
      </c>
      <c r="O899" s="56" t="s">
        <v>1624</v>
      </c>
      <c r="P899" s="76" t="str">
        <f t="shared" ref="P899:P962" ca="1" si="44">IF(TODAY()&lt;D899,"Pendiente",IF(TODAY()&gt;E899,"Vencida","Vigente"))</f>
        <v>Vencida</v>
      </c>
    </row>
    <row r="900" spans="1:16" x14ac:dyDescent="0.3">
      <c r="A900" s="58" t="s">
        <v>1190</v>
      </c>
      <c r="B900" s="56" t="s">
        <v>56</v>
      </c>
      <c r="C900" s="50" t="str">
        <f>_xlfn.XLOOKUP(B900,CLIENTES!$A$2:$A$301,CLIENTES!$B$2:$B$301)</f>
        <v>Agustín Romero</v>
      </c>
      <c r="D900" s="60">
        <v>44629</v>
      </c>
      <c r="E900" s="60">
        <f t="shared" si="42"/>
        <v>44994</v>
      </c>
      <c r="F900" s="50" t="s">
        <v>1595</v>
      </c>
      <c r="G900" s="56" t="s">
        <v>1602</v>
      </c>
      <c r="H900" s="47">
        <v>57</v>
      </c>
      <c r="I900" s="60">
        <v>25395</v>
      </c>
      <c r="J900" s="56" t="s">
        <v>1610</v>
      </c>
      <c r="K900" s="56">
        <v>2015</v>
      </c>
      <c r="L900" s="52">
        <f t="shared" si="43"/>
        <v>16918.439999999999</v>
      </c>
      <c r="M900" s="56">
        <f>LISTAS!$B$22*_xlfn.XLOOKUP(G900,LISTAS!$B$27:$B$36,LISTAS!$A$27:$A$36)*_xlfn.XLOOKUP(H900,LISTAS!$B$38:$B$47,LISTAS!$A$38:$A$47,,-1)*_xlfn.XLOOKUP(J900,LISTAS!$E$26:$H$26,LISTAS!$E$48:$H$48)*_xlfn.XLOOKUP(F900,LISTAS!$A$15:$A$18,LISTAS!$H$15:$H$18)</f>
        <v>1.3860000000000001E-2</v>
      </c>
      <c r="N900" s="54" cm="1">
        <f t="array" ref="N900">_xlfn.XLOOKUP(K900,LISTAS!$D$27:$D$47,_xlfn.XLOOKUP(J900,LISTAS!$E$26:$H$26,LISTAS!$E$27:$H$47))</f>
        <v>14648000</v>
      </c>
      <c r="O900" s="56" t="s">
        <v>1623</v>
      </c>
      <c r="P900" s="76" t="str">
        <f t="shared" ca="1" si="44"/>
        <v>Vencida</v>
      </c>
    </row>
    <row r="901" spans="1:16" x14ac:dyDescent="0.3">
      <c r="A901" s="58" t="s">
        <v>1191</v>
      </c>
      <c r="B901" s="56" t="s">
        <v>122</v>
      </c>
      <c r="C901" s="50" t="str">
        <f>_xlfn.XLOOKUP(B901,CLIENTES!$A$2:$A$301,CLIENTES!$B$2:$B$301)</f>
        <v>Lucía Ponce</v>
      </c>
      <c r="D901" s="60">
        <v>45847</v>
      </c>
      <c r="E901" s="60">
        <f t="shared" si="42"/>
        <v>46212</v>
      </c>
      <c r="F901" s="50" t="s">
        <v>1595</v>
      </c>
      <c r="G901" s="56" t="s">
        <v>1601</v>
      </c>
      <c r="H901" s="47">
        <v>40</v>
      </c>
      <c r="I901" s="60">
        <v>31320</v>
      </c>
      <c r="J901" s="56" t="s">
        <v>1609</v>
      </c>
      <c r="K901" s="56">
        <v>2019</v>
      </c>
      <c r="L901" s="52">
        <f t="shared" si="43"/>
        <v>14347.802499999998</v>
      </c>
      <c r="M901" s="56">
        <f>LISTAS!$B$22*_xlfn.XLOOKUP(G901,LISTAS!$B$27:$B$36,LISTAS!$A$27:$A$36)*_xlfn.XLOOKUP(H901,LISTAS!$B$38:$B$47,LISTAS!$A$38:$A$47,,-1)*_xlfn.XLOOKUP(J901,LISTAS!$E$26:$H$26,LISTAS!$E$48:$H$48)*_xlfn.XLOOKUP(F901,LISTAS!$A$15:$A$18,LISTAS!$H$15:$H$18)</f>
        <v>1.3109999999999998E-2</v>
      </c>
      <c r="N901" s="54" cm="1">
        <f t="array" ref="N901">_xlfn.XLOOKUP(K901,LISTAS!$D$27:$D$47,_xlfn.XLOOKUP(J901,LISTAS!$E$26:$H$26,LISTAS!$E$27:$H$47))</f>
        <v>13133000</v>
      </c>
      <c r="O901" s="56" t="s">
        <v>1623</v>
      </c>
      <c r="P901" s="76" t="str">
        <f t="shared" ca="1" si="44"/>
        <v>Vencida</v>
      </c>
    </row>
    <row r="902" spans="1:16" x14ac:dyDescent="0.3">
      <c r="A902" s="58" t="s">
        <v>1192</v>
      </c>
      <c r="B902" s="56" t="s">
        <v>188</v>
      </c>
      <c r="C902" s="50" t="str">
        <f>_xlfn.XLOOKUP(B902,CLIENTES!$A$2:$A$301,CLIENTES!$B$2:$B$301)</f>
        <v>Diego Torres</v>
      </c>
      <c r="D902" s="60">
        <v>45282</v>
      </c>
      <c r="E902" s="60">
        <f t="shared" si="42"/>
        <v>45648</v>
      </c>
      <c r="F902" s="50" t="s">
        <v>1595</v>
      </c>
      <c r="G902" s="56" t="s">
        <v>1599</v>
      </c>
      <c r="H902" s="47">
        <v>64</v>
      </c>
      <c r="I902" s="60">
        <v>22734</v>
      </c>
      <c r="J902" s="56" t="s">
        <v>1611</v>
      </c>
      <c r="K902" s="56">
        <v>2021</v>
      </c>
      <c r="L902" s="52">
        <f t="shared" si="43"/>
        <v>41363.153999999995</v>
      </c>
      <c r="M902" s="56">
        <f>LISTAS!$B$22*_xlfn.XLOOKUP(G902,LISTAS!$B$27:$B$36,LISTAS!$A$27:$A$36)*_xlfn.XLOOKUP(H902,LISTAS!$B$38:$B$47,LISTAS!$A$38:$A$47,,-1)*_xlfn.XLOOKUP(J902,LISTAS!$E$26:$H$26,LISTAS!$E$48:$H$48)*_xlfn.XLOOKUP(F902,LISTAS!$A$15:$A$18,LISTAS!$H$15:$H$18)</f>
        <v>1.7387999999999997E-2</v>
      </c>
      <c r="N902" s="54" cm="1">
        <f t="array" ref="N902">_xlfn.XLOOKUP(K902,LISTAS!$D$27:$D$47,_xlfn.XLOOKUP(J902,LISTAS!$E$26:$H$26,LISTAS!$E$27:$H$47))</f>
        <v>28546000</v>
      </c>
      <c r="O902" s="56" t="s">
        <v>1623</v>
      </c>
      <c r="P902" s="76" t="str">
        <f t="shared" ca="1" si="44"/>
        <v>Vencida</v>
      </c>
    </row>
    <row r="903" spans="1:16" x14ac:dyDescent="0.3">
      <c r="A903" s="58" t="s">
        <v>1193</v>
      </c>
      <c r="B903" s="56" t="s">
        <v>201</v>
      </c>
      <c r="C903" s="50" t="str">
        <f>_xlfn.XLOOKUP(B903,CLIENTES!$A$2:$A$301,CLIENTES!$B$2:$B$301)</f>
        <v>Gabriel Luna</v>
      </c>
      <c r="D903" s="60">
        <v>44480</v>
      </c>
      <c r="E903" s="60">
        <f t="shared" si="42"/>
        <v>44845</v>
      </c>
      <c r="F903" s="50" t="s">
        <v>1596</v>
      </c>
      <c r="G903" s="56" t="s">
        <v>1605</v>
      </c>
      <c r="H903" s="47">
        <v>56</v>
      </c>
      <c r="I903" s="60">
        <v>25545</v>
      </c>
      <c r="J903" s="56" t="s">
        <v>1610</v>
      </c>
      <c r="K903" s="56">
        <v>2007</v>
      </c>
      <c r="L903" s="52">
        <f t="shared" si="43"/>
        <v>11493.487500000003</v>
      </c>
      <c r="M903" s="56">
        <f>LISTAS!$B$22*_xlfn.XLOOKUP(G903,LISTAS!$B$27:$B$36,LISTAS!$A$27:$A$36)*_xlfn.XLOOKUP(H903,LISTAS!$B$38:$B$47,LISTAS!$A$38:$A$47,,-1)*_xlfn.XLOOKUP(J903,LISTAS!$E$26:$H$26,LISTAS!$E$48:$H$48)*_xlfn.XLOOKUP(F903,LISTAS!$A$15:$A$18,LISTAS!$H$15:$H$18)</f>
        <v>1.6830000000000005E-2</v>
      </c>
      <c r="N903" s="54" cm="1">
        <f t="array" ref="N903">_xlfn.XLOOKUP(K903,LISTAS!$D$27:$D$47,_xlfn.XLOOKUP(J903,LISTAS!$E$26:$H$26,LISTAS!$E$27:$H$47))</f>
        <v>8195000</v>
      </c>
      <c r="O903" s="56" t="s">
        <v>1626</v>
      </c>
      <c r="P903" s="76" t="str">
        <f t="shared" ca="1" si="44"/>
        <v>Vencida</v>
      </c>
    </row>
    <row r="904" spans="1:16" x14ac:dyDescent="0.3">
      <c r="A904" s="58" t="s">
        <v>1194</v>
      </c>
      <c r="B904" s="56" t="s">
        <v>146</v>
      </c>
      <c r="C904" s="50" t="str">
        <f>_xlfn.XLOOKUP(B904,CLIENTES!$A$2:$A$301,CLIENTES!$B$2:$B$301)</f>
        <v>Pablo Correa</v>
      </c>
      <c r="D904" s="60">
        <v>45961</v>
      </c>
      <c r="E904" s="60">
        <f t="shared" si="42"/>
        <v>46326</v>
      </c>
      <c r="F904" s="50" t="s">
        <v>1597</v>
      </c>
      <c r="G904" s="56" t="s">
        <v>1607</v>
      </c>
      <c r="H904" s="47">
        <v>19</v>
      </c>
      <c r="I904" s="60">
        <v>39145</v>
      </c>
      <c r="J904" s="56" t="s">
        <v>1610</v>
      </c>
      <c r="K904" s="56">
        <v>2018</v>
      </c>
      <c r="L904" s="52">
        <f t="shared" si="43"/>
        <v>63625.12750000001</v>
      </c>
      <c r="M904" s="56">
        <f>LISTAS!$B$22*_xlfn.XLOOKUP(G904,LISTAS!$B$27:$B$36,LISTAS!$A$27:$A$36)*_xlfn.XLOOKUP(H904,LISTAS!$B$38:$B$47,LISTAS!$A$38:$A$47,,-1)*_xlfn.XLOOKUP(J904,LISTAS!$E$26:$H$26,LISTAS!$E$48:$H$48)*_xlfn.XLOOKUP(F904,LISTAS!$A$15:$A$18,LISTAS!$H$15:$H$18)</f>
        <v>3.9930000000000007E-2</v>
      </c>
      <c r="N904" s="54" cm="1">
        <f t="array" ref="N904">_xlfn.XLOOKUP(K904,LISTAS!$D$27:$D$47,_xlfn.XLOOKUP(J904,LISTAS!$E$26:$H$26,LISTAS!$E$27:$H$47))</f>
        <v>19121000</v>
      </c>
      <c r="O904" s="56" t="s">
        <v>1623</v>
      </c>
      <c r="P904" s="76" t="str">
        <f t="shared" ca="1" si="44"/>
        <v>Vigente</v>
      </c>
    </row>
    <row r="905" spans="1:16" x14ac:dyDescent="0.3">
      <c r="A905" s="58" t="s">
        <v>1195</v>
      </c>
      <c r="B905" s="56" t="s">
        <v>234</v>
      </c>
      <c r="C905" s="50" t="str">
        <f>_xlfn.XLOOKUP(B905,CLIENTES!$A$2:$A$301,CLIENTES!$B$2:$B$301)</f>
        <v>Natalia Suárez</v>
      </c>
      <c r="D905" s="60">
        <v>44976</v>
      </c>
      <c r="E905" s="60">
        <f t="shared" si="42"/>
        <v>45341</v>
      </c>
      <c r="F905" s="50" t="s">
        <v>1597</v>
      </c>
      <c r="G905" s="56" t="s">
        <v>1608</v>
      </c>
      <c r="H905" s="47">
        <v>48</v>
      </c>
      <c r="I905" s="60">
        <v>28539</v>
      </c>
      <c r="J905" s="56" t="s">
        <v>1612</v>
      </c>
      <c r="K905" s="56">
        <v>2021</v>
      </c>
      <c r="L905" s="52">
        <f t="shared" si="43"/>
        <v>35265.706437500005</v>
      </c>
      <c r="M905" s="56">
        <f>LISTAS!$B$22*_xlfn.XLOOKUP(G905,LISTAS!$B$27:$B$36,LISTAS!$A$27:$A$36)*_xlfn.XLOOKUP(H905,LISTAS!$B$38:$B$47,LISTAS!$A$38:$A$47,,-1)*_xlfn.XLOOKUP(J905,LISTAS!$E$26:$H$26,LISTAS!$E$48:$H$48)*_xlfn.XLOOKUP(F905,LISTAS!$A$15:$A$18,LISTAS!$H$15:$H$18)</f>
        <v>2.0847750000000002E-2</v>
      </c>
      <c r="N905" s="54" cm="1">
        <f t="array" ref="N905">_xlfn.XLOOKUP(K905,LISTAS!$D$27:$D$47,_xlfn.XLOOKUP(J905,LISTAS!$E$26:$H$26,LISTAS!$E$27:$H$47))</f>
        <v>20299000</v>
      </c>
      <c r="O905" s="56" t="s">
        <v>1623</v>
      </c>
      <c r="P905" s="76" t="str">
        <f t="shared" ca="1" si="44"/>
        <v>Vencida</v>
      </c>
    </row>
    <row r="906" spans="1:16" x14ac:dyDescent="0.3">
      <c r="A906" s="58" t="s">
        <v>1196</v>
      </c>
      <c r="B906" s="56" t="s">
        <v>182</v>
      </c>
      <c r="C906" s="50" t="str">
        <f>_xlfn.XLOOKUP(B906,CLIENTES!$A$2:$A$301,CLIENTES!$B$2:$B$301)</f>
        <v>Pablo Fernández</v>
      </c>
      <c r="D906" s="60">
        <v>45225</v>
      </c>
      <c r="E906" s="60">
        <f t="shared" si="42"/>
        <v>45591</v>
      </c>
      <c r="F906" s="50" t="s">
        <v>1595</v>
      </c>
      <c r="G906" s="56" t="s">
        <v>1607</v>
      </c>
      <c r="H906" s="47">
        <v>27</v>
      </c>
      <c r="I906" s="60">
        <v>36286</v>
      </c>
      <c r="J906" s="56" t="s">
        <v>1610</v>
      </c>
      <c r="K906" s="56">
        <v>2026</v>
      </c>
      <c r="L906" s="52">
        <f t="shared" si="43"/>
        <v>58080.000000000007</v>
      </c>
      <c r="M906" s="56">
        <f>LISTAS!$B$22*_xlfn.XLOOKUP(G906,LISTAS!$B$27:$B$36,LISTAS!$A$27:$A$36)*_xlfn.XLOOKUP(H906,LISTAS!$B$38:$B$47,LISTAS!$A$38:$A$47,,-1)*_xlfn.XLOOKUP(J906,LISTAS!$E$26:$H$26,LISTAS!$E$48:$H$48)*_xlfn.XLOOKUP(F906,LISTAS!$A$15:$A$18,LISTAS!$H$15:$H$18)</f>
        <v>1.7424000000000002E-2</v>
      </c>
      <c r="N906" s="54" cm="1">
        <f t="array" ref="N906">_xlfn.XLOOKUP(K906,LISTAS!$D$27:$D$47,_xlfn.XLOOKUP(J906,LISTAS!$E$26:$H$26,LISTAS!$E$27:$H$47))</f>
        <v>40000000</v>
      </c>
      <c r="O906" s="56" t="s">
        <v>1626</v>
      </c>
      <c r="P906" s="76" t="str">
        <f t="shared" ca="1" si="44"/>
        <v>Vencida</v>
      </c>
    </row>
    <row r="907" spans="1:16" x14ac:dyDescent="0.3">
      <c r="A907" s="58" t="s">
        <v>1197</v>
      </c>
      <c r="B907" s="56" t="s">
        <v>29</v>
      </c>
      <c r="C907" s="50" t="str">
        <f>_xlfn.XLOOKUP(B907,CLIENTES!$A$2:$A$301,CLIENTES!$B$2:$B$301)</f>
        <v>Malena Vázquez</v>
      </c>
      <c r="D907" s="60">
        <v>45373</v>
      </c>
      <c r="E907" s="60">
        <f t="shared" si="42"/>
        <v>45738</v>
      </c>
      <c r="F907" s="50" t="s">
        <v>1597</v>
      </c>
      <c r="G907" s="56" t="s">
        <v>1606</v>
      </c>
      <c r="H907" s="47">
        <v>63</v>
      </c>
      <c r="I907" s="60">
        <v>23010</v>
      </c>
      <c r="J907" s="56" t="s">
        <v>1610</v>
      </c>
      <c r="K907" s="56">
        <v>2026</v>
      </c>
      <c r="L907" s="52">
        <f t="shared" si="43"/>
        <v>84700.000000000015</v>
      </c>
      <c r="M907" s="56">
        <f>LISTAS!$B$22*_xlfn.XLOOKUP(G907,LISTAS!$B$27:$B$36,LISTAS!$A$27:$A$36)*_xlfn.XLOOKUP(H907,LISTAS!$B$38:$B$47,LISTAS!$A$38:$A$47,,-1)*_xlfn.XLOOKUP(J907,LISTAS!$E$26:$H$26,LISTAS!$E$48:$H$48)*_xlfn.XLOOKUP(F907,LISTAS!$A$15:$A$18,LISTAS!$H$15:$H$18)</f>
        <v>2.5410000000000005E-2</v>
      </c>
      <c r="N907" s="54" cm="1">
        <f t="array" ref="N907">_xlfn.XLOOKUP(K907,LISTAS!$D$27:$D$47,_xlfn.XLOOKUP(J907,LISTAS!$E$26:$H$26,LISTAS!$E$27:$H$47))</f>
        <v>40000000</v>
      </c>
      <c r="O907" s="56" t="s">
        <v>1625</v>
      </c>
      <c r="P907" s="76" t="str">
        <f t="shared" ca="1" si="44"/>
        <v>Vencida</v>
      </c>
    </row>
    <row r="908" spans="1:16" x14ac:dyDescent="0.3">
      <c r="A908" s="58" t="s">
        <v>1198</v>
      </c>
      <c r="B908" s="56" t="s">
        <v>31</v>
      </c>
      <c r="C908" s="50" t="str">
        <f>_xlfn.XLOOKUP(B908,CLIENTES!$A$2:$A$301,CLIENTES!$B$2:$B$301)</f>
        <v>Bruno Vera</v>
      </c>
      <c r="D908" s="60">
        <v>44865</v>
      </c>
      <c r="E908" s="60">
        <f t="shared" si="42"/>
        <v>45230</v>
      </c>
      <c r="F908" s="50" t="s">
        <v>1595</v>
      </c>
      <c r="G908" s="56" t="s">
        <v>1604</v>
      </c>
      <c r="H908" s="47">
        <v>64</v>
      </c>
      <c r="I908" s="60">
        <v>22724</v>
      </c>
      <c r="J908" s="56" t="s">
        <v>1612</v>
      </c>
      <c r="K908" s="56">
        <v>2024</v>
      </c>
      <c r="L908" s="52">
        <f t="shared" si="43"/>
        <v>31184.102250000007</v>
      </c>
      <c r="M908" s="56">
        <f>LISTAS!$B$22*_xlfn.XLOOKUP(G908,LISTAS!$B$27:$B$36,LISTAS!$A$27:$A$36)*_xlfn.XLOOKUP(H908,LISTAS!$B$38:$B$47,LISTAS!$A$38:$A$47,,-1)*_xlfn.XLOOKUP(J908,LISTAS!$E$26:$H$26,LISTAS!$E$48:$H$48)*_xlfn.XLOOKUP(F908,LISTAS!$A$15:$A$18,LISTAS!$H$15:$H$18)</f>
        <v>1.3891500000000003E-2</v>
      </c>
      <c r="N908" s="54" cm="1">
        <f t="array" ref="N908">_xlfn.XLOOKUP(K908,LISTAS!$D$27:$D$47,_xlfn.XLOOKUP(J908,LISTAS!$E$26:$H$26,LISTAS!$E$27:$H$47))</f>
        <v>26938000</v>
      </c>
      <c r="O908" s="56" t="s">
        <v>1623</v>
      </c>
      <c r="P908" s="76" t="str">
        <f t="shared" ca="1" si="44"/>
        <v>Vencida</v>
      </c>
    </row>
    <row r="909" spans="1:16" x14ac:dyDescent="0.3">
      <c r="A909" s="58" t="s">
        <v>1199</v>
      </c>
      <c r="B909" s="56" t="s">
        <v>225</v>
      </c>
      <c r="C909" s="50" t="str">
        <f>_xlfn.XLOOKUP(B909,CLIENTES!$A$2:$A$301,CLIENTES!$B$2:$B$301)</f>
        <v>Lucía Quiroga</v>
      </c>
      <c r="D909" s="60">
        <v>46043</v>
      </c>
      <c r="E909" s="60">
        <f t="shared" si="42"/>
        <v>46408</v>
      </c>
      <c r="F909" s="50" t="s">
        <v>1597</v>
      </c>
      <c r="G909" s="56" t="s">
        <v>1600</v>
      </c>
      <c r="H909" s="47">
        <v>53</v>
      </c>
      <c r="I909" s="60">
        <v>26551</v>
      </c>
      <c r="J909" s="56" t="s">
        <v>1610</v>
      </c>
      <c r="K909" s="56">
        <v>2021</v>
      </c>
      <c r="L909" s="52">
        <f t="shared" si="43"/>
        <v>58846.535000000011</v>
      </c>
      <c r="M909" s="56">
        <f>LISTAS!$B$22*_xlfn.XLOOKUP(G909,LISTAS!$B$27:$B$36,LISTAS!$A$27:$A$36)*_xlfn.XLOOKUP(H909,LISTAS!$B$38:$B$47,LISTAS!$A$38:$A$47,,-1)*_xlfn.XLOOKUP(J909,LISTAS!$E$26:$H$26,LISTAS!$E$48:$H$48)*_xlfn.XLOOKUP(F909,LISTAS!$A$15:$A$18,LISTAS!$H$15:$H$18)</f>
        <v>2.7830000000000004E-2</v>
      </c>
      <c r="N909" s="54" cm="1">
        <f t="array" ref="N909">_xlfn.XLOOKUP(K909,LISTAS!$D$27:$D$47,_xlfn.XLOOKUP(J909,LISTAS!$E$26:$H$26,LISTAS!$E$27:$H$47))</f>
        <v>25374000</v>
      </c>
      <c r="O909" s="56" t="s">
        <v>1623</v>
      </c>
      <c r="P909" s="76" t="str">
        <f t="shared" ca="1" si="44"/>
        <v>Vigente</v>
      </c>
    </row>
    <row r="910" spans="1:16" x14ac:dyDescent="0.3">
      <c r="A910" s="58" t="s">
        <v>1200</v>
      </c>
      <c r="B910" s="56" t="s">
        <v>6</v>
      </c>
      <c r="C910" s="50" t="str">
        <f>_xlfn.XLOOKUP(B910,CLIENTES!$A$2:$A$301,CLIENTES!$B$2:$B$301)</f>
        <v>Gonzalo Flores</v>
      </c>
      <c r="D910" s="60">
        <v>45420</v>
      </c>
      <c r="E910" s="60">
        <f t="shared" si="42"/>
        <v>45785</v>
      </c>
      <c r="F910" s="50" t="s">
        <v>1595</v>
      </c>
      <c r="G910" s="56" t="s">
        <v>1605</v>
      </c>
      <c r="H910" s="47">
        <v>43</v>
      </c>
      <c r="I910" s="60">
        <v>30274</v>
      </c>
      <c r="J910" s="56" t="s">
        <v>1609</v>
      </c>
      <c r="K910" s="56">
        <v>2023</v>
      </c>
      <c r="L910" s="52">
        <f t="shared" si="43"/>
        <v>16374.105000000001</v>
      </c>
      <c r="M910" s="56">
        <f>LISTAS!$B$22*_xlfn.XLOOKUP(G910,LISTAS!$B$27:$B$36,LISTAS!$A$27:$A$36)*_xlfn.XLOOKUP(H910,LISTAS!$B$38:$B$47,LISTAS!$A$38:$A$47,,-1)*_xlfn.XLOOKUP(J910,LISTAS!$E$26:$H$26,LISTAS!$E$48:$H$48)*_xlfn.XLOOKUP(F910,LISTAS!$A$15:$A$18,LISTAS!$H$15:$H$18)</f>
        <v>1.026E-2</v>
      </c>
      <c r="N910" s="54" cm="1">
        <f t="array" ref="N910">_xlfn.XLOOKUP(K910,LISTAS!$D$27:$D$47,_xlfn.XLOOKUP(J910,LISTAS!$E$26:$H$26,LISTAS!$E$27:$H$47))</f>
        <v>19151000</v>
      </c>
      <c r="O910" s="56" t="s">
        <v>1626</v>
      </c>
      <c r="P910" s="76" t="str">
        <f t="shared" ca="1" si="44"/>
        <v>Vencida</v>
      </c>
    </row>
    <row r="911" spans="1:16" x14ac:dyDescent="0.3">
      <c r="A911" s="58" t="s">
        <v>1201</v>
      </c>
      <c r="B911" s="56" t="s">
        <v>258</v>
      </c>
      <c r="C911" s="50" t="str">
        <f>_xlfn.XLOOKUP(B911,CLIENTES!$A$2:$A$301,CLIENTES!$B$2:$B$301)</f>
        <v>Tomás Campos</v>
      </c>
      <c r="D911" s="60">
        <v>44536</v>
      </c>
      <c r="E911" s="60">
        <f t="shared" si="42"/>
        <v>44901</v>
      </c>
      <c r="F911" s="50" t="s">
        <v>1597</v>
      </c>
      <c r="G911" s="56" t="s">
        <v>1599</v>
      </c>
      <c r="H911" s="47">
        <v>68</v>
      </c>
      <c r="I911" s="60">
        <v>21175</v>
      </c>
      <c r="J911" s="56" t="s">
        <v>1612</v>
      </c>
      <c r="K911" s="56">
        <v>2024</v>
      </c>
      <c r="L911" s="52">
        <f t="shared" si="43"/>
        <v>71560.797000000006</v>
      </c>
      <c r="M911" s="56">
        <f>LISTAS!$B$22*_xlfn.XLOOKUP(G911,LISTAS!$B$27:$B$36,LISTAS!$A$27:$A$36)*_xlfn.XLOOKUP(H911,LISTAS!$B$38:$B$47,LISTAS!$A$38:$A$47,,-1)*_xlfn.XLOOKUP(J911,LISTAS!$E$26:$H$26,LISTAS!$E$48:$H$48)*_xlfn.XLOOKUP(F911,LISTAS!$A$15:$A$18,LISTAS!$H$15:$H$18)</f>
        <v>3.1878000000000004E-2</v>
      </c>
      <c r="N911" s="54" cm="1">
        <f t="array" ref="N911">_xlfn.XLOOKUP(K911,LISTAS!$D$27:$D$47,_xlfn.XLOOKUP(J911,LISTAS!$E$26:$H$26,LISTAS!$E$27:$H$47))</f>
        <v>26938000</v>
      </c>
      <c r="O911" s="56" t="s">
        <v>1624</v>
      </c>
      <c r="P911" s="76" t="str">
        <f t="shared" ca="1" si="44"/>
        <v>Vencida</v>
      </c>
    </row>
    <row r="912" spans="1:16" x14ac:dyDescent="0.3">
      <c r="A912" s="58" t="s">
        <v>1202</v>
      </c>
      <c r="B912" s="56" t="s">
        <v>162</v>
      </c>
      <c r="C912" s="50" t="str">
        <f>_xlfn.XLOOKUP(B912,CLIENTES!$A$2:$A$301,CLIENTES!$B$2:$B$301)</f>
        <v>Agustín Correa</v>
      </c>
      <c r="D912" s="60">
        <v>45748</v>
      </c>
      <c r="E912" s="60">
        <f t="shared" si="42"/>
        <v>46113</v>
      </c>
      <c r="F912" s="50" t="s">
        <v>1596</v>
      </c>
      <c r="G912" s="56" t="s">
        <v>1604</v>
      </c>
      <c r="H912" s="47">
        <v>22</v>
      </c>
      <c r="I912" s="60">
        <v>38213</v>
      </c>
      <c r="J912" s="56" t="s">
        <v>1612</v>
      </c>
      <c r="K912" s="56">
        <v>2015</v>
      </c>
      <c r="L912" s="52">
        <f t="shared" si="43"/>
        <v>24707.769187500006</v>
      </c>
      <c r="M912" s="56">
        <f>LISTAS!$B$22*_xlfn.XLOOKUP(G912,LISTAS!$B$27:$B$36,LISTAS!$A$27:$A$36)*_xlfn.XLOOKUP(H912,LISTAS!$B$38:$B$47,LISTAS!$A$38:$A$47,,-1)*_xlfn.XLOOKUP(J912,LISTAS!$E$26:$H$26,LISTAS!$E$48:$H$48)*_xlfn.XLOOKUP(F912,LISTAS!$A$15:$A$18,LISTAS!$H$15:$H$18)</f>
        <v>2.5302375000000005E-2</v>
      </c>
      <c r="N912" s="54" cm="1">
        <f t="array" ref="N912">_xlfn.XLOOKUP(K912,LISTAS!$D$27:$D$47,_xlfn.XLOOKUP(J912,LISTAS!$E$26:$H$26,LISTAS!$E$27:$H$47))</f>
        <v>11718000</v>
      </c>
      <c r="O912" s="56" t="s">
        <v>1623</v>
      </c>
      <c r="P912" s="76" t="str">
        <f t="shared" ca="1" si="44"/>
        <v>Vencida</v>
      </c>
    </row>
    <row r="913" spans="1:16" x14ac:dyDescent="0.3">
      <c r="A913" s="58" t="s">
        <v>1203</v>
      </c>
      <c r="B913" s="56" t="s">
        <v>224</v>
      </c>
      <c r="C913" s="50" t="str">
        <f>_xlfn.XLOOKUP(B913,CLIENTES!$A$2:$A$301,CLIENTES!$B$2:$B$301)</f>
        <v>Martín Gutiérrez</v>
      </c>
      <c r="D913" s="60">
        <v>46252</v>
      </c>
      <c r="E913" s="60">
        <f t="shared" si="42"/>
        <v>46617</v>
      </c>
      <c r="F913" s="50" t="s">
        <v>1597</v>
      </c>
      <c r="G913" s="56" t="s">
        <v>1602</v>
      </c>
      <c r="H913" s="47">
        <v>49</v>
      </c>
      <c r="I913" s="60">
        <v>28001</v>
      </c>
      <c r="J913" s="56" t="s">
        <v>1610</v>
      </c>
      <c r="K913" s="56">
        <v>2026</v>
      </c>
      <c r="L913" s="52">
        <f t="shared" si="43"/>
        <v>80465</v>
      </c>
      <c r="M913" s="56">
        <f>LISTAS!$B$22*_xlfn.XLOOKUP(G913,LISTAS!$B$27:$B$36,LISTAS!$A$27:$A$36)*_xlfn.XLOOKUP(H913,LISTAS!$B$38:$B$47,LISTAS!$A$38:$A$47,,-1)*_xlfn.XLOOKUP(J913,LISTAS!$E$26:$H$26,LISTAS!$E$48:$H$48)*_xlfn.XLOOKUP(F913,LISTAS!$A$15:$A$18,LISTAS!$H$15:$H$18)</f>
        <v>2.4139500000000001E-2</v>
      </c>
      <c r="N913" s="54" cm="1">
        <f t="array" ref="N913">_xlfn.XLOOKUP(K913,LISTAS!$D$27:$D$47,_xlfn.XLOOKUP(J913,LISTAS!$E$26:$H$26,LISTAS!$E$27:$H$47))</f>
        <v>40000000</v>
      </c>
      <c r="O913" s="56" t="s">
        <v>1623</v>
      </c>
      <c r="P913" s="76" t="str">
        <f t="shared" ca="1" si="44"/>
        <v>Vigente</v>
      </c>
    </row>
    <row r="914" spans="1:16" x14ac:dyDescent="0.3">
      <c r="A914" s="58" t="s">
        <v>1204</v>
      </c>
      <c r="B914" s="56" t="s">
        <v>70</v>
      </c>
      <c r="C914" s="50" t="str">
        <f>_xlfn.XLOOKUP(B914,CLIENTES!$A$2:$A$301,CLIENTES!$B$2:$B$301)</f>
        <v>Facundo Flores</v>
      </c>
      <c r="D914" s="60">
        <v>44512</v>
      </c>
      <c r="E914" s="60">
        <f t="shared" si="42"/>
        <v>44877</v>
      </c>
      <c r="F914" s="50" t="s">
        <v>1596</v>
      </c>
      <c r="G914" s="56" t="s">
        <v>1600</v>
      </c>
      <c r="H914" s="47">
        <v>38</v>
      </c>
      <c r="I914" s="60">
        <v>32086</v>
      </c>
      <c r="J914" s="56" t="s">
        <v>1609</v>
      </c>
      <c r="K914" s="56">
        <v>2025</v>
      </c>
      <c r="L914" s="52">
        <f t="shared" si="43"/>
        <v>37470.833333333328</v>
      </c>
      <c r="M914" s="56">
        <f>LISTAS!$B$22*_xlfn.XLOOKUP(G914,LISTAS!$B$27:$B$36,LISTAS!$A$27:$A$36)*_xlfn.XLOOKUP(H914,LISTAS!$B$38:$B$47,LISTAS!$A$38:$A$47,,-1)*_xlfn.XLOOKUP(J914,LISTAS!$E$26:$H$26,LISTAS!$E$48:$H$48)*_xlfn.XLOOKUP(F914,LISTAS!$A$15:$A$18,LISTAS!$H$15:$H$18)</f>
        <v>1.9549999999999998E-2</v>
      </c>
      <c r="N914" s="54" cm="1">
        <f t="array" ref="N914">_xlfn.XLOOKUP(K914,LISTAS!$D$27:$D$47,_xlfn.XLOOKUP(J914,LISTAS!$E$26:$H$26,LISTAS!$E$27:$H$47))</f>
        <v>23000000</v>
      </c>
      <c r="O914" s="56" t="s">
        <v>1623</v>
      </c>
      <c r="P914" s="76" t="str">
        <f t="shared" ca="1" si="44"/>
        <v>Vencida</v>
      </c>
    </row>
    <row r="915" spans="1:16" x14ac:dyDescent="0.3">
      <c r="A915" s="58" t="s">
        <v>1205</v>
      </c>
      <c r="B915" s="56" t="s">
        <v>151</v>
      </c>
      <c r="C915" s="50" t="str">
        <f>_xlfn.XLOOKUP(B915,CLIENTES!$A$2:$A$301,CLIENTES!$B$2:$B$301)</f>
        <v>Alejandro Suárez</v>
      </c>
      <c r="D915" s="60">
        <v>45905</v>
      </c>
      <c r="E915" s="60">
        <f t="shared" si="42"/>
        <v>46270</v>
      </c>
      <c r="F915" s="50" t="s">
        <v>1598</v>
      </c>
      <c r="G915" s="56" t="s">
        <v>1606</v>
      </c>
      <c r="H915" s="47">
        <v>56</v>
      </c>
      <c r="I915" s="60">
        <v>25651</v>
      </c>
      <c r="J915" s="56" t="s">
        <v>1612</v>
      </c>
      <c r="K915" s="56">
        <v>2021</v>
      </c>
      <c r="L915" s="52">
        <f t="shared" si="43"/>
        <v>46180.225000000006</v>
      </c>
      <c r="M915" s="56">
        <f>LISTAS!$B$22*_xlfn.XLOOKUP(G915,LISTAS!$B$27:$B$36,LISTAS!$A$27:$A$36)*_xlfn.XLOOKUP(H915,LISTAS!$B$38:$B$47,LISTAS!$A$38:$A$47,,-1)*_xlfn.XLOOKUP(J915,LISTAS!$E$26:$H$26,LISTAS!$E$48:$H$48)*_xlfn.XLOOKUP(F915,LISTAS!$A$15:$A$18,LISTAS!$H$15:$H$18)</f>
        <v>2.7300000000000001E-2</v>
      </c>
      <c r="N915" s="54" cm="1">
        <f t="array" ref="N915">_xlfn.XLOOKUP(K915,LISTAS!$D$27:$D$47,_xlfn.XLOOKUP(J915,LISTAS!$E$26:$H$26,LISTAS!$E$27:$H$47))</f>
        <v>20299000</v>
      </c>
      <c r="O915" s="56" t="s">
        <v>1623</v>
      </c>
      <c r="P915" s="76" t="str">
        <f t="shared" ca="1" si="44"/>
        <v>Vencida</v>
      </c>
    </row>
    <row r="916" spans="1:16" x14ac:dyDescent="0.3">
      <c r="A916" s="58" t="s">
        <v>1206</v>
      </c>
      <c r="B916" s="56" t="s">
        <v>14</v>
      </c>
      <c r="C916" s="50" t="str">
        <f>_xlfn.XLOOKUP(B916,CLIENTES!$A$2:$A$301,CLIENTES!$B$2:$B$301)</f>
        <v>Pedro Sánchez</v>
      </c>
      <c r="D916" s="60">
        <v>45279</v>
      </c>
      <c r="E916" s="60">
        <f t="shared" si="42"/>
        <v>45645</v>
      </c>
      <c r="F916" s="50" t="s">
        <v>1598</v>
      </c>
      <c r="G916" s="56" t="s">
        <v>1599</v>
      </c>
      <c r="H916" s="47">
        <v>69</v>
      </c>
      <c r="I916" s="60">
        <v>20740</v>
      </c>
      <c r="J916" s="56" t="s">
        <v>1609</v>
      </c>
      <c r="K916" s="56">
        <v>2022</v>
      </c>
      <c r="L916" s="52">
        <f t="shared" si="43"/>
        <v>52106.73</v>
      </c>
      <c r="M916" s="56">
        <f>LISTAS!$B$22*_xlfn.XLOOKUP(G916,LISTAS!$B$27:$B$36,LISTAS!$A$27:$A$36)*_xlfn.XLOOKUP(H916,LISTAS!$B$38:$B$47,LISTAS!$A$38:$A$47,,-1)*_xlfn.XLOOKUP(J916,LISTAS!$E$26:$H$26,LISTAS!$E$48:$H$48)*_xlfn.XLOOKUP(F916,LISTAS!$A$15:$A$18,LISTAS!$H$15:$H$18)</f>
        <v>3.5880000000000002E-2</v>
      </c>
      <c r="N916" s="54" cm="1">
        <f t="array" ref="N916">_xlfn.XLOOKUP(K916,LISTAS!$D$27:$D$47,_xlfn.XLOOKUP(J916,LISTAS!$E$26:$H$26,LISTAS!$E$27:$H$47))</f>
        <v>17427000</v>
      </c>
      <c r="O916" s="56" t="s">
        <v>1626</v>
      </c>
      <c r="P916" s="76" t="str">
        <f t="shared" ca="1" si="44"/>
        <v>Vencida</v>
      </c>
    </row>
    <row r="917" spans="1:16" x14ac:dyDescent="0.3">
      <c r="A917" s="58" t="s">
        <v>1207</v>
      </c>
      <c r="B917" s="56" t="s">
        <v>68</v>
      </c>
      <c r="C917" s="50" t="str">
        <f>_xlfn.XLOOKUP(B917,CLIENTES!$A$2:$A$301,CLIENTES!$B$2:$B$301)</f>
        <v>Daniela Miranda</v>
      </c>
      <c r="D917" s="60">
        <v>46100</v>
      </c>
      <c r="E917" s="60">
        <f t="shared" si="42"/>
        <v>46465</v>
      </c>
      <c r="F917" s="50" t="s">
        <v>1595</v>
      </c>
      <c r="G917" s="56" t="s">
        <v>1603</v>
      </c>
      <c r="H917" s="47">
        <v>19</v>
      </c>
      <c r="I917" s="60">
        <v>39167</v>
      </c>
      <c r="J917" s="56" t="s">
        <v>1609</v>
      </c>
      <c r="K917" s="56">
        <v>2022</v>
      </c>
      <c r="L917" s="52">
        <f t="shared" si="43"/>
        <v>24833.474999999995</v>
      </c>
      <c r="M917" s="56">
        <f>LISTAS!$B$22*_xlfn.XLOOKUP(G917,LISTAS!$B$27:$B$36,LISTAS!$A$27:$A$36)*_xlfn.XLOOKUP(H917,LISTAS!$B$38:$B$47,LISTAS!$A$38:$A$47,,-1)*_xlfn.XLOOKUP(J917,LISTAS!$E$26:$H$26,LISTAS!$E$48:$H$48)*_xlfn.XLOOKUP(F917,LISTAS!$A$15:$A$18,LISTAS!$H$15:$H$18)</f>
        <v>1.7099999999999997E-2</v>
      </c>
      <c r="N917" s="54" cm="1">
        <f t="array" ref="N917">_xlfn.XLOOKUP(K917,LISTAS!$D$27:$D$47,_xlfn.XLOOKUP(J917,LISTAS!$E$26:$H$26,LISTAS!$E$27:$H$47))</f>
        <v>17427000</v>
      </c>
      <c r="O917" s="56" t="s">
        <v>1626</v>
      </c>
      <c r="P917" s="76" t="str">
        <f t="shared" ca="1" si="44"/>
        <v>Vigente</v>
      </c>
    </row>
    <row r="918" spans="1:16" x14ac:dyDescent="0.3">
      <c r="A918" s="58" t="s">
        <v>1208</v>
      </c>
      <c r="B918" s="56" t="s">
        <v>162</v>
      </c>
      <c r="C918" s="50" t="str">
        <f>_xlfn.XLOOKUP(B918,CLIENTES!$A$2:$A$301,CLIENTES!$B$2:$B$301)</f>
        <v>Agustín Correa</v>
      </c>
      <c r="D918" s="60">
        <v>45818</v>
      </c>
      <c r="E918" s="60">
        <f t="shared" si="42"/>
        <v>46183</v>
      </c>
      <c r="F918" s="50" t="s">
        <v>1597</v>
      </c>
      <c r="G918" s="56" t="s">
        <v>1603</v>
      </c>
      <c r="H918" s="47">
        <v>32</v>
      </c>
      <c r="I918" s="60">
        <v>34289</v>
      </c>
      <c r="J918" s="56" t="s">
        <v>1612</v>
      </c>
      <c r="K918" s="56">
        <v>2022</v>
      </c>
      <c r="L918" s="52">
        <f t="shared" si="43"/>
        <v>40793.926249999997</v>
      </c>
      <c r="M918" s="56">
        <f>LISTAS!$B$22*_xlfn.XLOOKUP(G918,LISTAS!$B$27:$B$36,LISTAS!$A$27:$A$36)*_xlfn.XLOOKUP(H918,LISTAS!$B$38:$B$47,LISTAS!$A$38:$A$47,,-1)*_xlfn.XLOOKUP(J918,LISTAS!$E$26:$H$26,LISTAS!$E$48:$H$48)*_xlfn.XLOOKUP(F918,LISTAS!$A$15:$A$18,LISTAS!$H$15:$H$18)</f>
        <v>2.1944999999999999E-2</v>
      </c>
      <c r="N918" s="54" cm="1">
        <f t="array" ref="N918">_xlfn.XLOOKUP(K918,LISTAS!$D$27:$D$47,_xlfn.XLOOKUP(J918,LISTAS!$E$26:$H$26,LISTAS!$E$27:$H$47))</f>
        <v>22307000</v>
      </c>
      <c r="O918" s="56" t="s">
        <v>1624</v>
      </c>
      <c r="P918" s="76" t="str">
        <f t="shared" ca="1" si="44"/>
        <v>Vencida</v>
      </c>
    </row>
    <row r="919" spans="1:16" x14ac:dyDescent="0.3">
      <c r="A919" s="58" t="s">
        <v>1209</v>
      </c>
      <c r="B919" s="56" t="s">
        <v>242</v>
      </c>
      <c r="C919" s="50" t="str">
        <f>_xlfn.XLOOKUP(B919,CLIENTES!$A$2:$A$301,CLIENTES!$B$2:$B$301)</f>
        <v>Malena Vega</v>
      </c>
      <c r="D919" s="60">
        <v>44631</v>
      </c>
      <c r="E919" s="60">
        <f t="shared" si="42"/>
        <v>44996</v>
      </c>
      <c r="F919" s="50" t="s">
        <v>1597</v>
      </c>
      <c r="G919" s="56" t="s">
        <v>1603</v>
      </c>
      <c r="H919" s="47">
        <v>34</v>
      </c>
      <c r="I919" s="60">
        <v>33830</v>
      </c>
      <c r="J919" s="56" t="s">
        <v>1612</v>
      </c>
      <c r="K919" s="56">
        <v>2021</v>
      </c>
      <c r="L919" s="52">
        <f t="shared" si="43"/>
        <v>37121.796249999999</v>
      </c>
      <c r="M919" s="56">
        <f>LISTAS!$B$22*_xlfn.XLOOKUP(G919,LISTAS!$B$27:$B$36,LISTAS!$A$27:$A$36)*_xlfn.XLOOKUP(H919,LISTAS!$B$38:$B$47,LISTAS!$A$38:$A$47,,-1)*_xlfn.XLOOKUP(J919,LISTAS!$E$26:$H$26,LISTAS!$E$48:$H$48)*_xlfn.XLOOKUP(F919,LISTAS!$A$15:$A$18,LISTAS!$H$15:$H$18)</f>
        <v>2.1944999999999999E-2</v>
      </c>
      <c r="N919" s="54" cm="1">
        <f t="array" ref="N919">_xlfn.XLOOKUP(K919,LISTAS!$D$27:$D$47,_xlfn.XLOOKUP(J919,LISTAS!$E$26:$H$26,LISTAS!$E$27:$H$47))</f>
        <v>20299000</v>
      </c>
      <c r="O919" s="56" t="s">
        <v>1624</v>
      </c>
      <c r="P919" s="76" t="str">
        <f t="shared" ca="1" si="44"/>
        <v>Vencida</v>
      </c>
    </row>
    <row r="920" spans="1:16" x14ac:dyDescent="0.3">
      <c r="A920" s="58" t="s">
        <v>1210</v>
      </c>
      <c r="B920" s="56" t="s">
        <v>260</v>
      </c>
      <c r="C920" s="50" t="str">
        <f>_xlfn.XLOOKUP(B920,CLIENTES!$A$2:$A$301,CLIENTES!$B$2:$B$301)</f>
        <v>Daniela Quiroga</v>
      </c>
      <c r="D920" s="60">
        <v>44847</v>
      </c>
      <c r="E920" s="60">
        <f t="shared" si="42"/>
        <v>45212</v>
      </c>
      <c r="F920" s="50" t="s">
        <v>1595</v>
      </c>
      <c r="G920" s="56" t="s">
        <v>1600</v>
      </c>
      <c r="H920" s="47">
        <v>67</v>
      </c>
      <c r="I920" s="60">
        <v>21725</v>
      </c>
      <c r="J920" s="56" t="s">
        <v>1610</v>
      </c>
      <c r="K920" s="56">
        <v>2026</v>
      </c>
      <c r="L920" s="52">
        <f t="shared" si="43"/>
        <v>58190</v>
      </c>
      <c r="M920" s="56">
        <f>LISTAS!$B$22*_xlfn.XLOOKUP(G920,LISTAS!$B$27:$B$36,LISTAS!$A$27:$A$36)*_xlfn.XLOOKUP(H920,LISTAS!$B$38:$B$47,LISTAS!$A$38:$A$47,,-1)*_xlfn.XLOOKUP(J920,LISTAS!$E$26:$H$26,LISTAS!$E$48:$H$48)*_xlfn.XLOOKUP(F920,LISTAS!$A$15:$A$18,LISTAS!$H$15:$H$18)</f>
        <v>1.7457E-2</v>
      </c>
      <c r="N920" s="54" cm="1">
        <f t="array" ref="N920">_xlfn.XLOOKUP(K920,LISTAS!$D$27:$D$47,_xlfn.XLOOKUP(J920,LISTAS!$E$26:$H$26,LISTAS!$E$27:$H$47))</f>
        <v>40000000</v>
      </c>
      <c r="O920" s="56" t="s">
        <v>1624</v>
      </c>
      <c r="P920" s="76" t="str">
        <f t="shared" ca="1" si="44"/>
        <v>Vencida</v>
      </c>
    </row>
    <row r="921" spans="1:16" x14ac:dyDescent="0.3">
      <c r="A921" s="58" t="s">
        <v>1211</v>
      </c>
      <c r="B921" s="56" t="s">
        <v>193</v>
      </c>
      <c r="C921" s="50" t="str">
        <f>_xlfn.XLOOKUP(B921,CLIENTES!$A$2:$A$301,CLIENTES!$B$2:$B$301)</f>
        <v>Maximiliano Benítez</v>
      </c>
      <c r="D921" s="60">
        <v>45096</v>
      </c>
      <c r="E921" s="60">
        <f t="shared" si="42"/>
        <v>45462</v>
      </c>
      <c r="F921" s="50" t="s">
        <v>1597</v>
      </c>
      <c r="G921" s="56" t="s">
        <v>1604</v>
      </c>
      <c r="H921" s="47">
        <v>56</v>
      </c>
      <c r="I921" s="60">
        <v>25694</v>
      </c>
      <c r="J921" s="56" t="s">
        <v>1610</v>
      </c>
      <c r="K921" s="56">
        <v>2022</v>
      </c>
      <c r="L921" s="52">
        <f t="shared" si="43"/>
        <v>59044.370000000017</v>
      </c>
      <c r="M921" s="56">
        <f>LISTAS!$B$22*_xlfn.XLOOKUP(G921,LISTAS!$B$27:$B$36,LISTAS!$A$27:$A$36)*_xlfn.XLOOKUP(H921,LISTAS!$B$38:$B$47,LISTAS!$A$38:$A$47,,-1)*_xlfn.XLOOKUP(J921,LISTAS!$E$26:$H$26,LISTAS!$E$48:$H$48)*_xlfn.XLOOKUP(F921,LISTAS!$A$15:$A$18,LISTAS!$H$15:$H$18)</f>
        <v>2.5410000000000005E-2</v>
      </c>
      <c r="N921" s="54" cm="1">
        <f t="array" ref="N921">_xlfn.XLOOKUP(K921,LISTAS!$D$27:$D$47,_xlfn.XLOOKUP(J921,LISTAS!$E$26:$H$26,LISTAS!$E$27:$H$47))</f>
        <v>27884000</v>
      </c>
      <c r="O921" s="56" t="s">
        <v>1625</v>
      </c>
      <c r="P921" s="76" t="str">
        <f t="shared" ca="1" si="44"/>
        <v>Vencida</v>
      </c>
    </row>
    <row r="922" spans="1:16" x14ac:dyDescent="0.3">
      <c r="A922" s="58" t="s">
        <v>1212</v>
      </c>
      <c r="B922" s="56" t="s">
        <v>279</v>
      </c>
      <c r="C922" s="50" t="str">
        <f>_xlfn.XLOOKUP(B922,CLIENTES!$A$2:$A$301,CLIENTES!$B$2:$B$301)</f>
        <v>Nicolás Martínez</v>
      </c>
      <c r="D922" s="60">
        <v>45428</v>
      </c>
      <c r="E922" s="60">
        <f t="shared" si="42"/>
        <v>45793</v>
      </c>
      <c r="F922" s="50" t="s">
        <v>1595</v>
      </c>
      <c r="G922" s="56" t="s">
        <v>1608</v>
      </c>
      <c r="H922" s="47">
        <v>49</v>
      </c>
      <c r="I922" s="60">
        <v>28350</v>
      </c>
      <c r="J922" s="56" t="s">
        <v>1610</v>
      </c>
      <c r="K922" s="56">
        <v>2018</v>
      </c>
      <c r="L922" s="52">
        <f t="shared" si="43"/>
        <v>18982.372749999999</v>
      </c>
      <c r="M922" s="56">
        <f>LISTAS!$B$22*_xlfn.XLOOKUP(G922,LISTAS!$B$27:$B$36,LISTAS!$A$27:$A$36)*_xlfn.XLOOKUP(H922,LISTAS!$B$38:$B$47,LISTAS!$A$38:$A$47,,-1)*_xlfn.XLOOKUP(J922,LISTAS!$E$26:$H$26,LISTAS!$E$48:$H$48)*_xlfn.XLOOKUP(F922,LISTAS!$A$15:$A$18,LISTAS!$H$15:$H$18)</f>
        <v>1.1913E-2</v>
      </c>
      <c r="N922" s="54" cm="1">
        <f t="array" ref="N922">_xlfn.XLOOKUP(K922,LISTAS!$D$27:$D$47,_xlfn.XLOOKUP(J922,LISTAS!$E$26:$H$26,LISTAS!$E$27:$H$47))</f>
        <v>19121000</v>
      </c>
      <c r="O922" s="56" t="s">
        <v>1626</v>
      </c>
      <c r="P922" s="76" t="str">
        <f t="shared" ca="1" si="44"/>
        <v>Vencida</v>
      </c>
    </row>
    <row r="923" spans="1:16" x14ac:dyDescent="0.3">
      <c r="A923" s="58" t="s">
        <v>1213</v>
      </c>
      <c r="B923" s="56" t="s">
        <v>149</v>
      </c>
      <c r="C923" s="50" t="str">
        <f>_xlfn.XLOOKUP(B923,CLIENTES!$A$2:$A$301,CLIENTES!$B$2:$B$301)</f>
        <v>Santiago Bravo</v>
      </c>
      <c r="D923" s="60">
        <v>44703</v>
      </c>
      <c r="E923" s="60">
        <f t="shared" si="42"/>
        <v>45068</v>
      </c>
      <c r="F923" s="50" t="s">
        <v>1597</v>
      </c>
      <c r="G923" s="56" t="s">
        <v>1605</v>
      </c>
      <c r="H923" s="47">
        <v>67</v>
      </c>
      <c r="I923" s="60">
        <v>21542</v>
      </c>
      <c r="J923" s="56" t="s">
        <v>1610</v>
      </c>
      <c r="K923" s="56">
        <v>2023</v>
      </c>
      <c r="L923" s="52">
        <f t="shared" si="43"/>
        <v>63957.514500000012</v>
      </c>
      <c r="M923" s="56">
        <f>LISTAS!$B$22*_xlfn.XLOOKUP(G923,LISTAS!$B$27:$B$36,LISTAS!$A$27:$A$36)*_xlfn.XLOOKUP(H923,LISTAS!$B$38:$B$47,LISTAS!$A$38:$A$47,,-1)*_xlfn.XLOOKUP(J923,LISTAS!$E$26:$H$26,LISTAS!$E$48:$H$48)*_xlfn.XLOOKUP(F923,LISTAS!$A$15:$A$18,LISTAS!$H$15:$H$18)</f>
        <v>2.5047000000000003E-2</v>
      </c>
      <c r="N923" s="54" cm="1">
        <f t="array" ref="N923">_xlfn.XLOOKUP(K923,LISTAS!$D$27:$D$47,_xlfn.XLOOKUP(J923,LISTAS!$E$26:$H$26,LISTAS!$E$27:$H$47))</f>
        <v>30642000</v>
      </c>
      <c r="O923" s="56" t="s">
        <v>1623</v>
      </c>
      <c r="P923" s="76" t="str">
        <f t="shared" ca="1" si="44"/>
        <v>Vencida</v>
      </c>
    </row>
    <row r="924" spans="1:16" x14ac:dyDescent="0.3">
      <c r="A924" s="58" t="s">
        <v>1214</v>
      </c>
      <c r="B924" s="56" t="s">
        <v>52</v>
      </c>
      <c r="C924" s="50" t="str">
        <f>_xlfn.XLOOKUP(B924,CLIENTES!$A$2:$A$301,CLIENTES!$B$2:$B$301)</f>
        <v>Maximiliano González</v>
      </c>
      <c r="D924" s="60">
        <v>45358</v>
      </c>
      <c r="E924" s="60">
        <f t="shared" si="42"/>
        <v>45723</v>
      </c>
      <c r="F924" s="50" t="s">
        <v>1598</v>
      </c>
      <c r="G924" s="56" t="s">
        <v>1599</v>
      </c>
      <c r="H924" s="47">
        <v>64</v>
      </c>
      <c r="I924" s="60">
        <v>22868</v>
      </c>
      <c r="J924" s="56" t="s">
        <v>1612</v>
      </c>
      <c r="K924" s="56">
        <v>2020</v>
      </c>
      <c r="L924" s="52">
        <f t="shared" si="43"/>
        <v>52949.988000000012</v>
      </c>
      <c r="M924" s="56">
        <f>LISTAS!$B$22*_xlfn.XLOOKUP(G924,LISTAS!$B$27:$B$36,LISTAS!$A$27:$A$36)*_xlfn.XLOOKUP(H924,LISTAS!$B$38:$B$47,LISTAS!$A$38:$A$47,,-1)*_xlfn.XLOOKUP(J924,LISTAS!$E$26:$H$26,LISTAS!$E$48:$H$48)*_xlfn.XLOOKUP(F924,LISTAS!$A$15:$A$18,LISTAS!$H$15:$H$18)</f>
        <v>3.4398000000000005E-2</v>
      </c>
      <c r="N924" s="54" cm="1">
        <f t="array" ref="N924">_xlfn.XLOOKUP(K924,LISTAS!$D$27:$D$47,_xlfn.XLOOKUP(J924,LISTAS!$E$26:$H$26,LISTAS!$E$27:$H$47))</f>
        <v>18472000</v>
      </c>
      <c r="O924" s="56" t="s">
        <v>1626</v>
      </c>
      <c r="P924" s="76" t="str">
        <f t="shared" ca="1" si="44"/>
        <v>Vencida</v>
      </c>
    </row>
    <row r="925" spans="1:16" x14ac:dyDescent="0.3">
      <c r="A925" s="58" t="s">
        <v>1215</v>
      </c>
      <c r="B925" s="56" t="s">
        <v>231</v>
      </c>
      <c r="C925" s="50" t="str">
        <f>_xlfn.XLOOKUP(B925,CLIENTES!$A$2:$A$301,CLIENTES!$B$2:$B$301)</f>
        <v>Carolina Bravo</v>
      </c>
      <c r="D925" s="60">
        <v>45657</v>
      </c>
      <c r="E925" s="60">
        <f t="shared" si="42"/>
        <v>46022</v>
      </c>
      <c r="F925" s="50" t="s">
        <v>1596</v>
      </c>
      <c r="G925" s="56" t="s">
        <v>1600</v>
      </c>
      <c r="H925" s="47">
        <v>75</v>
      </c>
      <c r="I925" s="60">
        <v>18667</v>
      </c>
      <c r="J925" s="56" t="s">
        <v>1609</v>
      </c>
      <c r="K925" s="56">
        <v>2023</v>
      </c>
      <c r="L925" s="52">
        <f t="shared" si="43"/>
        <v>45240.247708333329</v>
      </c>
      <c r="M925" s="56">
        <f>LISTAS!$B$22*_xlfn.XLOOKUP(G925,LISTAS!$B$27:$B$36,LISTAS!$A$27:$A$36)*_xlfn.XLOOKUP(H925,LISTAS!$B$38:$B$47,LISTAS!$A$38:$A$47,,-1)*_xlfn.XLOOKUP(J925,LISTAS!$E$26:$H$26,LISTAS!$E$48:$H$48)*_xlfn.XLOOKUP(F925,LISTAS!$A$15:$A$18,LISTAS!$H$15:$H$18)</f>
        <v>2.8347499999999998E-2</v>
      </c>
      <c r="N925" s="54" cm="1">
        <f t="array" ref="N925">_xlfn.XLOOKUP(K925,LISTAS!$D$27:$D$47,_xlfn.XLOOKUP(J925,LISTAS!$E$26:$H$26,LISTAS!$E$27:$H$47))</f>
        <v>19151000</v>
      </c>
      <c r="O925" s="56" t="s">
        <v>1625</v>
      </c>
      <c r="P925" s="76" t="str">
        <f t="shared" ca="1" si="44"/>
        <v>Vencida</v>
      </c>
    </row>
    <row r="926" spans="1:16" x14ac:dyDescent="0.3">
      <c r="A926" s="58" t="s">
        <v>1216</v>
      </c>
      <c r="B926" s="56" t="s">
        <v>108</v>
      </c>
      <c r="C926" s="50" t="str">
        <f>_xlfn.XLOOKUP(B926,CLIENTES!$A$2:$A$301,CLIENTES!$B$2:$B$301)</f>
        <v>Paula Ponce</v>
      </c>
      <c r="D926" s="60">
        <v>44456</v>
      </c>
      <c r="E926" s="60">
        <f t="shared" si="42"/>
        <v>44821</v>
      </c>
      <c r="F926" s="50" t="s">
        <v>1596</v>
      </c>
      <c r="G926" s="56" t="s">
        <v>1602</v>
      </c>
      <c r="H926" s="47">
        <v>63</v>
      </c>
      <c r="I926" s="60">
        <v>22917</v>
      </c>
      <c r="J926" s="56" t="s">
        <v>1609</v>
      </c>
      <c r="K926" s="56">
        <v>2024</v>
      </c>
      <c r="L926" s="52">
        <f t="shared" si="43"/>
        <v>32869.659375000003</v>
      </c>
      <c r="M926" s="56">
        <f>LISTAS!$B$22*_xlfn.XLOOKUP(G926,LISTAS!$B$27:$B$36,LISTAS!$A$27:$A$36)*_xlfn.XLOOKUP(H926,LISTAS!$B$38:$B$47,LISTAS!$A$38:$A$47,,-1)*_xlfn.XLOOKUP(J926,LISTAS!$E$26:$H$26,LISTAS!$E$48:$H$48)*_xlfn.XLOOKUP(F926,LISTAS!$A$15:$A$18,LISTAS!$H$15:$H$18)</f>
        <v>1.8742500000000002E-2</v>
      </c>
      <c r="N926" s="54" cm="1">
        <f t="array" ref="N926">_xlfn.XLOOKUP(K926,LISTAS!$D$27:$D$47,_xlfn.XLOOKUP(J926,LISTAS!$E$26:$H$26,LISTAS!$E$27:$H$47))</f>
        <v>21045000</v>
      </c>
      <c r="O926" s="56" t="s">
        <v>1623</v>
      </c>
      <c r="P926" s="76" t="str">
        <f t="shared" ca="1" si="44"/>
        <v>Vencida</v>
      </c>
    </row>
    <row r="927" spans="1:16" x14ac:dyDescent="0.3">
      <c r="A927" s="58" t="s">
        <v>1217</v>
      </c>
      <c r="B927" s="56" t="s">
        <v>201</v>
      </c>
      <c r="C927" s="50" t="str">
        <f>_xlfn.XLOOKUP(B927,CLIENTES!$A$2:$A$301,CLIENTES!$B$2:$B$301)</f>
        <v>Gabriel Luna</v>
      </c>
      <c r="D927" s="60">
        <v>44887</v>
      </c>
      <c r="E927" s="60">
        <f t="shared" si="42"/>
        <v>45252</v>
      </c>
      <c r="F927" s="50" t="s">
        <v>1597</v>
      </c>
      <c r="G927" s="56" t="s">
        <v>1608</v>
      </c>
      <c r="H927" s="47">
        <v>33</v>
      </c>
      <c r="I927" s="60">
        <v>34171</v>
      </c>
      <c r="J927" s="56" t="s">
        <v>1610</v>
      </c>
      <c r="K927" s="56">
        <v>2023</v>
      </c>
      <c r="L927" s="52">
        <f t="shared" si="43"/>
        <v>58704.965000000004</v>
      </c>
      <c r="M927" s="56">
        <f>LISTAS!$B$22*_xlfn.XLOOKUP(G927,LISTAS!$B$27:$B$36,LISTAS!$A$27:$A$36)*_xlfn.XLOOKUP(H927,LISTAS!$B$38:$B$47,LISTAS!$A$38:$A$47,,-1)*_xlfn.XLOOKUP(J927,LISTAS!$E$26:$H$26,LISTAS!$E$48:$H$48)*_xlfn.XLOOKUP(F927,LISTAS!$A$15:$A$18,LISTAS!$H$15:$H$18)</f>
        <v>2.2990000000000003E-2</v>
      </c>
      <c r="N927" s="54" cm="1">
        <f t="array" ref="N927">_xlfn.XLOOKUP(K927,LISTAS!$D$27:$D$47,_xlfn.XLOOKUP(J927,LISTAS!$E$26:$H$26,LISTAS!$E$27:$H$47))</f>
        <v>30642000</v>
      </c>
      <c r="O927" s="56" t="s">
        <v>1623</v>
      </c>
      <c r="P927" s="76" t="str">
        <f t="shared" ca="1" si="44"/>
        <v>Vencida</v>
      </c>
    </row>
    <row r="928" spans="1:16" x14ac:dyDescent="0.3">
      <c r="A928" s="58" t="s">
        <v>1218</v>
      </c>
      <c r="B928" s="56" t="s">
        <v>121</v>
      </c>
      <c r="C928" s="50" t="str">
        <f>_xlfn.XLOOKUP(B928,CLIENTES!$A$2:$A$301,CLIENTES!$B$2:$B$301)</f>
        <v>Camila Ponce</v>
      </c>
      <c r="D928" s="60">
        <v>44540</v>
      </c>
      <c r="E928" s="60">
        <f t="shared" si="42"/>
        <v>44905</v>
      </c>
      <c r="F928" s="50" t="s">
        <v>1597</v>
      </c>
      <c r="G928" s="56" t="s">
        <v>1606</v>
      </c>
      <c r="H928" s="47">
        <v>69</v>
      </c>
      <c r="I928" s="60">
        <v>20708</v>
      </c>
      <c r="J928" s="56" t="s">
        <v>1610</v>
      </c>
      <c r="K928" s="56">
        <v>2018</v>
      </c>
      <c r="L928" s="52">
        <f t="shared" si="43"/>
        <v>44344.785833333335</v>
      </c>
      <c r="M928" s="56">
        <f>LISTAS!$B$22*_xlfn.XLOOKUP(G928,LISTAS!$B$27:$B$36,LISTAS!$A$27:$A$36)*_xlfn.XLOOKUP(H928,LISTAS!$B$38:$B$47,LISTAS!$A$38:$A$47,,-1)*_xlfn.XLOOKUP(J928,LISTAS!$E$26:$H$26,LISTAS!$E$48:$H$48)*_xlfn.XLOOKUP(F928,LISTAS!$A$15:$A$18,LISTAS!$H$15:$H$18)</f>
        <v>2.7830000000000004E-2</v>
      </c>
      <c r="N928" s="54" cm="1">
        <f t="array" ref="N928">_xlfn.XLOOKUP(K928,LISTAS!$D$27:$D$47,_xlfn.XLOOKUP(J928,LISTAS!$E$26:$H$26,LISTAS!$E$27:$H$47))</f>
        <v>19121000</v>
      </c>
      <c r="O928" s="56" t="s">
        <v>1624</v>
      </c>
      <c r="P928" s="76" t="str">
        <f t="shared" ca="1" si="44"/>
        <v>Vencida</v>
      </c>
    </row>
    <row r="929" spans="1:16" x14ac:dyDescent="0.3">
      <c r="A929" s="58" t="s">
        <v>1219</v>
      </c>
      <c r="B929" s="56" t="s">
        <v>183</v>
      </c>
      <c r="C929" s="50" t="str">
        <f>_xlfn.XLOOKUP(B929,CLIENTES!$A$2:$A$301,CLIENTES!$B$2:$B$301)</f>
        <v>Julieta Vázquez</v>
      </c>
      <c r="D929" s="60">
        <v>46215</v>
      </c>
      <c r="E929" s="60">
        <f t="shared" si="42"/>
        <v>46580</v>
      </c>
      <c r="F929" s="50" t="s">
        <v>1596</v>
      </c>
      <c r="G929" s="56" t="s">
        <v>1603</v>
      </c>
      <c r="H929" s="47">
        <v>54</v>
      </c>
      <c r="I929" s="60">
        <v>26490</v>
      </c>
      <c r="J929" s="56" t="s">
        <v>1610</v>
      </c>
      <c r="K929" s="56">
        <v>2026</v>
      </c>
      <c r="L929" s="52">
        <f t="shared" si="43"/>
        <v>59216.666666666664</v>
      </c>
      <c r="M929" s="56">
        <f>LISTAS!$B$22*_xlfn.XLOOKUP(G929,LISTAS!$B$27:$B$36,LISTAS!$A$27:$A$36)*_xlfn.XLOOKUP(H929,LISTAS!$B$38:$B$47,LISTAS!$A$38:$A$47,,-1)*_xlfn.XLOOKUP(J929,LISTAS!$E$26:$H$26,LISTAS!$E$48:$H$48)*_xlfn.XLOOKUP(F929,LISTAS!$A$15:$A$18,LISTAS!$H$15:$H$18)</f>
        <v>1.7765E-2</v>
      </c>
      <c r="N929" s="54" cm="1">
        <f t="array" ref="N929">_xlfn.XLOOKUP(K929,LISTAS!$D$27:$D$47,_xlfn.XLOOKUP(J929,LISTAS!$E$26:$H$26,LISTAS!$E$27:$H$47))</f>
        <v>40000000</v>
      </c>
      <c r="O929" s="56" t="s">
        <v>1623</v>
      </c>
      <c r="P929" s="76" t="str">
        <f t="shared" ca="1" si="44"/>
        <v>Vigente</v>
      </c>
    </row>
    <row r="930" spans="1:16" x14ac:dyDescent="0.3">
      <c r="A930" s="58" t="s">
        <v>1220</v>
      </c>
      <c r="B930" s="56" t="s">
        <v>238</v>
      </c>
      <c r="C930" s="50" t="str">
        <f>_xlfn.XLOOKUP(B930,CLIENTES!$A$2:$A$301,CLIENTES!$B$2:$B$301)</f>
        <v>Victoria Campos</v>
      </c>
      <c r="D930" s="60">
        <v>44801</v>
      </c>
      <c r="E930" s="60">
        <f t="shared" si="42"/>
        <v>45166</v>
      </c>
      <c r="F930" s="50" t="s">
        <v>1596</v>
      </c>
      <c r="G930" s="56" t="s">
        <v>1603</v>
      </c>
      <c r="H930" s="47">
        <v>55</v>
      </c>
      <c r="I930" s="60">
        <v>25802</v>
      </c>
      <c r="J930" s="56" t="s">
        <v>1611</v>
      </c>
      <c r="K930" s="56">
        <v>2020</v>
      </c>
      <c r="L930" s="52">
        <f t="shared" si="43"/>
        <v>40204.819374999999</v>
      </c>
      <c r="M930" s="56">
        <f>LISTAS!$B$22*_xlfn.XLOOKUP(G930,LISTAS!$B$27:$B$36,LISTAS!$A$27:$A$36)*_xlfn.XLOOKUP(H930,LISTAS!$B$38:$B$47,LISTAS!$A$38:$A$47,,-1)*_xlfn.XLOOKUP(J930,LISTAS!$E$26:$H$26,LISTAS!$E$48:$H$48)*_xlfn.XLOOKUP(F930,LISTAS!$A$15:$A$18,LISTAS!$H$15:$H$18)</f>
        <v>1.8572499999999999E-2</v>
      </c>
      <c r="N930" s="54" cm="1">
        <f t="array" ref="N930">_xlfn.XLOOKUP(K930,LISTAS!$D$27:$D$47,_xlfn.XLOOKUP(J930,LISTAS!$E$26:$H$26,LISTAS!$E$27:$H$47))</f>
        <v>25977000</v>
      </c>
      <c r="O930" s="56" t="s">
        <v>1625</v>
      </c>
      <c r="P930" s="76" t="str">
        <f t="shared" ca="1" si="44"/>
        <v>Vencida</v>
      </c>
    </row>
    <row r="931" spans="1:16" x14ac:dyDescent="0.3">
      <c r="A931" s="58" t="s">
        <v>1221</v>
      </c>
      <c r="B931" s="56" t="s">
        <v>275</v>
      </c>
      <c r="C931" s="50" t="str">
        <f>_xlfn.XLOOKUP(B931,CLIENTES!$A$2:$A$301,CLIENTES!$B$2:$B$301)</f>
        <v>Martina Arias</v>
      </c>
      <c r="D931" s="60">
        <v>45893</v>
      </c>
      <c r="E931" s="60">
        <f t="shared" si="42"/>
        <v>46258</v>
      </c>
      <c r="F931" s="50" t="s">
        <v>1596</v>
      </c>
      <c r="G931" s="56" t="s">
        <v>1599</v>
      </c>
      <c r="H931" s="47">
        <v>77</v>
      </c>
      <c r="I931" s="60">
        <v>18014</v>
      </c>
      <c r="J931" s="56" t="s">
        <v>1612</v>
      </c>
      <c r="K931" s="56">
        <v>2007</v>
      </c>
      <c r="L931" s="52">
        <f t="shared" si="43"/>
        <v>16968.566999999999</v>
      </c>
      <c r="M931" s="56">
        <f>LISTAS!$B$22*_xlfn.XLOOKUP(G931,LISTAS!$B$27:$B$36,LISTAS!$A$27:$A$36)*_xlfn.XLOOKUP(H931,LISTAS!$B$38:$B$47,LISTAS!$A$38:$A$47,,-1)*_xlfn.XLOOKUP(J931,LISTAS!$E$26:$H$26,LISTAS!$E$48:$H$48)*_xlfn.XLOOKUP(F931,LISTAS!$A$15:$A$18,LISTAS!$H$15:$H$18)</f>
        <v>3.1058999999999996E-2</v>
      </c>
      <c r="N931" s="54" cm="1">
        <f t="array" ref="N931">_xlfn.XLOOKUP(K931,LISTAS!$D$27:$D$47,_xlfn.XLOOKUP(J931,LISTAS!$E$26:$H$26,LISTAS!$E$27:$H$47))</f>
        <v>6556000</v>
      </c>
      <c r="O931" s="56" t="s">
        <v>1624</v>
      </c>
      <c r="P931" s="76" t="str">
        <f t="shared" ca="1" si="44"/>
        <v>Vencida</v>
      </c>
    </row>
    <row r="932" spans="1:16" x14ac:dyDescent="0.3">
      <c r="A932" s="58" t="s">
        <v>1222</v>
      </c>
      <c r="B932" s="56" t="s">
        <v>249</v>
      </c>
      <c r="C932" s="50" t="str">
        <f>_xlfn.XLOOKUP(B932,CLIENTES!$A$2:$A$301,CLIENTES!$B$2:$B$301)</f>
        <v>Valentina Mansilla</v>
      </c>
      <c r="D932" s="60">
        <v>44707</v>
      </c>
      <c r="E932" s="60">
        <f t="shared" si="42"/>
        <v>45072</v>
      </c>
      <c r="F932" s="50" t="s">
        <v>1598</v>
      </c>
      <c r="G932" s="56" t="s">
        <v>1602</v>
      </c>
      <c r="H932" s="47">
        <v>23</v>
      </c>
      <c r="I932" s="60">
        <v>37626</v>
      </c>
      <c r="J932" s="56" t="s">
        <v>1610</v>
      </c>
      <c r="K932" s="56">
        <v>2022</v>
      </c>
      <c r="L932" s="52">
        <f t="shared" si="43"/>
        <v>94202.608500000031</v>
      </c>
      <c r="M932" s="56">
        <f>LISTAS!$B$22*_xlfn.XLOOKUP(G932,LISTAS!$B$27:$B$36,LISTAS!$A$27:$A$36)*_xlfn.XLOOKUP(H932,LISTAS!$B$38:$B$47,LISTAS!$A$38:$A$47,,-1)*_xlfn.XLOOKUP(J932,LISTAS!$E$26:$H$26,LISTAS!$E$48:$H$48)*_xlfn.XLOOKUP(F932,LISTAS!$A$15:$A$18,LISTAS!$H$15:$H$18)</f>
        <v>4.0540500000000014E-2</v>
      </c>
      <c r="N932" s="54" cm="1">
        <f t="array" ref="N932">_xlfn.XLOOKUP(K932,LISTAS!$D$27:$D$47,_xlfn.XLOOKUP(J932,LISTAS!$E$26:$H$26,LISTAS!$E$27:$H$47))</f>
        <v>27884000</v>
      </c>
      <c r="O932" s="56" t="s">
        <v>1624</v>
      </c>
      <c r="P932" s="76" t="str">
        <f t="shared" ca="1" si="44"/>
        <v>Vencida</v>
      </c>
    </row>
    <row r="933" spans="1:16" x14ac:dyDescent="0.3">
      <c r="A933" s="58" t="s">
        <v>1223</v>
      </c>
      <c r="B933" s="56" t="s">
        <v>7</v>
      </c>
      <c r="C933" s="50" t="str">
        <f>_xlfn.XLOOKUP(B933,CLIENTES!$A$2:$A$301,CLIENTES!$B$2:$B$301)</f>
        <v>Federico Ramírez</v>
      </c>
      <c r="D933" s="60">
        <v>44741</v>
      </c>
      <c r="E933" s="60">
        <f t="shared" si="42"/>
        <v>45106</v>
      </c>
      <c r="F933" s="50" t="s">
        <v>1597</v>
      </c>
      <c r="G933" s="56" t="s">
        <v>1608</v>
      </c>
      <c r="H933" s="47">
        <v>70</v>
      </c>
      <c r="I933" s="60">
        <v>20339</v>
      </c>
      <c r="J933" s="56" t="s">
        <v>1609</v>
      </c>
      <c r="K933" s="56">
        <v>2016</v>
      </c>
      <c r="L933" s="52">
        <f t="shared" si="43"/>
        <v>24263.855</v>
      </c>
      <c r="M933" s="56">
        <f>LISTAS!$B$22*_xlfn.XLOOKUP(G933,LISTAS!$B$27:$B$36,LISTAS!$A$27:$A$36)*_xlfn.XLOOKUP(H933,LISTAS!$B$38:$B$47,LISTAS!$A$38:$A$47,,-1)*_xlfn.XLOOKUP(J933,LISTAS!$E$26:$H$26,LISTAS!$E$48:$H$48)*_xlfn.XLOOKUP(F933,LISTAS!$A$15:$A$18,LISTAS!$H$15:$H$18)</f>
        <v>2.9260000000000001E-2</v>
      </c>
      <c r="N933" s="54" cm="1">
        <f t="array" ref="N933">_xlfn.XLOOKUP(K933,LISTAS!$D$27:$D$47,_xlfn.XLOOKUP(J933,LISTAS!$E$26:$H$26,LISTAS!$E$27:$H$47))</f>
        <v>9951000</v>
      </c>
      <c r="O933" s="56" t="s">
        <v>1623</v>
      </c>
      <c r="P933" s="76" t="str">
        <f t="shared" ca="1" si="44"/>
        <v>Vencida</v>
      </c>
    </row>
    <row r="934" spans="1:16" x14ac:dyDescent="0.3">
      <c r="A934" s="58" t="s">
        <v>1224</v>
      </c>
      <c r="B934" s="56" t="s">
        <v>280</v>
      </c>
      <c r="C934" s="50" t="str">
        <f>_xlfn.XLOOKUP(B934,CLIENTES!$A$2:$A$301,CLIENTES!$B$2:$B$301)</f>
        <v>Santiago Ruiz</v>
      </c>
      <c r="D934" s="60">
        <v>45524</v>
      </c>
      <c r="E934" s="60">
        <f t="shared" si="42"/>
        <v>45889</v>
      </c>
      <c r="F934" s="50" t="s">
        <v>1596</v>
      </c>
      <c r="G934" s="56" t="s">
        <v>1605</v>
      </c>
      <c r="H934" s="47">
        <v>34</v>
      </c>
      <c r="I934" s="60">
        <v>33480</v>
      </c>
      <c r="J934" s="56" t="s">
        <v>1609</v>
      </c>
      <c r="K934" s="56">
        <v>2024</v>
      </c>
      <c r="L934" s="52">
        <f t="shared" si="43"/>
        <v>26832.375</v>
      </c>
      <c r="M934" s="56">
        <f>LISTAS!$B$22*_xlfn.XLOOKUP(G934,LISTAS!$B$27:$B$36,LISTAS!$A$27:$A$36)*_xlfn.XLOOKUP(H934,LISTAS!$B$38:$B$47,LISTAS!$A$38:$A$47,,-1)*_xlfn.XLOOKUP(J934,LISTAS!$E$26:$H$26,LISTAS!$E$48:$H$48)*_xlfn.XLOOKUP(F934,LISTAS!$A$15:$A$18,LISTAS!$H$15:$H$18)</f>
        <v>1.5300000000000001E-2</v>
      </c>
      <c r="N934" s="54" cm="1">
        <f t="array" ref="N934">_xlfn.XLOOKUP(K934,LISTAS!$D$27:$D$47,_xlfn.XLOOKUP(J934,LISTAS!$E$26:$H$26,LISTAS!$E$27:$H$47))</f>
        <v>21045000</v>
      </c>
      <c r="O934" s="56" t="s">
        <v>1625</v>
      </c>
      <c r="P934" s="76" t="str">
        <f t="shared" ca="1" si="44"/>
        <v>Vencida</v>
      </c>
    </row>
    <row r="935" spans="1:16" x14ac:dyDescent="0.3">
      <c r="A935" s="58" t="s">
        <v>1225</v>
      </c>
      <c r="B935" s="56" t="s">
        <v>45</v>
      </c>
      <c r="C935" s="50" t="str">
        <f>_xlfn.XLOOKUP(B935,CLIENTES!$A$2:$A$301,CLIENTES!$B$2:$B$301)</f>
        <v>Pedro Aguirre</v>
      </c>
      <c r="D935" s="60">
        <v>45207</v>
      </c>
      <c r="E935" s="60">
        <f t="shared" si="42"/>
        <v>45573</v>
      </c>
      <c r="F935" s="50" t="s">
        <v>1598</v>
      </c>
      <c r="G935" s="56" t="s">
        <v>1599</v>
      </c>
      <c r="H935" s="47">
        <v>47</v>
      </c>
      <c r="I935" s="60">
        <v>28744</v>
      </c>
      <c r="J935" s="56" t="s">
        <v>1612</v>
      </c>
      <c r="K935" s="56">
        <v>2023</v>
      </c>
      <c r="L935" s="52">
        <f t="shared" si="43"/>
        <v>63574.465500000013</v>
      </c>
      <c r="M935" s="56">
        <f>LISTAS!$B$22*_xlfn.XLOOKUP(G935,LISTAS!$B$27:$B$36,LISTAS!$A$27:$A$36)*_xlfn.XLOOKUP(H935,LISTAS!$B$38:$B$47,LISTAS!$A$38:$A$47,,-1)*_xlfn.XLOOKUP(J935,LISTAS!$E$26:$H$26,LISTAS!$E$48:$H$48)*_xlfn.XLOOKUP(F935,LISTAS!$A$15:$A$18,LISTAS!$H$15:$H$18)</f>
        <v>3.1122000000000004E-2</v>
      </c>
      <c r="N935" s="54" cm="1">
        <f t="array" ref="N935">_xlfn.XLOOKUP(K935,LISTAS!$D$27:$D$47,_xlfn.XLOOKUP(J935,LISTAS!$E$26:$H$26,LISTAS!$E$27:$H$47))</f>
        <v>24513000</v>
      </c>
      <c r="O935" s="56" t="s">
        <v>1626</v>
      </c>
      <c r="P935" s="76" t="str">
        <f t="shared" ca="1" si="44"/>
        <v>Vencida</v>
      </c>
    </row>
    <row r="936" spans="1:16" x14ac:dyDescent="0.3">
      <c r="A936" s="58" t="s">
        <v>1226</v>
      </c>
      <c r="B936" s="56" t="s">
        <v>210</v>
      </c>
      <c r="C936" s="50" t="str">
        <f>_xlfn.XLOOKUP(B936,CLIENTES!$A$2:$A$301,CLIENTES!$B$2:$B$301)</f>
        <v>Lucas Álvarez</v>
      </c>
      <c r="D936" s="60">
        <v>45315</v>
      </c>
      <c r="E936" s="60">
        <f t="shared" si="42"/>
        <v>45681</v>
      </c>
      <c r="F936" s="50" t="s">
        <v>1598</v>
      </c>
      <c r="G936" s="56" t="s">
        <v>1608</v>
      </c>
      <c r="H936" s="47">
        <v>71</v>
      </c>
      <c r="I936" s="60">
        <v>20284</v>
      </c>
      <c r="J936" s="56" t="s">
        <v>1611</v>
      </c>
      <c r="K936" s="56">
        <v>2025</v>
      </c>
      <c r="L936" s="52">
        <f t="shared" si="43"/>
        <v>137196.15</v>
      </c>
      <c r="M936" s="56">
        <f>LISTAS!$B$22*_xlfn.XLOOKUP(G936,LISTAS!$B$27:$B$36,LISTAS!$A$27:$A$36)*_xlfn.XLOOKUP(H936,LISTAS!$B$38:$B$47,LISTAS!$A$38:$A$47,,-1)*_xlfn.XLOOKUP(J936,LISTAS!$E$26:$H$26,LISTAS!$E$48:$H$48)*_xlfn.XLOOKUP(F936,LISTAS!$A$15:$A$18,LISTAS!$H$15:$H$18)</f>
        <v>3.9766999999999997E-2</v>
      </c>
      <c r="N936" s="54" cm="1">
        <f t="array" ref="N936">_xlfn.XLOOKUP(K936,LISTAS!$D$27:$D$47,_xlfn.XLOOKUP(J936,LISTAS!$E$26:$H$26,LISTAS!$E$27:$H$47))</f>
        <v>41400000</v>
      </c>
      <c r="O936" s="56" t="s">
        <v>1625</v>
      </c>
      <c r="P936" s="76" t="str">
        <f t="shared" ca="1" si="44"/>
        <v>Vencida</v>
      </c>
    </row>
    <row r="937" spans="1:16" x14ac:dyDescent="0.3">
      <c r="A937" s="58" t="s">
        <v>1227</v>
      </c>
      <c r="B937" s="56" t="s">
        <v>91</v>
      </c>
      <c r="C937" s="50" t="str">
        <f>_xlfn.XLOOKUP(B937,CLIENTES!$A$2:$A$301,CLIENTES!$B$2:$B$301)</f>
        <v>Fernando Luna</v>
      </c>
      <c r="D937" s="60">
        <v>44661</v>
      </c>
      <c r="E937" s="60">
        <f t="shared" si="42"/>
        <v>45026</v>
      </c>
      <c r="F937" s="50" t="s">
        <v>1595</v>
      </c>
      <c r="G937" s="56" t="s">
        <v>1603</v>
      </c>
      <c r="H937" s="47">
        <v>52</v>
      </c>
      <c r="I937" s="60">
        <v>27018</v>
      </c>
      <c r="J937" s="56" t="s">
        <v>1611</v>
      </c>
      <c r="K937" s="56">
        <v>2022</v>
      </c>
      <c r="L937" s="52">
        <f t="shared" si="43"/>
        <v>34270.6325</v>
      </c>
      <c r="M937" s="56">
        <f>LISTAS!$B$22*_xlfn.XLOOKUP(G937,LISTAS!$B$27:$B$36,LISTAS!$A$27:$A$36)*_xlfn.XLOOKUP(H937,LISTAS!$B$38:$B$47,LISTAS!$A$38:$A$47,,-1)*_xlfn.XLOOKUP(J937,LISTAS!$E$26:$H$26,LISTAS!$E$48:$H$48)*_xlfn.XLOOKUP(F937,LISTAS!$A$15:$A$18,LISTAS!$H$15:$H$18)</f>
        <v>1.3109999999999998E-2</v>
      </c>
      <c r="N937" s="54" cm="1">
        <f t="array" ref="N937">_xlfn.XLOOKUP(K937,LISTAS!$D$27:$D$47,_xlfn.XLOOKUP(J937,LISTAS!$E$26:$H$26,LISTAS!$E$27:$H$47))</f>
        <v>31369000</v>
      </c>
      <c r="O937" s="56" t="s">
        <v>1623</v>
      </c>
      <c r="P937" s="76" t="str">
        <f t="shared" ca="1" si="44"/>
        <v>Vencida</v>
      </c>
    </row>
    <row r="938" spans="1:16" x14ac:dyDescent="0.3">
      <c r="A938" s="58" t="s">
        <v>1228</v>
      </c>
      <c r="B938" s="56" t="s">
        <v>172</v>
      </c>
      <c r="C938" s="50" t="str">
        <f>_xlfn.XLOOKUP(B938,CLIENTES!$A$2:$A$301,CLIENTES!$B$2:$B$301)</f>
        <v>Rodrigo Molina</v>
      </c>
      <c r="D938" s="60">
        <v>44887</v>
      </c>
      <c r="E938" s="60">
        <f t="shared" si="42"/>
        <v>45252</v>
      </c>
      <c r="F938" s="50" t="s">
        <v>1596</v>
      </c>
      <c r="G938" s="56" t="s">
        <v>1599</v>
      </c>
      <c r="H938" s="47">
        <v>72</v>
      </c>
      <c r="I938" s="60">
        <v>19900</v>
      </c>
      <c r="J938" s="56" t="s">
        <v>1611</v>
      </c>
      <c r="K938" s="56">
        <v>2024</v>
      </c>
      <c r="L938" s="52">
        <f t="shared" si="43"/>
        <v>103680.29699999998</v>
      </c>
      <c r="M938" s="56">
        <f>LISTAS!$B$22*_xlfn.XLOOKUP(G938,LISTAS!$B$27:$B$36,LISTAS!$A$27:$A$36)*_xlfn.XLOOKUP(H938,LISTAS!$B$38:$B$47,LISTAS!$A$38:$A$47,,-1)*_xlfn.XLOOKUP(J938,LISTAS!$E$26:$H$26,LISTAS!$E$48:$H$48)*_xlfn.XLOOKUP(F938,LISTAS!$A$15:$A$18,LISTAS!$H$15:$H$18)</f>
        <v>3.2843999999999991E-2</v>
      </c>
      <c r="N938" s="54" cm="1">
        <f t="array" ref="N938">_xlfn.XLOOKUP(K938,LISTAS!$D$27:$D$47,_xlfn.XLOOKUP(J938,LISTAS!$E$26:$H$26,LISTAS!$E$27:$H$47))</f>
        <v>37881000</v>
      </c>
      <c r="O938" s="56" t="s">
        <v>1625</v>
      </c>
      <c r="P938" s="76" t="str">
        <f t="shared" ca="1" si="44"/>
        <v>Vencida</v>
      </c>
    </row>
    <row r="939" spans="1:16" x14ac:dyDescent="0.3">
      <c r="A939" s="58" t="s">
        <v>1229</v>
      </c>
      <c r="B939" s="56" t="s">
        <v>10</v>
      </c>
      <c r="C939" s="50" t="str">
        <f>_xlfn.XLOOKUP(B939,CLIENTES!$A$2:$A$301,CLIENTES!$B$2:$B$301)</f>
        <v>Gabriel Aguirre</v>
      </c>
      <c r="D939" s="60">
        <v>45292</v>
      </c>
      <c r="E939" s="60">
        <f t="shared" si="42"/>
        <v>45658</v>
      </c>
      <c r="F939" s="50" t="s">
        <v>1597</v>
      </c>
      <c r="G939" s="56" t="s">
        <v>1604</v>
      </c>
      <c r="H939" s="47">
        <v>22</v>
      </c>
      <c r="I939" s="60">
        <v>37893</v>
      </c>
      <c r="J939" s="56" t="s">
        <v>1611</v>
      </c>
      <c r="K939" s="56">
        <v>2025</v>
      </c>
      <c r="L939" s="52">
        <f t="shared" si="43"/>
        <v>123726.48750000003</v>
      </c>
      <c r="M939" s="56">
        <f>LISTAS!$B$22*_xlfn.XLOOKUP(G939,LISTAS!$B$27:$B$36,LISTAS!$A$27:$A$36)*_xlfn.XLOOKUP(H939,LISTAS!$B$38:$B$47,LISTAS!$A$38:$A$47,,-1)*_xlfn.XLOOKUP(J939,LISTAS!$E$26:$H$26,LISTAS!$E$48:$H$48)*_xlfn.XLOOKUP(F939,LISTAS!$A$15:$A$18,LISTAS!$H$15:$H$18)</f>
        <v>3.5862750000000006E-2</v>
      </c>
      <c r="N939" s="54" cm="1">
        <f t="array" ref="N939">_xlfn.XLOOKUP(K939,LISTAS!$D$27:$D$47,_xlfn.XLOOKUP(J939,LISTAS!$E$26:$H$26,LISTAS!$E$27:$H$47))</f>
        <v>41400000</v>
      </c>
      <c r="O939" s="56" t="s">
        <v>1624</v>
      </c>
      <c r="P939" s="76" t="str">
        <f t="shared" ca="1" si="44"/>
        <v>Vencida</v>
      </c>
    </row>
    <row r="940" spans="1:16" x14ac:dyDescent="0.3">
      <c r="A940" s="58" t="s">
        <v>1230</v>
      </c>
      <c r="B940" s="56" t="s">
        <v>12</v>
      </c>
      <c r="C940" s="50" t="str">
        <f>_xlfn.XLOOKUP(B940,CLIENTES!$A$2:$A$301,CLIENTES!$B$2:$B$301)</f>
        <v>Maximiliano Castro</v>
      </c>
      <c r="D940" s="60">
        <v>44797</v>
      </c>
      <c r="E940" s="60">
        <f t="shared" si="42"/>
        <v>45162</v>
      </c>
      <c r="F940" s="50" t="s">
        <v>1596</v>
      </c>
      <c r="G940" s="56" t="s">
        <v>1602</v>
      </c>
      <c r="H940" s="47">
        <v>56</v>
      </c>
      <c r="I940" s="60">
        <v>25709</v>
      </c>
      <c r="J940" s="56" t="s">
        <v>1610</v>
      </c>
      <c r="K940" s="56">
        <v>2017</v>
      </c>
      <c r="L940" s="52">
        <f t="shared" si="43"/>
        <v>28470.750000000004</v>
      </c>
      <c r="M940" s="56">
        <f>LISTAS!$B$22*_xlfn.XLOOKUP(G940,LISTAS!$B$27:$B$36,LISTAS!$A$27:$A$36)*_xlfn.XLOOKUP(H940,LISTAS!$B$38:$B$47,LISTAS!$A$38:$A$47,,-1)*_xlfn.XLOOKUP(J940,LISTAS!$E$26:$H$26,LISTAS!$E$48:$H$48)*_xlfn.XLOOKUP(F940,LISTAS!$A$15:$A$18,LISTAS!$H$15:$H$18)</f>
        <v>1.9635000000000003E-2</v>
      </c>
      <c r="N940" s="54" cm="1">
        <f t="array" ref="N940">_xlfn.XLOOKUP(K940,LISTAS!$D$27:$D$47,_xlfn.XLOOKUP(J940,LISTAS!$E$26:$H$26,LISTAS!$E$27:$H$47))</f>
        <v>17400000</v>
      </c>
      <c r="O940" s="56" t="s">
        <v>1625</v>
      </c>
      <c r="P940" s="76" t="str">
        <f t="shared" ca="1" si="44"/>
        <v>Vencida</v>
      </c>
    </row>
    <row r="941" spans="1:16" x14ac:dyDescent="0.3">
      <c r="A941" s="58" t="s">
        <v>1231</v>
      </c>
      <c r="B941" s="56" t="s">
        <v>117</v>
      </c>
      <c r="C941" s="50" t="str">
        <f>_xlfn.XLOOKUP(B941,CLIENTES!$A$2:$A$301,CLIENTES!$B$2:$B$301)</f>
        <v>Gonzalo Gómez</v>
      </c>
      <c r="D941" s="60">
        <v>44750</v>
      </c>
      <c r="E941" s="60">
        <f t="shared" si="42"/>
        <v>45115</v>
      </c>
      <c r="F941" s="50" t="s">
        <v>1595</v>
      </c>
      <c r="G941" s="56" t="s">
        <v>1599</v>
      </c>
      <c r="H941" s="47">
        <v>49</v>
      </c>
      <c r="I941" s="60">
        <v>28067</v>
      </c>
      <c r="J941" s="56" t="s">
        <v>1609</v>
      </c>
      <c r="K941" s="56">
        <v>2021</v>
      </c>
      <c r="L941" s="52">
        <f t="shared" si="43"/>
        <v>18079.259999999998</v>
      </c>
      <c r="M941" s="56">
        <f>LISTAS!$B$22*_xlfn.XLOOKUP(G941,LISTAS!$B$27:$B$36,LISTAS!$A$27:$A$36)*_xlfn.XLOOKUP(H941,LISTAS!$B$38:$B$47,LISTAS!$A$38:$A$47,,-1)*_xlfn.XLOOKUP(J941,LISTAS!$E$26:$H$26,LISTAS!$E$48:$H$48)*_xlfn.XLOOKUP(F941,LISTAS!$A$15:$A$18,LISTAS!$H$15:$H$18)</f>
        <v>1.3679999999999999E-2</v>
      </c>
      <c r="N941" s="54" cm="1">
        <f t="array" ref="N941">_xlfn.XLOOKUP(K941,LISTAS!$D$27:$D$47,_xlfn.XLOOKUP(J941,LISTAS!$E$26:$H$26,LISTAS!$E$27:$H$47))</f>
        <v>15859000</v>
      </c>
      <c r="O941" s="56" t="s">
        <v>1623</v>
      </c>
      <c r="P941" s="76" t="str">
        <f t="shared" ca="1" si="44"/>
        <v>Vencida</v>
      </c>
    </row>
    <row r="942" spans="1:16" x14ac:dyDescent="0.3">
      <c r="A942" s="58" t="s">
        <v>1232</v>
      </c>
      <c r="B942" s="56" t="s">
        <v>15</v>
      </c>
      <c r="C942" s="50" t="str">
        <f>_xlfn.XLOOKUP(B942,CLIENTES!$A$2:$A$301,CLIENTES!$B$2:$B$301)</f>
        <v>Catalina Roldán</v>
      </c>
      <c r="D942" s="60">
        <v>46212</v>
      </c>
      <c r="E942" s="60">
        <f t="shared" si="42"/>
        <v>46577</v>
      </c>
      <c r="F942" s="50" t="s">
        <v>1598</v>
      </c>
      <c r="G942" s="56" t="s">
        <v>1602</v>
      </c>
      <c r="H942" s="47">
        <v>34</v>
      </c>
      <c r="I942" s="60">
        <v>33586</v>
      </c>
      <c r="J942" s="56" t="s">
        <v>1610</v>
      </c>
      <c r="K942" s="56">
        <v>2023</v>
      </c>
      <c r="L942" s="52">
        <f t="shared" si="43"/>
        <v>76681.60500000001</v>
      </c>
      <c r="M942" s="56">
        <f>LISTAS!$B$22*_xlfn.XLOOKUP(G942,LISTAS!$B$27:$B$36,LISTAS!$A$27:$A$36)*_xlfn.XLOOKUP(H942,LISTAS!$B$38:$B$47,LISTAS!$A$38:$A$47,,-1)*_xlfn.XLOOKUP(J942,LISTAS!$E$26:$H$26,LISTAS!$E$48:$H$48)*_xlfn.XLOOKUP(F942,LISTAS!$A$15:$A$18,LISTAS!$H$15:$H$18)</f>
        <v>3.0030000000000005E-2</v>
      </c>
      <c r="N942" s="54" cm="1">
        <f t="array" ref="N942">_xlfn.XLOOKUP(K942,LISTAS!$D$27:$D$47,_xlfn.XLOOKUP(J942,LISTAS!$E$26:$H$26,LISTAS!$E$27:$H$47))</f>
        <v>30642000</v>
      </c>
      <c r="O942" s="56" t="s">
        <v>1623</v>
      </c>
      <c r="P942" s="76" t="str">
        <f t="shared" ca="1" si="44"/>
        <v>Vigente</v>
      </c>
    </row>
    <row r="943" spans="1:16" x14ac:dyDescent="0.3">
      <c r="A943" s="58" t="s">
        <v>1233</v>
      </c>
      <c r="B943" s="56" t="s">
        <v>42</v>
      </c>
      <c r="C943" s="50" t="str">
        <f>_xlfn.XLOOKUP(B943,CLIENTES!$A$2:$A$301,CLIENTES!$B$2:$B$301)</f>
        <v>Pablo Torres</v>
      </c>
      <c r="D943" s="60">
        <v>46084</v>
      </c>
      <c r="E943" s="60">
        <f t="shared" si="42"/>
        <v>46449</v>
      </c>
      <c r="F943" s="50" t="s">
        <v>1597</v>
      </c>
      <c r="G943" s="56" t="s">
        <v>1603</v>
      </c>
      <c r="H943" s="47">
        <v>35</v>
      </c>
      <c r="I943" s="60">
        <v>33263</v>
      </c>
      <c r="J943" s="56" t="s">
        <v>1609</v>
      </c>
      <c r="K943" s="56">
        <v>2019</v>
      </c>
      <c r="L943" s="52">
        <f t="shared" si="43"/>
        <v>22873.308333333334</v>
      </c>
      <c r="M943" s="56">
        <f>LISTAS!$B$22*_xlfn.XLOOKUP(G943,LISTAS!$B$27:$B$36,LISTAS!$A$27:$A$36)*_xlfn.XLOOKUP(H943,LISTAS!$B$38:$B$47,LISTAS!$A$38:$A$47,,-1)*_xlfn.XLOOKUP(J943,LISTAS!$E$26:$H$26,LISTAS!$E$48:$H$48)*_xlfn.XLOOKUP(F943,LISTAS!$A$15:$A$18,LISTAS!$H$15:$H$18)</f>
        <v>2.0900000000000002E-2</v>
      </c>
      <c r="N943" s="54" cm="1">
        <f t="array" ref="N943">_xlfn.XLOOKUP(K943,LISTAS!$D$27:$D$47,_xlfn.XLOOKUP(J943,LISTAS!$E$26:$H$26,LISTAS!$E$27:$H$47))</f>
        <v>13133000</v>
      </c>
      <c r="O943" s="56" t="s">
        <v>1623</v>
      </c>
      <c r="P943" s="76" t="str">
        <f t="shared" ca="1" si="44"/>
        <v>Vigente</v>
      </c>
    </row>
    <row r="944" spans="1:16" x14ac:dyDescent="0.3">
      <c r="A944" s="58" t="s">
        <v>1234</v>
      </c>
      <c r="B944" s="56" t="s">
        <v>81</v>
      </c>
      <c r="C944" s="50" t="str">
        <f>_xlfn.XLOOKUP(B944,CLIENTES!$A$2:$A$301,CLIENTES!$B$2:$B$301)</f>
        <v>Alejandro Rojas</v>
      </c>
      <c r="D944" s="60">
        <v>44508</v>
      </c>
      <c r="E944" s="60">
        <f t="shared" si="42"/>
        <v>44873</v>
      </c>
      <c r="F944" s="50" t="s">
        <v>1598</v>
      </c>
      <c r="G944" s="56" t="s">
        <v>1602</v>
      </c>
      <c r="H944" s="47">
        <v>76</v>
      </c>
      <c r="I944" s="60">
        <v>18423</v>
      </c>
      <c r="J944" s="56" t="s">
        <v>1611</v>
      </c>
      <c r="K944" s="56">
        <v>2023</v>
      </c>
      <c r="L944" s="52">
        <f t="shared" si="43"/>
        <v>130771.68650000001</v>
      </c>
      <c r="M944" s="56">
        <f>LISTAS!$B$22*_xlfn.XLOOKUP(G944,LISTAS!$B$27:$B$36,LISTAS!$A$27:$A$36)*_xlfn.XLOOKUP(H944,LISTAS!$B$38:$B$47,LISTAS!$A$38:$A$47,,-1)*_xlfn.XLOOKUP(J944,LISTAS!$E$26:$H$26,LISTAS!$E$48:$H$48)*_xlfn.XLOOKUP(F944,LISTAS!$A$15:$A$18,LISTAS!$H$15:$H$18)</f>
        <v>4.5522750000000001E-2</v>
      </c>
      <c r="N944" s="54" cm="1">
        <f t="array" ref="N944">_xlfn.XLOOKUP(K944,LISTAS!$D$27:$D$47,_xlfn.XLOOKUP(J944,LISTAS!$E$26:$H$26,LISTAS!$E$27:$H$47))</f>
        <v>34472000</v>
      </c>
      <c r="O944" s="56" t="s">
        <v>1624</v>
      </c>
      <c r="P944" s="76" t="str">
        <f t="shared" ca="1" si="44"/>
        <v>Vencida</v>
      </c>
    </row>
    <row r="945" spans="1:16" x14ac:dyDescent="0.3">
      <c r="A945" s="58" t="s">
        <v>1235</v>
      </c>
      <c r="B945" s="56" t="s">
        <v>166</v>
      </c>
      <c r="C945" s="50" t="str">
        <f>_xlfn.XLOOKUP(B945,CLIENTES!$A$2:$A$301,CLIENTES!$B$2:$B$301)</f>
        <v>Emiliano Méndez</v>
      </c>
      <c r="D945" s="60">
        <v>44662</v>
      </c>
      <c r="E945" s="60">
        <f t="shared" si="42"/>
        <v>45027</v>
      </c>
      <c r="F945" s="50" t="s">
        <v>1598</v>
      </c>
      <c r="G945" s="56" t="s">
        <v>1600</v>
      </c>
      <c r="H945" s="47">
        <v>67</v>
      </c>
      <c r="I945" s="60">
        <v>21651</v>
      </c>
      <c r="J945" s="56" t="s">
        <v>1612</v>
      </c>
      <c r="K945" s="56">
        <v>2015</v>
      </c>
      <c r="L945" s="52">
        <f t="shared" si="43"/>
        <v>35255.800125000002</v>
      </c>
      <c r="M945" s="56">
        <f>LISTAS!$B$22*_xlfn.XLOOKUP(G945,LISTAS!$B$27:$B$36,LISTAS!$A$27:$A$36)*_xlfn.XLOOKUP(H945,LISTAS!$B$38:$B$47,LISTAS!$A$38:$A$47,,-1)*_xlfn.XLOOKUP(J945,LISTAS!$E$26:$H$26,LISTAS!$E$48:$H$48)*_xlfn.XLOOKUP(F945,LISTAS!$A$15:$A$18,LISTAS!$H$15:$H$18)</f>
        <v>3.6104249999999997E-2</v>
      </c>
      <c r="N945" s="54" cm="1">
        <f t="array" ref="N945">_xlfn.XLOOKUP(K945,LISTAS!$D$27:$D$47,_xlfn.XLOOKUP(J945,LISTAS!$E$26:$H$26,LISTAS!$E$27:$H$47))</f>
        <v>11718000</v>
      </c>
      <c r="O945" s="56" t="s">
        <v>1623</v>
      </c>
      <c r="P945" s="76" t="str">
        <f t="shared" ca="1" si="44"/>
        <v>Vencida</v>
      </c>
    </row>
    <row r="946" spans="1:16" x14ac:dyDescent="0.3">
      <c r="A946" s="58" t="s">
        <v>1236</v>
      </c>
      <c r="B946" s="56" t="s">
        <v>161</v>
      </c>
      <c r="C946" s="50" t="str">
        <f>_xlfn.XLOOKUP(B946,CLIENTES!$A$2:$A$301,CLIENTES!$B$2:$B$301)</f>
        <v>Mariano Vega</v>
      </c>
      <c r="D946" s="60">
        <v>45654</v>
      </c>
      <c r="E946" s="60">
        <f t="shared" si="42"/>
        <v>46019</v>
      </c>
      <c r="F946" s="50" t="s">
        <v>1596</v>
      </c>
      <c r="G946" s="56" t="s">
        <v>1606</v>
      </c>
      <c r="H946" s="47">
        <v>21</v>
      </c>
      <c r="I946" s="60">
        <v>38289</v>
      </c>
      <c r="J946" s="56" t="s">
        <v>1611</v>
      </c>
      <c r="K946" s="56">
        <v>2020</v>
      </c>
      <c r="L946" s="52">
        <f t="shared" si="43"/>
        <v>57133.164375</v>
      </c>
      <c r="M946" s="56">
        <f>LISTAS!$B$22*_xlfn.XLOOKUP(G946,LISTAS!$B$27:$B$36,LISTAS!$A$27:$A$36)*_xlfn.XLOOKUP(H946,LISTAS!$B$38:$B$47,LISTAS!$A$38:$A$47,,-1)*_xlfn.XLOOKUP(J946,LISTAS!$E$26:$H$26,LISTAS!$E$48:$H$48)*_xlfn.XLOOKUP(F946,LISTAS!$A$15:$A$18,LISTAS!$H$15:$H$18)</f>
        <v>2.6392499999999999E-2</v>
      </c>
      <c r="N946" s="54" cm="1">
        <f t="array" ref="N946">_xlfn.XLOOKUP(K946,LISTAS!$D$27:$D$47,_xlfn.XLOOKUP(J946,LISTAS!$E$26:$H$26,LISTAS!$E$27:$H$47))</f>
        <v>25977000</v>
      </c>
      <c r="O946" s="56" t="s">
        <v>1623</v>
      </c>
      <c r="P946" s="76" t="str">
        <f t="shared" ca="1" si="44"/>
        <v>Vencida</v>
      </c>
    </row>
    <row r="947" spans="1:16" x14ac:dyDescent="0.3">
      <c r="A947" s="58" t="s">
        <v>1237</v>
      </c>
      <c r="B947" s="56" t="s">
        <v>50</v>
      </c>
      <c r="C947" s="50" t="str">
        <f>_xlfn.XLOOKUP(B947,CLIENTES!$A$2:$A$301,CLIENTES!$B$2:$B$301)</f>
        <v>Agustín Medina</v>
      </c>
      <c r="D947" s="60">
        <v>45505</v>
      </c>
      <c r="E947" s="60">
        <f t="shared" si="42"/>
        <v>45870</v>
      </c>
      <c r="F947" s="50" t="s">
        <v>1596</v>
      </c>
      <c r="G947" s="56" t="s">
        <v>1604</v>
      </c>
      <c r="H947" s="47">
        <v>20</v>
      </c>
      <c r="I947" s="60">
        <v>38848</v>
      </c>
      <c r="J947" s="56" t="s">
        <v>1609</v>
      </c>
      <c r="K947" s="56">
        <v>2018</v>
      </c>
      <c r="L947" s="52">
        <f t="shared" si="43"/>
        <v>26665.668750000001</v>
      </c>
      <c r="M947" s="56">
        <f>LISTAS!$B$22*_xlfn.XLOOKUP(G947,LISTAS!$B$27:$B$36,LISTAS!$A$27:$A$36)*_xlfn.XLOOKUP(H947,LISTAS!$B$38:$B$47,LISTAS!$A$38:$A$47,,-1)*_xlfn.XLOOKUP(J947,LISTAS!$E$26:$H$26,LISTAS!$E$48:$H$48)*_xlfn.XLOOKUP(F947,LISTAS!$A$15:$A$18,LISTAS!$H$15:$H$18)</f>
        <v>2.6775E-2</v>
      </c>
      <c r="N947" s="54" cm="1">
        <f t="array" ref="N947">_xlfn.XLOOKUP(K947,LISTAS!$D$27:$D$47,_xlfn.XLOOKUP(J947,LISTAS!$E$26:$H$26,LISTAS!$E$27:$H$47))</f>
        <v>11951000</v>
      </c>
      <c r="O947" s="56" t="s">
        <v>1623</v>
      </c>
      <c r="P947" s="76" t="str">
        <f t="shared" ca="1" si="44"/>
        <v>Vencida</v>
      </c>
    </row>
    <row r="948" spans="1:16" x14ac:dyDescent="0.3">
      <c r="A948" s="58" t="s">
        <v>1238</v>
      </c>
      <c r="B948" s="56" t="s">
        <v>138</v>
      </c>
      <c r="C948" s="50" t="str">
        <f>_xlfn.XLOOKUP(B948,CLIENTES!$A$2:$A$301,CLIENTES!$B$2:$B$301)</f>
        <v>Facundo Pérez</v>
      </c>
      <c r="D948" s="60">
        <v>46067</v>
      </c>
      <c r="E948" s="60">
        <f t="shared" si="42"/>
        <v>46432</v>
      </c>
      <c r="F948" s="50" t="s">
        <v>1595</v>
      </c>
      <c r="G948" s="56" t="s">
        <v>1607</v>
      </c>
      <c r="H948" s="47">
        <v>56</v>
      </c>
      <c r="I948" s="60">
        <v>25469</v>
      </c>
      <c r="J948" s="56" t="s">
        <v>1611</v>
      </c>
      <c r="K948" s="56">
        <v>2024</v>
      </c>
      <c r="L948" s="52">
        <f t="shared" si="43"/>
        <v>47919.464999999997</v>
      </c>
      <c r="M948" s="56">
        <f>LISTAS!$B$22*_xlfn.XLOOKUP(G948,LISTAS!$B$27:$B$36,LISTAS!$A$27:$A$36)*_xlfn.XLOOKUP(H948,LISTAS!$B$38:$B$47,LISTAS!$A$38:$A$47,,-1)*_xlfn.XLOOKUP(J948,LISTAS!$E$26:$H$26,LISTAS!$E$48:$H$48)*_xlfn.XLOOKUP(F948,LISTAS!$A$15:$A$18,LISTAS!$H$15:$H$18)</f>
        <v>1.5179999999999999E-2</v>
      </c>
      <c r="N948" s="54" cm="1">
        <f t="array" ref="N948">_xlfn.XLOOKUP(K948,LISTAS!$D$27:$D$47,_xlfn.XLOOKUP(J948,LISTAS!$E$26:$H$26,LISTAS!$E$27:$H$47))</f>
        <v>37881000</v>
      </c>
      <c r="O948" s="56" t="s">
        <v>1624</v>
      </c>
      <c r="P948" s="76" t="str">
        <f t="shared" ca="1" si="44"/>
        <v>Vigente</v>
      </c>
    </row>
    <row r="949" spans="1:16" x14ac:dyDescent="0.3">
      <c r="A949" s="58" t="s">
        <v>1239</v>
      </c>
      <c r="B949" s="56" t="s">
        <v>281</v>
      </c>
      <c r="C949" s="50" t="str">
        <f>_xlfn.XLOOKUP(B949,CLIENTES!$A$2:$A$301,CLIENTES!$B$2:$B$301)</f>
        <v>Paula Ruiz</v>
      </c>
      <c r="D949" s="60">
        <v>45679</v>
      </c>
      <c r="E949" s="60">
        <f t="shared" si="42"/>
        <v>46044</v>
      </c>
      <c r="F949" s="50" t="s">
        <v>1595</v>
      </c>
      <c r="G949" s="56" t="s">
        <v>1599</v>
      </c>
      <c r="H949" s="47">
        <v>26</v>
      </c>
      <c r="I949" s="60">
        <v>36595</v>
      </c>
      <c r="J949" s="56" t="s">
        <v>1611</v>
      </c>
      <c r="K949" s="56">
        <v>2016</v>
      </c>
      <c r="L949" s="52">
        <f t="shared" si="43"/>
        <v>29662.271999999997</v>
      </c>
      <c r="M949" s="56">
        <f>LISTAS!$B$22*_xlfn.XLOOKUP(G949,LISTAS!$B$27:$B$36,LISTAS!$A$27:$A$36)*_xlfn.XLOOKUP(H949,LISTAS!$B$38:$B$47,LISTAS!$A$38:$A$47,,-1)*_xlfn.XLOOKUP(J949,LISTAS!$E$26:$H$26,LISTAS!$E$48:$H$48)*_xlfn.XLOOKUP(F949,LISTAS!$A$15:$A$18,LISTAS!$H$15:$H$18)</f>
        <v>1.9871999999999997E-2</v>
      </c>
      <c r="N949" s="54" cm="1">
        <f t="array" ref="N949">_xlfn.XLOOKUP(K949,LISTAS!$D$27:$D$47,_xlfn.XLOOKUP(J949,LISTAS!$E$26:$H$26,LISTAS!$E$27:$H$47))</f>
        <v>17912000</v>
      </c>
      <c r="O949" s="56" t="s">
        <v>1623</v>
      </c>
      <c r="P949" s="76" t="str">
        <f t="shared" ca="1" si="44"/>
        <v>Vencida</v>
      </c>
    </row>
    <row r="950" spans="1:16" x14ac:dyDescent="0.3">
      <c r="A950" s="58" t="s">
        <v>1240</v>
      </c>
      <c r="B950" s="56" t="s">
        <v>22</v>
      </c>
      <c r="C950" s="50" t="str">
        <f>_xlfn.XLOOKUP(B950,CLIENTES!$A$2:$A$301,CLIENTES!$B$2:$B$301)</f>
        <v>Diego Díaz</v>
      </c>
      <c r="D950" s="60">
        <v>45514</v>
      </c>
      <c r="E950" s="60">
        <f t="shared" si="42"/>
        <v>45879</v>
      </c>
      <c r="F950" s="50" t="s">
        <v>1596</v>
      </c>
      <c r="G950" s="56" t="s">
        <v>1602</v>
      </c>
      <c r="H950" s="47">
        <v>66</v>
      </c>
      <c r="I950" s="60">
        <v>21872</v>
      </c>
      <c r="J950" s="56" t="s">
        <v>1610</v>
      </c>
      <c r="K950" s="56">
        <v>2025</v>
      </c>
      <c r="L950" s="52">
        <f t="shared" si="43"/>
        <v>69246.100000000006</v>
      </c>
      <c r="M950" s="56">
        <f>LISTAS!$B$22*_xlfn.XLOOKUP(G950,LISTAS!$B$27:$B$36,LISTAS!$A$27:$A$36)*_xlfn.XLOOKUP(H950,LISTAS!$B$38:$B$47,LISTAS!$A$38:$A$47,,-1)*_xlfn.XLOOKUP(J950,LISTAS!$E$26:$H$26,LISTAS!$E$48:$H$48)*_xlfn.XLOOKUP(F950,LISTAS!$A$15:$A$18,LISTAS!$H$15:$H$18)</f>
        <v>2.2580250000000003E-2</v>
      </c>
      <c r="N950" s="54" cm="1">
        <f t="array" ref="N950">_xlfn.XLOOKUP(K950,LISTAS!$D$27:$D$47,_xlfn.XLOOKUP(J950,LISTAS!$E$26:$H$26,LISTAS!$E$27:$H$47))</f>
        <v>36800000</v>
      </c>
      <c r="O950" s="56" t="s">
        <v>1624</v>
      </c>
      <c r="P950" s="76" t="str">
        <f t="shared" ca="1" si="44"/>
        <v>Vencida</v>
      </c>
    </row>
    <row r="951" spans="1:16" x14ac:dyDescent="0.3">
      <c r="A951" s="58" t="s">
        <v>1241</v>
      </c>
      <c r="B951" s="56" t="s">
        <v>177</v>
      </c>
      <c r="C951" s="50" t="str">
        <f>_xlfn.XLOOKUP(B951,CLIENTES!$A$2:$A$301,CLIENTES!$B$2:$B$301)</f>
        <v>Lucía Navarro</v>
      </c>
      <c r="D951" s="60">
        <v>46165</v>
      </c>
      <c r="E951" s="60">
        <f t="shared" si="42"/>
        <v>46530</v>
      </c>
      <c r="F951" s="50" t="s">
        <v>1597</v>
      </c>
      <c r="G951" s="56" t="s">
        <v>1604</v>
      </c>
      <c r="H951" s="47">
        <v>43</v>
      </c>
      <c r="I951" s="60">
        <v>30535</v>
      </c>
      <c r="J951" s="56" t="s">
        <v>1610</v>
      </c>
      <c r="K951" s="56">
        <v>2006</v>
      </c>
      <c r="L951" s="52">
        <f t="shared" si="43"/>
        <v>15495.547375000002</v>
      </c>
      <c r="M951" s="56">
        <f>LISTAS!$B$22*_xlfn.XLOOKUP(G951,LISTAS!$B$27:$B$36,LISTAS!$A$27:$A$36)*_xlfn.XLOOKUP(H951,LISTAS!$B$38:$B$47,LISTAS!$A$38:$A$47,,-1)*_xlfn.XLOOKUP(J951,LISTAS!$E$26:$H$26,LISTAS!$E$48:$H$48)*_xlfn.XLOOKUP(F951,LISTAS!$A$15:$A$18,LISTAS!$H$15:$H$18)</f>
        <v>2.4139500000000001E-2</v>
      </c>
      <c r="N951" s="54" cm="1">
        <f t="array" ref="N951">_xlfn.XLOOKUP(K951,LISTAS!$D$27:$D$47,_xlfn.XLOOKUP(J951,LISTAS!$E$26:$H$26,LISTAS!$E$27:$H$47))</f>
        <v>7703000</v>
      </c>
      <c r="O951" s="56" t="s">
        <v>1625</v>
      </c>
      <c r="P951" s="76" t="str">
        <f t="shared" ca="1" si="44"/>
        <v>Vigente</v>
      </c>
    </row>
    <row r="952" spans="1:16" x14ac:dyDescent="0.3">
      <c r="A952" s="58" t="s">
        <v>1242</v>
      </c>
      <c r="B952" s="56" t="s">
        <v>247</v>
      </c>
      <c r="C952" s="50" t="str">
        <f>_xlfn.XLOOKUP(B952,CLIENTES!$A$2:$A$301,CLIENTES!$B$2:$B$301)</f>
        <v>Rodrigo Navarro</v>
      </c>
      <c r="D952" s="60">
        <v>44868</v>
      </c>
      <c r="E952" s="60">
        <f t="shared" si="42"/>
        <v>45233</v>
      </c>
      <c r="F952" s="50" t="s">
        <v>1598</v>
      </c>
      <c r="G952" s="56" t="s">
        <v>1601</v>
      </c>
      <c r="H952" s="47">
        <v>78</v>
      </c>
      <c r="I952" s="60">
        <v>17485</v>
      </c>
      <c r="J952" s="56" t="s">
        <v>1610</v>
      </c>
      <c r="K952" s="56">
        <v>2023</v>
      </c>
      <c r="L952" s="52">
        <f t="shared" si="43"/>
        <v>121777.69175000001</v>
      </c>
      <c r="M952" s="56">
        <f>LISTAS!$B$22*_xlfn.XLOOKUP(G952,LISTAS!$B$27:$B$36,LISTAS!$A$27:$A$36)*_xlfn.XLOOKUP(H952,LISTAS!$B$38:$B$47,LISTAS!$A$38:$A$47,,-1)*_xlfn.XLOOKUP(J952,LISTAS!$E$26:$H$26,LISTAS!$E$48:$H$48)*_xlfn.XLOOKUP(F952,LISTAS!$A$15:$A$18,LISTAS!$H$15:$H$18)</f>
        <v>4.7690500000000004E-2</v>
      </c>
      <c r="N952" s="54" cm="1">
        <f t="array" ref="N952">_xlfn.XLOOKUP(K952,LISTAS!$D$27:$D$47,_xlfn.XLOOKUP(J952,LISTAS!$E$26:$H$26,LISTAS!$E$27:$H$47))</f>
        <v>30642000</v>
      </c>
      <c r="O952" s="56" t="s">
        <v>1623</v>
      </c>
      <c r="P952" s="76" t="str">
        <f t="shared" ca="1" si="44"/>
        <v>Vencida</v>
      </c>
    </row>
    <row r="953" spans="1:16" x14ac:dyDescent="0.3">
      <c r="A953" s="58" t="s">
        <v>1243</v>
      </c>
      <c r="B953" s="56" t="s">
        <v>119</v>
      </c>
      <c r="C953" s="50" t="str">
        <f>_xlfn.XLOOKUP(B953,CLIENTES!$A$2:$A$301,CLIENTES!$B$2:$B$301)</f>
        <v>Juan Gómez</v>
      </c>
      <c r="D953" s="60">
        <v>44821</v>
      </c>
      <c r="E953" s="60">
        <f t="shared" si="42"/>
        <v>45186</v>
      </c>
      <c r="F953" s="50" t="s">
        <v>1595</v>
      </c>
      <c r="G953" s="56" t="s">
        <v>1604</v>
      </c>
      <c r="H953" s="47">
        <v>59</v>
      </c>
      <c r="I953" s="60">
        <v>24486</v>
      </c>
      <c r="J953" s="56" t="s">
        <v>1612</v>
      </c>
      <c r="K953" s="56">
        <v>2022</v>
      </c>
      <c r="L953" s="52">
        <f t="shared" si="43"/>
        <v>24593.467500000002</v>
      </c>
      <c r="M953" s="56">
        <f>LISTAS!$B$22*_xlfn.XLOOKUP(G953,LISTAS!$B$27:$B$36,LISTAS!$A$27:$A$36)*_xlfn.XLOOKUP(H953,LISTAS!$B$38:$B$47,LISTAS!$A$38:$A$47,,-1)*_xlfn.XLOOKUP(J953,LISTAS!$E$26:$H$26,LISTAS!$E$48:$H$48)*_xlfn.XLOOKUP(F953,LISTAS!$A$15:$A$18,LISTAS!$H$15:$H$18)</f>
        <v>1.3230000000000002E-2</v>
      </c>
      <c r="N953" s="54" cm="1">
        <f t="array" ref="N953">_xlfn.XLOOKUP(K953,LISTAS!$D$27:$D$47,_xlfn.XLOOKUP(J953,LISTAS!$E$26:$H$26,LISTAS!$E$27:$H$47))</f>
        <v>22307000</v>
      </c>
      <c r="O953" s="56" t="s">
        <v>1625</v>
      </c>
      <c r="P953" s="76" t="str">
        <f t="shared" ca="1" si="44"/>
        <v>Vencida</v>
      </c>
    </row>
    <row r="954" spans="1:16" x14ac:dyDescent="0.3">
      <c r="A954" s="58" t="s">
        <v>1244</v>
      </c>
      <c r="B954" s="56" t="s">
        <v>200</v>
      </c>
      <c r="C954" s="50" t="str">
        <f>_xlfn.XLOOKUP(B954,CLIENTES!$A$2:$A$301,CLIENTES!$B$2:$B$301)</f>
        <v>Gabriela Sosa</v>
      </c>
      <c r="D954" s="60">
        <v>44780</v>
      </c>
      <c r="E954" s="60">
        <f t="shared" si="42"/>
        <v>45145</v>
      </c>
      <c r="F954" s="50" t="s">
        <v>1596</v>
      </c>
      <c r="G954" s="56" t="s">
        <v>1603</v>
      </c>
      <c r="H954" s="47">
        <v>27</v>
      </c>
      <c r="I954" s="60">
        <v>36030</v>
      </c>
      <c r="J954" s="56" t="s">
        <v>1611</v>
      </c>
      <c r="K954" s="56">
        <v>2025</v>
      </c>
      <c r="L954" s="52">
        <f t="shared" si="43"/>
        <v>76890.14999999998</v>
      </c>
      <c r="M954" s="56">
        <f>LISTAS!$B$22*_xlfn.XLOOKUP(G954,LISTAS!$B$27:$B$36,LISTAS!$A$27:$A$36)*_xlfn.XLOOKUP(H954,LISTAS!$B$38:$B$47,LISTAS!$A$38:$A$47,,-1)*_xlfn.XLOOKUP(J954,LISTAS!$E$26:$H$26,LISTAS!$E$48:$H$48)*_xlfn.XLOOKUP(F954,LISTAS!$A$15:$A$18,LISTAS!$H$15:$H$18)</f>
        <v>2.2286999999999994E-2</v>
      </c>
      <c r="N954" s="54" cm="1">
        <f t="array" ref="N954">_xlfn.XLOOKUP(K954,LISTAS!$D$27:$D$47,_xlfn.XLOOKUP(J954,LISTAS!$E$26:$H$26,LISTAS!$E$27:$H$47))</f>
        <v>41400000</v>
      </c>
      <c r="O954" s="56" t="s">
        <v>1625</v>
      </c>
      <c r="P954" s="76" t="str">
        <f t="shared" ca="1" si="44"/>
        <v>Vencida</v>
      </c>
    </row>
    <row r="955" spans="1:16" x14ac:dyDescent="0.3">
      <c r="A955" s="58" t="s">
        <v>1245</v>
      </c>
      <c r="B955" s="56" t="s">
        <v>191</v>
      </c>
      <c r="C955" s="50" t="str">
        <f>_xlfn.XLOOKUP(B955,CLIENTES!$A$2:$A$301,CLIENTES!$B$2:$B$301)</f>
        <v>Mateo Fernández</v>
      </c>
      <c r="D955" s="60">
        <v>45599</v>
      </c>
      <c r="E955" s="60">
        <f t="shared" si="42"/>
        <v>45964</v>
      </c>
      <c r="F955" s="50" t="s">
        <v>1597</v>
      </c>
      <c r="G955" s="56" t="s">
        <v>1602</v>
      </c>
      <c r="H955" s="47">
        <v>79</v>
      </c>
      <c r="I955" s="60">
        <v>17373</v>
      </c>
      <c r="J955" s="56" t="s">
        <v>1609</v>
      </c>
      <c r="K955" s="56">
        <v>2026</v>
      </c>
      <c r="L955" s="52">
        <f t="shared" si="43"/>
        <v>69781.250000000015</v>
      </c>
      <c r="M955" s="56">
        <f>LISTAS!$B$22*_xlfn.XLOOKUP(G955,LISTAS!$B$27:$B$36,LISTAS!$A$27:$A$36)*_xlfn.XLOOKUP(H955,LISTAS!$B$38:$B$47,LISTAS!$A$38:$A$47,,-1)*_xlfn.XLOOKUP(J955,LISTAS!$E$26:$H$26,LISTAS!$E$48:$H$48)*_xlfn.XLOOKUP(F955,LISTAS!$A$15:$A$18,LISTAS!$H$15:$H$18)</f>
        <v>3.3495000000000004E-2</v>
      </c>
      <c r="N955" s="54" cm="1">
        <f t="array" ref="N955">_xlfn.XLOOKUP(K955,LISTAS!$D$27:$D$47,_xlfn.XLOOKUP(J955,LISTAS!$E$26:$H$26,LISTAS!$E$27:$H$47))</f>
        <v>25000000</v>
      </c>
      <c r="O955" s="56" t="s">
        <v>1623</v>
      </c>
      <c r="P955" s="76" t="str">
        <f t="shared" ca="1" si="44"/>
        <v>Vencida</v>
      </c>
    </row>
    <row r="956" spans="1:16" x14ac:dyDescent="0.3">
      <c r="A956" s="58" t="s">
        <v>1246</v>
      </c>
      <c r="B956" s="56" t="s">
        <v>143</v>
      </c>
      <c r="C956" s="50" t="str">
        <f>_xlfn.XLOOKUP(B956,CLIENTES!$A$2:$A$301,CLIENTES!$B$2:$B$301)</f>
        <v>Tomás Ramírez</v>
      </c>
      <c r="D956" s="60">
        <v>45206</v>
      </c>
      <c r="E956" s="60">
        <f t="shared" si="42"/>
        <v>45572</v>
      </c>
      <c r="F956" s="50" t="s">
        <v>1598</v>
      </c>
      <c r="G956" s="56" t="s">
        <v>1599</v>
      </c>
      <c r="H956" s="47">
        <v>26</v>
      </c>
      <c r="I956" s="60">
        <v>36638</v>
      </c>
      <c r="J956" s="56" t="s">
        <v>1611</v>
      </c>
      <c r="K956" s="56">
        <v>2021</v>
      </c>
      <c r="L956" s="52">
        <f t="shared" si="43"/>
        <v>102423.048</v>
      </c>
      <c r="M956" s="56">
        <f>LISTAS!$B$22*_xlfn.XLOOKUP(G956,LISTAS!$B$27:$B$36,LISTAS!$A$27:$A$36)*_xlfn.XLOOKUP(H956,LISTAS!$B$38:$B$47,LISTAS!$A$38:$A$47,,-1)*_xlfn.XLOOKUP(J956,LISTAS!$E$26:$H$26,LISTAS!$E$48:$H$48)*_xlfn.XLOOKUP(F956,LISTAS!$A$15:$A$18,LISTAS!$H$15:$H$18)</f>
        <v>4.3055999999999997E-2</v>
      </c>
      <c r="N956" s="54" cm="1">
        <f t="array" ref="N956">_xlfn.XLOOKUP(K956,LISTAS!$D$27:$D$47,_xlfn.XLOOKUP(J956,LISTAS!$E$26:$H$26,LISTAS!$E$27:$H$47))</f>
        <v>28546000</v>
      </c>
      <c r="O956" s="56" t="s">
        <v>1625</v>
      </c>
      <c r="P956" s="76" t="str">
        <f t="shared" ca="1" si="44"/>
        <v>Vencida</v>
      </c>
    </row>
    <row r="957" spans="1:16" x14ac:dyDescent="0.3">
      <c r="A957" s="58" t="s">
        <v>1247</v>
      </c>
      <c r="B957" s="56" t="s">
        <v>226</v>
      </c>
      <c r="C957" s="50" t="str">
        <f>_xlfn.XLOOKUP(B957,CLIENTES!$A$2:$A$301,CLIENTES!$B$2:$B$301)</f>
        <v>Andrés Aguirre</v>
      </c>
      <c r="D957" s="60">
        <v>44776</v>
      </c>
      <c r="E957" s="60">
        <f t="shared" si="42"/>
        <v>45141</v>
      </c>
      <c r="F957" s="50" t="s">
        <v>1595</v>
      </c>
      <c r="G957" s="56" t="s">
        <v>1599</v>
      </c>
      <c r="H957" s="47">
        <v>53</v>
      </c>
      <c r="I957" s="60">
        <v>26752</v>
      </c>
      <c r="J957" s="56" t="s">
        <v>1610</v>
      </c>
      <c r="K957" s="56">
        <v>2025</v>
      </c>
      <c r="L957" s="52">
        <f t="shared" si="43"/>
        <v>48576</v>
      </c>
      <c r="M957" s="56">
        <f>LISTAS!$B$22*_xlfn.XLOOKUP(G957,LISTAS!$B$27:$B$36,LISTAS!$A$27:$A$36)*_xlfn.XLOOKUP(H957,LISTAS!$B$38:$B$47,LISTAS!$A$38:$A$47,,-1)*_xlfn.XLOOKUP(J957,LISTAS!$E$26:$H$26,LISTAS!$E$48:$H$48)*_xlfn.XLOOKUP(F957,LISTAS!$A$15:$A$18,LISTAS!$H$15:$H$18)</f>
        <v>1.584E-2</v>
      </c>
      <c r="N957" s="54" cm="1">
        <f t="array" ref="N957">_xlfn.XLOOKUP(K957,LISTAS!$D$27:$D$47,_xlfn.XLOOKUP(J957,LISTAS!$E$26:$H$26,LISTAS!$E$27:$H$47))</f>
        <v>36800000</v>
      </c>
      <c r="O957" s="56" t="s">
        <v>1625</v>
      </c>
      <c r="P957" s="76" t="str">
        <f t="shared" ca="1" si="44"/>
        <v>Vencida</v>
      </c>
    </row>
    <row r="958" spans="1:16" x14ac:dyDescent="0.3">
      <c r="A958" s="58" t="s">
        <v>1248</v>
      </c>
      <c r="B958" s="56" t="s">
        <v>202</v>
      </c>
      <c r="C958" s="50" t="str">
        <f>_xlfn.XLOOKUP(B958,CLIENTES!$A$2:$A$301,CLIENTES!$B$2:$B$301)</f>
        <v>Matías Benítez</v>
      </c>
      <c r="D958" s="60">
        <v>44510</v>
      </c>
      <c r="E958" s="60">
        <f t="shared" si="42"/>
        <v>44875</v>
      </c>
      <c r="F958" s="50" t="s">
        <v>1597</v>
      </c>
      <c r="G958" s="56" t="s">
        <v>1607</v>
      </c>
      <c r="H958" s="47">
        <v>37</v>
      </c>
      <c r="I958" s="60">
        <v>32573</v>
      </c>
      <c r="J958" s="56" t="s">
        <v>1611</v>
      </c>
      <c r="K958" s="56">
        <v>2022</v>
      </c>
      <c r="L958" s="52">
        <f t="shared" si="43"/>
        <v>72749.939166666663</v>
      </c>
      <c r="M958" s="56">
        <f>LISTAS!$B$22*_xlfn.XLOOKUP(G958,LISTAS!$B$27:$B$36,LISTAS!$A$27:$A$36)*_xlfn.XLOOKUP(H958,LISTAS!$B$38:$B$47,LISTAS!$A$38:$A$47,,-1)*_xlfn.XLOOKUP(J958,LISTAS!$E$26:$H$26,LISTAS!$E$48:$H$48)*_xlfn.XLOOKUP(F958,LISTAS!$A$15:$A$18,LISTAS!$H$15:$H$18)</f>
        <v>2.7830000000000001E-2</v>
      </c>
      <c r="N958" s="54" cm="1">
        <f t="array" ref="N958">_xlfn.XLOOKUP(K958,LISTAS!$D$27:$D$47,_xlfn.XLOOKUP(J958,LISTAS!$E$26:$H$26,LISTAS!$E$27:$H$47))</f>
        <v>31369000</v>
      </c>
      <c r="O958" s="56" t="s">
        <v>1623</v>
      </c>
      <c r="P958" s="76" t="str">
        <f t="shared" ca="1" si="44"/>
        <v>Vencida</v>
      </c>
    </row>
    <row r="959" spans="1:16" x14ac:dyDescent="0.3">
      <c r="A959" s="58" t="s">
        <v>1249</v>
      </c>
      <c r="B959" s="56" t="s">
        <v>217</v>
      </c>
      <c r="C959" s="50" t="str">
        <f>_xlfn.XLOOKUP(B959,CLIENTES!$A$2:$A$301,CLIENTES!$B$2:$B$301)</f>
        <v>Santiago López</v>
      </c>
      <c r="D959" s="60">
        <v>44841</v>
      </c>
      <c r="E959" s="60">
        <f t="shared" si="42"/>
        <v>45206</v>
      </c>
      <c r="F959" s="50" t="s">
        <v>1597</v>
      </c>
      <c r="G959" s="56" t="s">
        <v>1600</v>
      </c>
      <c r="H959" s="47">
        <v>46</v>
      </c>
      <c r="I959" s="60">
        <v>29306</v>
      </c>
      <c r="J959" s="56" t="s">
        <v>1611</v>
      </c>
      <c r="K959" s="56">
        <v>2016</v>
      </c>
      <c r="L959" s="52">
        <f t="shared" si="43"/>
        <v>41257.679833333335</v>
      </c>
      <c r="M959" s="56">
        <f>LISTAS!$B$22*_xlfn.XLOOKUP(G959,LISTAS!$B$27:$B$36,LISTAS!$A$27:$A$36)*_xlfn.XLOOKUP(H959,LISTAS!$B$38:$B$47,LISTAS!$A$38:$A$47,,-1)*_xlfn.XLOOKUP(J959,LISTAS!$E$26:$H$26,LISTAS!$E$48:$H$48)*_xlfn.XLOOKUP(F959,LISTAS!$A$15:$A$18,LISTAS!$H$15:$H$18)</f>
        <v>2.7640249999999998E-2</v>
      </c>
      <c r="N959" s="54" cm="1">
        <f t="array" ref="N959">_xlfn.XLOOKUP(K959,LISTAS!$D$27:$D$47,_xlfn.XLOOKUP(J959,LISTAS!$E$26:$H$26,LISTAS!$E$27:$H$47))</f>
        <v>17912000</v>
      </c>
      <c r="O959" s="56" t="s">
        <v>1623</v>
      </c>
      <c r="P959" s="76" t="str">
        <f t="shared" ca="1" si="44"/>
        <v>Vencida</v>
      </c>
    </row>
    <row r="960" spans="1:16" x14ac:dyDescent="0.3">
      <c r="A960" s="58" t="s">
        <v>1250</v>
      </c>
      <c r="B960" s="56" t="s">
        <v>129</v>
      </c>
      <c r="C960" s="50" t="str">
        <f>_xlfn.XLOOKUP(B960,CLIENTES!$A$2:$A$301,CLIENTES!$B$2:$B$301)</f>
        <v>Agustín Acosta</v>
      </c>
      <c r="D960" s="60">
        <v>46137</v>
      </c>
      <c r="E960" s="60">
        <f t="shared" si="42"/>
        <v>46502</v>
      </c>
      <c r="F960" s="50" t="s">
        <v>1595</v>
      </c>
      <c r="G960" s="56" t="s">
        <v>1603</v>
      </c>
      <c r="H960" s="47">
        <v>47</v>
      </c>
      <c r="I960" s="60">
        <v>29081</v>
      </c>
      <c r="J960" s="56" t="s">
        <v>1611</v>
      </c>
      <c r="K960" s="56">
        <v>2021</v>
      </c>
      <c r="L960" s="52">
        <f t="shared" si="43"/>
        <v>29627.179749999996</v>
      </c>
      <c r="M960" s="56">
        <f>LISTAS!$B$22*_xlfn.XLOOKUP(G960,LISTAS!$B$27:$B$36,LISTAS!$A$27:$A$36)*_xlfn.XLOOKUP(H960,LISTAS!$B$38:$B$47,LISTAS!$A$38:$A$47,,-1)*_xlfn.XLOOKUP(J960,LISTAS!$E$26:$H$26,LISTAS!$E$48:$H$48)*_xlfn.XLOOKUP(F960,LISTAS!$A$15:$A$18,LISTAS!$H$15:$H$18)</f>
        <v>1.2454499999999999E-2</v>
      </c>
      <c r="N960" s="54" cm="1">
        <f t="array" ref="N960">_xlfn.XLOOKUP(K960,LISTAS!$D$27:$D$47,_xlfn.XLOOKUP(J960,LISTAS!$E$26:$H$26,LISTAS!$E$27:$H$47))</f>
        <v>28546000</v>
      </c>
      <c r="O960" s="56" t="s">
        <v>1623</v>
      </c>
      <c r="P960" s="76" t="str">
        <f t="shared" ca="1" si="44"/>
        <v>Vigente</v>
      </c>
    </row>
    <row r="961" spans="1:16" x14ac:dyDescent="0.3">
      <c r="A961" s="58" t="s">
        <v>1251</v>
      </c>
      <c r="B961" s="56" t="s">
        <v>47</v>
      </c>
      <c r="C961" s="50" t="str">
        <f>_xlfn.XLOOKUP(B961,CLIENTES!$A$2:$A$301,CLIENTES!$B$2:$B$301)</f>
        <v>Mariano Castro</v>
      </c>
      <c r="D961" s="60">
        <v>46148</v>
      </c>
      <c r="E961" s="60">
        <f t="shared" si="42"/>
        <v>46513</v>
      </c>
      <c r="F961" s="50" t="s">
        <v>1598</v>
      </c>
      <c r="G961" s="56" t="s">
        <v>1600</v>
      </c>
      <c r="H961" s="47">
        <v>30</v>
      </c>
      <c r="I961" s="60">
        <v>35004</v>
      </c>
      <c r="J961" s="56" t="s">
        <v>1609</v>
      </c>
      <c r="K961" s="56">
        <v>2022</v>
      </c>
      <c r="L961" s="52">
        <f t="shared" si="43"/>
        <v>43422.275000000001</v>
      </c>
      <c r="M961" s="56">
        <f>LISTAS!$B$22*_xlfn.XLOOKUP(G961,LISTAS!$B$27:$B$36,LISTAS!$A$27:$A$36)*_xlfn.XLOOKUP(H961,LISTAS!$B$38:$B$47,LISTAS!$A$38:$A$47,,-1)*_xlfn.XLOOKUP(J961,LISTAS!$E$26:$H$26,LISTAS!$E$48:$H$48)*_xlfn.XLOOKUP(F961,LISTAS!$A$15:$A$18,LISTAS!$H$15:$H$18)</f>
        <v>2.9899999999999999E-2</v>
      </c>
      <c r="N961" s="54" cm="1">
        <f t="array" ref="N961">_xlfn.XLOOKUP(K961,LISTAS!$D$27:$D$47,_xlfn.XLOOKUP(J961,LISTAS!$E$26:$H$26,LISTAS!$E$27:$H$47))</f>
        <v>17427000</v>
      </c>
      <c r="O961" s="56" t="s">
        <v>1623</v>
      </c>
      <c r="P961" s="76" t="str">
        <f t="shared" ca="1" si="44"/>
        <v>Vigente</v>
      </c>
    </row>
    <row r="962" spans="1:16" x14ac:dyDescent="0.3">
      <c r="A962" s="58" t="s">
        <v>1252</v>
      </c>
      <c r="B962" s="56" t="s">
        <v>136</v>
      </c>
      <c r="C962" s="50" t="str">
        <f>_xlfn.XLOOKUP(B962,CLIENTES!$A$2:$A$301,CLIENTES!$B$2:$B$301)</f>
        <v>Martina Cabrera</v>
      </c>
      <c r="D962" s="60">
        <v>44636</v>
      </c>
      <c r="E962" s="60">
        <f t="shared" si="42"/>
        <v>45001</v>
      </c>
      <c r="F962" s="50" t="s">
        <v>1597</v>
      </c>
      <c r="G962" s="56" t="s">
        <v>1600</v>
      </c>
      <c r="H962" s="47">
        <v>51</v>
      </c>
      <c r="I962" s="60">
        <v>27467</v>
      </c>
      <c r="J962" s="56" t="s">
        <v>1609</v>
      </c>
      <c r="K962" s="56">
        <v>2020</v>
      </c>
      <c r="L962" s="52">
        <f t="shared" si="43"/>
        <v>30427.466666666671</v>
      </c>
      <c r="M962" s="56">
        <f>LISTAS!$B$22*_xlfn.XLOOKUP(G962,LISTAS!$B$27:$B$36,LISTAS!$A$27:$A$36)*_xlfn.XLOOKUP(H962,LISTAS!$B$38:$B$47,LISTAS!$A$38:$A$47,,-1)*_xlfn.XLOOKUP(J962,LISTAS!$E$26:$H$26,LISTAS!$E$48:$H$48)*_xlfn.XLOOKUP(F962,LISTAS!$A$15:$A$18,LISTAS!$H$15:$H$18)</f>
        <v>2.5300000000000003E-2</v>
      </c>
      <c r="N962" s="54" cm="1">
        <f t="array" ref="N962">_xlfn.XLOOKUP(K962,LISTAS!$D$27:$D$47,_xlfn.XLOOKUP(J962,LISTAS!$E$26:$H$26,LISTAS!$E$27:$H$47))</f>
        <v>14432000</v>
      </c>
      <c r="O962" s="56" t="s">
        <v>1624</v>
      </c>
      <c r="P962" s="76" t="str">
        <f t="shared" ca="1" si="44"/>
        <v>Vencida</v>
      </c>
    </row>
    <row r="963" spans="1:16" x14ac:dyDescent="0.3">
      <c r="A963" s="58" t="s">
        <v>1253</v>
      </c>
      <c r="B963" s="56" t="s">
        <v>73</v>
      </c>
      <c r="C963" s="50" t="str">
        <f>_xlfn.XLOOKUP(B963,CLIENTES!$A$2:$A$301,CLIENTES!$B$2:$B$301)</f>
        <v>Florencia Vázquez</v>
      </c>
      <c r="D963" s="60">
        <v>46201</v>
      </c>
      <c r="E963" s="60">
        <f t="shared" ref="E963:E1001" si="45">EDATE(D963,12)</f>
        <v>46566</v>
      </c>
      <c r="F963" s="50" t="s">
        <v>1597</v>
      </c>
      <c r="G963" s="56" t="s">
        <v>1606</v>
      </c>
      <c r="H963" s="47">
        <v>79</v>
      </c>
      <c r="I963" s="60">
        <v>17212</v>
      </c>
      <c r="J963" s="56" t="s">
        <v>1612</v>
      </c>
      <c r="K963" s="56">
        <v>2022</v>
      </c>
      <c r="L963" s="52">
        <f t="shared" ref="L963:L1001" si="46">(N963*M963)/12</f>
        <v>62264.41375</v>
      </c>
      <c r="M963" s="56">
        <f>LISTAS!$B$22*_xlfn.XLOOKUP(G963,LISTAS!$B$27:$B$36,LISTAS!$A$27:$A$36)*_xlfn.XLOOKUP(H963,LISTAS!$B$38:$B$47,LISTAS!$A$38:$A$47,,-1)*_xlfn.XLOOKUP(J963,LISTAS!$E$26:$H$26,LISTAS!$E$48:$H$48)*_xlfn.XLOOKUP(F963,LISTAS!$A$15:$A$18,LISTAS!$H$15:$H$18)</f>
        <v>3.3494999999999997E-2</v>
      </c>
      <c r="N963" s="54" cm="1">
        <f t="array" ref="N963">_xlfn.XLOOKUP(K963,LISTAS!$D$27:$D$47,_xlfn.XLOOKUP(J963,LISTAS!$E$26:$H$26,LISTAS!$E$27:$H$47))</f>
        <v>22307000</v>
      </c>
      <c r="O963" s="56" t="s">
        <v>1623</v>
      </c>
      <c r="P963" s="76" t="str">
        <f t="shared" ref="P963:P1001" ca="1" si="47">IF(TODAY()&lt;D963,"Pendiente",IF(TODAY()&gt;E963,"Vencida","Vigente"))</f>
        <v>Vigente</v>
      </c>
    </row>
    <row r="964" spans="1:16" x14ac:dyDescent="0.3">
      <c r="A964" s="58" t="s">
        <v>1254</v>
      </c>
      <c r="B964" s="56" t="s">
        <v>284</v>
      </c>
      <c r="C964" s="50" t="str">
        <f>_xlfn.XLOOKUP(B964,CLIENTES!$A$2:$A$301,CLIENTES!$B$2:$B$301)</f>
        <v>Sofía Núñez</v>
      </c>
      <c r="D964" s="60">
        <v>44718</v>
      </c>
      <c r="E964" s="60">
        <f t="shared" si="45"/>
        <v>45083</v>
      </c>
      <c r="F964" s="50" t="s">
        <v>1598</v>
      </c>
      <c r="G964" s="56" t="s">
        <v>1601</v>
      </c>
      <c r="H964" s="47">
        <v>34</v>
      </c>
      <c r="I964" s="60">
        <v>33701</v>
      </c>
      <c r="J964" s="56" t="s">
        <v>1611</v>
      </c>
      <c r="K964" s="56">
        <v>2019</v>
      </c>
      <c r="L964" s="52">
        <f t="shared" si="46"/>
        <v>67735.58458333333</v>
      </c>
      <c r="M964" s="56">
        <f>LISTAS!$B$22*_xlfn.XLOOKUP(G964,LISTAS!$B$27:$B$36,LISTAS!$A$27:$A$36)*_xlfn.XLOOKUP(H964,LISTAS!$B$38:$B$47,LISTAS!$A$38:$A$47,,-1)*_xlfn.XLOOKUP(J964,LISTAS!$E$26:$H$26,LISTAS!$E$48:$H$48)*_xlfn.XLOOKUP(F964,LISTAS!$A$15:$A$18,LISTAS!$H$15:$H$18)</f>
        <v>3.4384999999999999E-2</v>
      </c>
      <c r="N964" s="54" cm="1">
        <f t="array" ref="N964">_xlfn.XLOOKUP(K964,LISTAS!$D$27:$D$47,_xlfn.XLOOKUP(J964,LISTAS!$E$26:$H$26,LISTAS!$E$27:$H$47))</f>
        <v>23639000</v>
      </c>
      <c r="O964" s="56" t="s">
        <v>1623</v>
      </c>
      <c r="P964" s="76" t="str">
        <f t="shared" ca="1" si="47"/>
        <v>Vencida</v>
      </c>
    </row>
    <row r="965" spans="1:16" x14ac:dyDescent="0.3">
      <c r="A965" s="58" t="s">
        <v>1255</v>
      </c>
      <c r="B965" s="56" t="s">
        <v>236</v>
      </c>
      <c r="C965" s="50" t="str">
        <f>_xlfn.XLOOKUP(B965,CLIENTES!$A$2:$A$301,CLIENTES!$B$2:$B$301)</f>
        <v>Joaquín Herrera</v>
      </c>
      <c r="D965" s="60">
        <v>45627</v>
      </c>
      <c r="E965" s="60">
        <f t="shared" si="45"/>
        <v>45992</v>
      </c>
      <c r="F965" s="50" t="s">
        <v>1597</v>
      </c>
      <c r="G965" s="56" t="s">
        <v>1601</v>
      </c>
      <c r="H965" s="47">
        <v>25</v>
      </c>
      <c r="I965" s="60">
        <v>36779</v>
      </c>
      <c r="J965" s="56" t="s">
        <v>1610</v>
      </c>
      <c r="K965" s="56">
        <v>2023</v>
      </c>
      <c r="L965" s="52">
        <f t="shared" si="46"/>
        <v>85276.686000000002</v>
      </c>
      <c r="M965" s="56">
        <f>LISTAS!$B$22*_xlfn.XLOOKUP(G965,LISTAS!$B$27:$B$36,LISTAS!$A$27:$A$36)*_xlfn.XLOOKUP(H965,LISTAS!$B$38:$B$47,LISTAS!$A$38:$A$47,,-1)*_xlfn.XLOOKUP(J965,LISTAS!$E$26:$H$26,LISTAS!$E$48:$H$48)*_xlfn.XLOOKUP(F965,LISTAS!$A$15:$A$18,LISTAS!$H$15:$H$18)</f>
        <v>3.3396000000000002E-2</v>
      </c>
      <c r="N965" s="54" cm="1">
        <f t="array" ref="N965">_xlfn.XLOOKUP(K965,LISTAS!$D$27:$D$47,_xlfn.XLOOKUP(J965,LISTAS!$E$26:$H$26,LISTAS!$E$27:$H$47))</f>
        <v>30642000</v>
      </c>
      <c r="O965" s="56" t="s">
        <v>1623</v>
      </c>
      <c r="P965" s="76" t="str">
        <f t="shared" ca="1" si="47"/>
        <v>Vencida</v>
      </c>
    </row>
    <row r="966" spans="1:16" x14ac:dyDescent="0.3">
      <c r="A966" s="58" t="s">
        <v>1256</v>
      </c>
      <c r="B966" s="56" t="s">
        <v>173</v>
      </c>
      <c r="C966" s="50" t="str">
        <f>_xlfn.XLOOKUP(B966,CLIENTES!$A$2:$A$301,CLIENTES!$B$2:$B$301)</f>
        <v>Rodrigo Gutiérrez</v>
      </c>
      <c r="D966" s="60">
        <v>45749</v>
      </c>
      <c r="E966" s="60">
        <f t="shared" si="45"/>
        <v>46114</v>
      </c>
      <c r="F966" s="50" t="s">
        <v>1595</v>
      </c>
      <c r="G966" s="56" t="s">
        <v>1604</v>
      </c>
      <c r="H966" s="47">
        <v>43</v>
      </c>
      <c r="I966" s="60">
        <v>30299</v>
      </c>
      <c r="J966" s="56" t="s">
        <v>1612</v>
      </c>
      <c r="K966" s="56">
        <v>2020</v>
      </c>
      <c r="L966" s="52">
        <f t="shared" si="46"/>
        <v>19347.111000000001</v>
      </c>
      <c r="M966" s="56">
        <f>LISTAS!$B$22*_xlfn.XLOOKUP(G966,LISTAS!$B$27:$B$36,LISTAS!$A$27:$A$36)*_xlfn.XLOOKUP(H966,LISTAS!$B$38:$B$47,LISTAS!$A$38:$A$47,,-1)*_xlfn.XLOOKUP(J966,LISTAS!$E$26:$H$26,LISTAS!$E$48:$H$48)*_xlfn.XLOOKUP(F966,LISTAS!$A$15:$A$18,LISTAS!$H$15:$H$18)</f>
        <v>1.25685E-2</v>
      </c>
      <c r="N966" s="54" cm="1">
        <f t="array" ref="N966">_xlfn.XLOOKUP(K966,LISTAS!$D$27:$D$47,_xlfn.XLOOKUP(J966,LISTAS!$E$26:$H$26,LISTAS!$E$27:$H$47))</f>
        <v>18472000</v>
      </c>
      <c r="O966" s="56" t="s">
        <v>1625</v>
      </c>
      <c r="P966" s="76" t="str">
        <f t="shared" ca="1" si="47"/>
        <v>Vencida</v>
      </c>
    </row>
    <row r="967" spans="1:16" x14ac:dyDescent="0.3">
      <c r="A967" s="58" t="s">
        <v>1257</v>
      </c>
      <c r="B967" s="56" t="s">
        <v>135</v>
      </c>
      <c r="C967" s="50" t="str">
        <f>_xlfn.XLOOKUP(B967,CLIENTES!$A$2:$A$301,CLIENTES!$B$2:$B$301)</f>
        <v>Gonzalo Pereyra</v>
      </c>
      <c r="D967" s="60">
        <v>45489</v>
      </c>
      <c r="E967" s="60">
        <f t="shared" si="45"/>
        <v>45854</v>
      </c>
      <c r="F967" s="50" t="s">
        <v>1595</v>
      </c>
      <c r="G967" s="56" t="s">
        <v>1608</v>
      </c>
      <c r="H967" s="47">
        <v>64</v>
      </c>
      <c r="I967" s="60">
        <v>22797</v>
      </c>
      <c r="J967" s="56" t="s">
        <v>1611</v>
      </c>
      <c r="K967" s="56">
        <v>2020</v>
      </c>
      <c r="L967" s="52">
        <f t="shared" si="46"/>
        <v>29798.866124999997</v>
      </c>
      <c r="M967" s="56">
        <f>LISTAS!$B$22*_xlfn.XLOOKUP(G967,LISTAS!$B$27:$B$36,LISTAS!$A$27:$A$36)*_xlfn.XLOOKUP(H967,LISTAS!$B$38:$B$47,LISTAS!$A$38:$A$47,,-1)*_xlfn.XLOOKUP(J967,LISTAS!$E$26:$H$26,LISTAS!$E$48:$H$48)*_xlfn.XLOOKUP(F967,LISTAS!$A$15:$A$18,LISTAS!$H$15:$H$18)</f>
        <v>1.3765499999999998E-2</v>
      </c>
      <c r="N967" s="54" cm="1">
        <f t="array" ref="N967">_xlfn.XLOOKUP(K967,LISTAS!$D$27:$D$47,_xlfn.XLOOKUP(J967,LISTAS!$E$26:$H$26,LISTAS!$E$27:$H$47))</f>
        <v>25977000</v>
      </c>
      <c r="O967" s="56" t="s">
        <v>1623</v>
      </c>
      <c r="P967" s="76" t="str">
        <f t="shared" ca="1" si="47"/>
        <v>Vencida</v>
      </c>
    </row>
    <row r="968" spans="1:16" x14ac:dyDescent="0.3">
      <c r="A968" s="58" t="s">
        <v>1258</v>
      </c>
      <c r="B968" s="56" t="s">
        <v>14</v>
      </c>
      <c r="C968" s="50" t="str">
        <f>_xlfn.XLOOKUP(B968,CLIENTES!$A$2:$A$301,CLIENTES!$B$2:$B$301)</f>
        <v>Pedro Sánchez</v>
      </c>
      <c r="D968" s="60">
        <v>45430</v>
      </c>
      <c r="E968" s="60">
        <f t="shared" si="45"/>
        <v>45795</v>
      </c>
      <c r="F968" s="50" t="s">
        <v>1596</v>
      </c>
      <c r="G968" s="56" t="s">
        <v>1603</v>
      </c>
      <c r="H968" s="47">
        <v>48</v>
      </c>
      <c r="I968" s="60">
        <v>28468</v>
      </c>
      <c r="J968" s="56" t="s">
        <v>1611</v>
      </c>
      <c r="K968" s="56">
        <v>2025</v>
      </c>
      <c r="L968" s="52">
        <f t="shared" si="46"/>
        <v>60871.368749999987</v>
      </c>
      <c r="M968" s="56">
        <f>LISTAS!$B$22*_xlfn.XLOOKUP(G968,LISTAS!$B$27:$B$36,LISTAS!$A$27:$A$36)*_xlfn.XLOOKUP(H968,LISTAS!$B$38:$B$47,LISTAS!$A$38:$A$47,,-1)*_xlfn.XLOOKUP(J968,LISTAS!$E$26:$H$26,LISTAS!$E$48:$H$48)*_xlfn.XLOOKUP(F968,LISTAS!$A$15:$A$18,LISTAS!$H$15:$H$18)</f>
        <v>1.7643874999999996E-2</v>
      </c>
      <c r="N968" s="54" cm="1">
        <f t="array" ref="N968">_xlfn.XLOOKUP(K968,LISTAS!$D$27:$D$47,_xlfn.XLOOKUP(J968,LISTAS!$E$26:$H$26,LISTAS!$E$27:$H$47))</f>
        <v>41400000</v>
      </c>
      <c r="O968" s="56" t="s">
        <v>1623</v>
      </c>
      <c r="P968" s="76" t="str">
        <f t="shared" ca="1" si="47"/>
        <v>Vencida</v>
      </c>
    </row>
    <row r="969" spans="1:16" x14ac:dyDescent="0.3">
      <c r="A969" s="58" t="s">
        <v>1259</v>
      </c>
      <c r="B969" s="56" t="s">
        <v>148</v>
      </c>
      <c r="C969" s="50" t="str">
        <f>_xlfn.XLOOKUP(B969,CLIENTES!$A$2:$A$301,CLIENTES!$B$2:$B$301)</f>
        <v>Federico Aguirre</v>
      </c>
      <c r="D969" s="60">
        <v>44607</v>
      </c>
      <c r="E969" s="60">
        <f t="shared" si="45"/>
        <v>44972</v>
      </c>
      <c r="F969" s="50" t="s">
        <v>1598</v>
      </c>
      <c r="G969" s="56" t="s">
        <v>1606</v>
      </c>
      <c r="H969" s="47">
        <v>70</v>
      </c>
      <c r="I969" s="60">
        <v>20577</v>
      </c>
      <c r="J969" s="56" t="s">
        <v>1610</v>
      </c>
      <c r="K969" s="56">
        <v>2024</v>
      </c>
      <c r="L969" s="52">
        <f t="shared" si="46"/>
        <v>112352.23999999999</v>
      </c>
      <c r="M969" s="56">
        <f>LISTAS!$B$22*_xlfn.XLOOKUP(G969,LISTAS!$B$27:$B$36,LISTAS!$A$27:$A$36)*_xlfn.XLOOKUP(H969,LISTAS!$B$38:$B$47,LISTAS!$A$38:$A$47,,-1)*_xlfn.XLOOKUP(J969,LISTAS!$E$26:$H$26,LISTAS!$E$48:$H$48)*_xlfn.XLOOKUP(F969,LISTAS!$A$15:$A$18,LISTAS!$H$15:$H$18)</f>
        <v>4.0039999999999999E-2</v>
      </c>
      <c r="N969" s="54" cm="1">
        <f t="array" ref="N969">_xlfn.XLOOKUP(K969,LISTAS!$D$27:$D$47,_xlfn.XLOOKUP(J969,LISTAS!$E$26:$H$26,LISTAS!$E$27:$H$47))</f>
        <v>33672000</v>
      </c>
      <c r="O969" s="56" t="s">
        <v>1624</v>
      </c>
      <c r="P969" s="76" t="str">
        <f t="shared" ca="1" si="47"/>
        <v>Vencida</v>
      </c>
    </row>
    <row r="970" spans="1:16" x14ac:dyDescent="0.3">
      <c r="A970" s="58" t="s">
        <v>1260</v>
      </c>
      <c r="B970" s="56" t="s">
        <v>83</v>
      </c>
      <c r="C970" s="50" t="str">
        <f>_xlfn.XLOOKUP(B970,CLIENTES!$A$2:$A$301,CLIENTES!$B$2:$B$301)</f>
        <v>Valentina Cabrera</v>
      </c>
      <c r="D970" s="60">
        <v>45441</v>
      </c>
      <c r="E970" s="60">
        <f t="shared" si="45"/>
        <v>45806</v>
      </c>
      <c r="F970" s="50" t="s">
        <v>1595</v>
      </c>
      <c r="G970" s="56" t="s">
        <v>1601</v>
      </c>
      <c r="H970" s="47">
        <v>42</v>
      </c>
      <c r="I970" s="60">
        <v>30613</v>
      </c>
      <c r="J970" s="56" t="s">
        <v>1610</v>
      </c>
      <c r="K970" s="56">
        <v>2021</v>
      </c>
      <c r="L970" s="52">
        <f t="shared" si="46"/>
        <v>30493.204499999996</v>
      </c>
      <c r="M970" s="56">
        <f>LISTAS!$B$22*_xlfn.XLOOKUP(G970,LISTAS!$B$27:$B$36,LISTAS!$A$27:$A$36)*_xlfn.XLOOKUP(H970,LISTAS!$B$38:$B$47,LISTAS!$A$38:$A$47,,-1)*_xlfn.XLOOKUP(J970,LISTAS!$E$26:$H$26,LISTAS!$E$48:$H$48)*_xlfn.XLOOKUP(F970,LISTAS!$A$15:$A$18,LISTAS!$H$15:$H$18)</f>
        <v>1.4421E-2</v>
      </c>
      <c r="N970" s="54" cm="1">
        <f t="array" ref="N970">_xlfn.XLOOKUP(K970,LISTAS!$D$27:$D$47,_xlfn.XLOOKUP(J970,LISTAS!$E$26:$H$26,LISTAS!$E$27:$H$47))</f>
        <v>25374000</v>
      </c>
      <c r="O970" s="56" t="s">
        <v>1624</v>
      </c>
      <c r="P970" s="76" t="str">
        <f t="shared" ca="1" si="47"/>
        <v>Vencida</v>
      </c>
    </row>
    <row r="971" spans="1:16" x14ac:dyDescent="0.3">
      <c r="A971" s="58" t="s">
        <v>1261</v>
      </c>
      <c r="B971" s="56" t="s">
        <v>98</v>
      </c>
      <c r="C971" s="50" t="str">
        <f>_xlfn.XLOOKUP(B971,CLIENTES!$A$2:$A$301,CLIENTES!$B$2:$B$301)</f>
        <v>Carolina Roldán</v>
      </c>
      <c r="D971" s="60">
        <v>45766</v>
      </c>
      <c r="E971" s="60">
        <f t="shared" si="45"/>
        <v>46131</v>
      </c>
      <c r="F971" s="50" t="s">
        <v>1597</v>
      </c>
      <c r="G971" s="56" t="s">
        <v>1605</v>
      </c>
      <c r="H971" s="47">
        <v>69</v>
      </c>
      <c r="I971" s="60">
        <v>20990</v>
      </c>
      <c r="J971" s="56" t="s">
        <v>1612</v>
      </c>
      <c r="K971" s="56">
        <v>2025</v>
      </c>
      <c r="L971" s="52">
        <f t="shared" si="46"/>
        <v>58655.520000000011</v>
      </c>
      <c r="M971" s="56">
        <f>LISTAS!$B$22*_xlfn.XLOOKUP(G971,LISTAS!$B$27:$B$36,LISTAS!$A$27:$A$36)*_xlfn.XLOOKUP(H971,LISTAS!$B$38:$B$47,LISTAS!$A$38:$A$47,,-1)*_xlfn.XLOOKUP(J971,LISTAS!$E$26:$H$26,LISTAS!$E$48:$H$48)*_xlfn.XLOOKUP(F971,LISTAS!$A$15:$A$18,LISTAS!$H$15:$H$18)</f>
        <v>2.3908500000000003E-2</v>
      </c>
      <c r="N971" s="54" cm="1">
        <f t="array" ref="N971">_xlfn.XLOOKUP(K971,LISTAS!$D$27:$D$47,_xlfn.XLOOKUP(J971,LISTAS!$E$26:$H$26,LISTAS!$E$27:$H$47))</f>
        <v>29440000</v>
      </c>
      <c r="O971" s="56" t="s">
        <v>1625</v>
      </c>
      <c r="P971" s="76" t="str">
        <f t="shared" ca="1" si="47"/>
        <v>Vencida</v>
      </c>
    </row>
    <row r="972" spans="1:16" x14ac:dyDescent="0.3">
      <c r="A972" s="58" t="s">
        <v>1262</v>
      </c>
      <c r="B972" s="56" t="s">
        <v>140</v>
      </c>
      <c r="C972" s="50" t="str">
        <f>_xlfn.XLOOKUP(B972,CLIENTES!$A$2:$A$301,CLIENTES!$B$2:$B$301)</f>
        <v>Micaela Vázquez</v>
      </c>
      <c r="D972" s="60">
        <v>44602</v>
      </c>
      <c r="E972" s="60">
        <f t="shared" si="45"/>
        <v>44967</v>
      </c>
      <c r="F972" s="50" t="s">
        <v>1598</v>
      </c>
      <c r="G972" s="56" t="s">
        <v>1604</v>
      </c>
      <c r="H972" s="47">
        <v>26</v>
      </c>
      <c r="I972" s="60">
        <v>36757</v>
      </c>
      <c r="J972" s="56" t="s">
        <v>1611</v>
      </c>
      <c r="K972" s="56">
        <v>2007</v>
      </c>
      <c r="L972" s="52">
        <f t="shared" si="46"/>
        <v>28946.19</v>
      </c>
      <c r="M972" s="56">
        <f>LISTAS!$B$22*_xlfn.XLOOKUP(G972,LISTAS!$B$27:$B$36,LISTAS!$A$27:$A$36)*_xlfn.XLOOKUP(H972,LISTAS!$B$38:$B$47,LISTAS!$A$38:$A$47,,-1)*_xlfn.XLOOKUP(J972,LISTAS!$E$26:$H$26,LISTAS!$E$48:$H$48)*_xlfn.XLOOKUP(F972,LISTAS!$A$15:$A$18,LISTAS!$H$15:$H$18)</f>
        <v>3.7673999999999999E-2</v>
      </c>
      <c r="N972" s="54" cm="1">
        <f t="array" ref="N972">_xlfn.XLOOKUP(K972,LISTAS!$D$27:$D$47,_xlfn.XLOOKUP(J972,LISTAS!$E$26:$H$26,LISTAS!$E$27:$H$47))</f>
        <v>9220000</v>
      </c>
      <c r="O972" s="56" t="s">
        <v>1623</v>
      </c>
      <c r="P972" s="76" t="str">
        <f t="shared" ca="1" si="47"/>
        <v>Vencida</v>
      </c>
    </row>
    <row r="973" spans="1:16" x14ac:dyDescent="0.3">
      <c r="A973" s="58" t="s">
        <v>1263</v>
      </c>
      <c r="B973" s="56" t="s">
        <v>151</v>
      </c>
      <c r="C973" s="50" t="str">
        <f>_xlfn.XLOOKUP(B973,CLIENTES!$A$2:$A$301,CLIENTES!$B$2:$B$301)</f>
        <v>Alejandro Suárez</v>
      </c>
      <c r="D973" s="60">
        <v>45809</v>
      </c>
      <c r="E973" s="60">
        <f t="shared" si="45"/>
        <v>46174</v>
      </c>
      <c r="F973" s="50" t="s">
        <v>1596</v>
      </c>
      <c r="G973" s="56" t="s">
        <v>1607</v>
      </c>
      <c r="H973" s="47">
        <v>50</v>
      </c>
      <c r="I973" s="60">
        <v>27924</v>
      </c>
      <c r="J973" s="56" t="s">
        <v>1612</v>
      </c>
      <c r="K973" s="56">
        <v>2012</v>
      </c>
      <c r="L973" s="52">
        <f t="shared" si="46"/>
        <v>15092.770000000002</v>
      </c>
      <c r="M973" s="56">
        <f>LISTAS!$B$22*_xlfn.XLOOKUP(G973,LISTAS!$B$27:$B$36,LISTAS!$A$27:$A$36)*_xlfn.XLOOKUP(H973,LISTAS!$B$38:$B$47,LISTAS!$A$38:$A$47,,-1)*_xlfn.XLOOKUP(J973,LISTAS!$E$26:$H$26,LISTAS!$E$48:$H$48)*_xlfn.XLOOKUP(F973,LISTAS!$A$15:$A$18,LISTAS!$H$15:$H$18)</f>
        <v>1.9635000000000003E-2</v>
      </c>
      <c r="N973" s="54" cm="1">
        <f t="array" ref="N973">_xlfn.XLOOKUP(K973,LISTAS!$D$27:$D$47,_xlfn.XLOOKUP(J973,LISTAS!$E$26:$H$26,LISTAS!$E$27:$H$47))</f>
        <v>9224000</v>
      </c>
      <c r="O973" s="56" t="s">
        <v>1623</v>
      </c>
      <c r="P973" s="76" t="str">
        <f t="shared" ca="1" si="47"/>
        <v>Vencida</v>
      </c>
    </row>
    <row r="974" spans="1:16" x14ac:dyDescent="0.3">
      <c r="A974" s="58" t="s">
        <v>1264</v>
      </c>
      <c r="B974" s="56" t="s">
        <v>155</v>
      </c>
      <c r="C974" s="50" t="str">
        <f>_xlfn.XLOOKUP(B974,CLIENTES!$A$2:$A$301,CLIENTES!$B$2:$B$301)</f>
        <v>Maximiliano Flores</v>
      </c>
      <c r="D974" s="60">
        <v>46198</v>
      </c>
      <c r="E974" s="60">
        <f t="shared" si="45"/>
        <v>46563</v>
      </c>
      <c r="F974" s="50" t="s">
        <v>1596</v>
      </c>
      <c r="G974" s="56" t="s">
        <v>1600</v>
      </c>
      <c r="H974" s="47">
        <v>47</v>
      </c>
      <c r="I974" s="60">
        <v>28810</v>
      </c>
      <c r="J974" s="56" t="s">
        <v>1609</v>
      </c>
      <c r="K974" s="56">
        <v>2026</v>
      </c>
      <c r="L974" s="52">
        <f t="shared" si="46"/>
        <v>38692.708333333328</v>
      </c>
      <c r="M974" s="56">
        <f>LISTAS!$B$22*_xlfn.XLOOKUP(G974,LISTAS!$B$27:$B$36,LISTAS!$A$27:$A$36)*_xlfn.XLOOKUP(H974,LISTAS!$B$38:$B$47,LISTAS!$A$38:$A$47,,-1)*_xlfn.XLOOKUP(J974,LISTAS!$E$26:$H$26,LISTAS!$E$48:$H$48)*_xlfn.XLOOKUP(F974,LISTAS!$A$15:$A$18,LISTAS!$H$15:$H$18)</f>
        <v>1.8572499999999999E-2</v>
      </c>
      <c r="N974" s="54" cm="1">
        <f t="array" ref="N974">_xlfn.XLOOKUP(K974,LISTAS!$D$27:$D$47,_xlfn.XLOOKUP(J974,LISTAS!$E$26:$H$26,LISTAS!$E$27:$H$47))</f>
        <v>25000000</v>
      </c>
      <c r="O974" s="56" t="s">
        <v>1624</v>
      </c>
      <c r="P974" s="76" t="str">
        <f t="shared" ca="1" si="47"/>
        <v>Vigente</v>
      </c>
    </row>
    <row r="975" spans="1:16" x14ac:dyDescent="0.3">
      <c r="A975" s="58" t="s">
        <v>1265</v>
      </c>
      <c r="B975" s="56" t="s">
        <v>270</v>
      </c>
      <c r="C975" s="50" t="str">
        <f>_xlfn.XLOOKUP(B975,CLIENTES!$A$2:$A$301,CLIENTES!$B$2:$B$301)</f>
        <v>Gonzalo Ramírez</v>
      </c>
      <c r="D975" s="60">
        <v>45586</v>
      </c>
      <c r="E975" s="60">
        <f t="shared" si="45"/>
        <v>45951</v>
      </c>
      <c r="F975" s="50" t="s">
        <v>1598</v>
      </c>
      <c r="G975" s="56" t="s">
        <v>1606</v>
      </c>
      <c r="H975" s="47">
        <v>52</v>
      </c>
      <c r="I975" s="60">
        <v>27214</v>
      </c>
      <c r="J975" s="56" t="s">
        <v>1610</v>
      </c>
      <c r="K975" s="56">
        <v>2015</v>
      </c>
      <c r="L975" s="52">
        <f t="shared" si="46"/>
        <v>34911.066666666673</v>
      </c>
      <c r="M975" s="56">
        <f>LISTAS!$B$22*_xlfn.XLOOKUP(G975,LISTAS!$B$27:$B$36,LISTAS!$A$27:$A$36)*_xlfn.XLOOKUP(H975,LISTAS!$B$38:$B$47,LISTAS!$A$38:$A$47,,-1)*_xlfn.XLOOKUP(J975,LISTAS!$E$26:$H$26,LISTAS!$E$48:$H$48)*_xlfn.XLOOKUP(F975,LISTAS!$A$15:$A$18,LISTAS!$H$15:$H$18)</f>
        <v>2.8600000000000004E-2</v>
      </c>
      <c r="N975" s="54" cm="1">
        <f t="array" ref="N975">_xlfn.XLOOKUP(K975,LISTAS!$D$27:$D$47,_xlfn.XLOOKUP(J975,LISTAS!$E$26:$H$26,LISTAS!$E$27:$H$47))</f>
        <v>14648000</v>
      </c>
      <c r="O975" s="56" t="s">
        <v>1623</v>
      </c>
      <c r="P975" s="76" t="str">
        <f t="shared" ca="1" si="47"/>
        <v>Vencida</v>
      </c>
    </row>
    <row r="976" spans="1:16" x14ac:dyDescent="0.3">
      <c r="A976" s="58" t="s">
        <v>1266</v>
      </c>
      <c r="B976" s="56" t="s">
        <v>62</v>
      </c>
      <c r="C976" s="50" t="str">
        <f>_xlfn.XLOOKUP(B976,CLIENTES!$A$2:$A$301,CLIENTES!$B$2:$B$301)</f>
        <v>Federico Flores</v>
      </c>
      <c r="D976" s="60">
        <v>45265</v>
      </c>
      <c r="E976" s="60">
        <f t="shared" si="45"/>
        <v>45631</v>
      </c>
      <c r="F976" s="50" t="s">
        <v>1597</v>
      </c>
      <c r="G976" s="56" t="s">
        <v>1604</v>
      </c>
      <c r="H976" s="47">
        <v>64</v>
      </c>
      <c r="I976" s="60">
        <v>22808</v>
      </c>
      <c r="J976" s="56" t="s">
        <v>1610</v>
      </c>
      <c r="K976" s="56">
        <v>2022</v>
      </c>
      <c r="L976" s="52">
        <f t="shared" si="46"/>
        <v>61996.58850000002</v>
      </c>
      <c r="M976" s="56">
        <f>LISTAS!$B$22*_xlfn.XLOOKUP(G976,LISTAS!$B$27:$B$36,LISTAS!$A$27:$A$36)*_xlfn.XLOOKUP(H976,LISTAS!$B$38:$B$47,LISTAS!$A$38:$A$47,,-1)*_xlfn.XLOOKUP(J976,LISTAS!$E$26:$H$26,LISTAS!$E$48:$H$48)*_xlfn.XLOOKUP(F976,LISTAS!$A$15:$A$18,LISTAS!$H$15:$H$18)</f>
        <v>2.668050000000001E-2</v>
      </c>
      <c r="N976" s="54" cm="1">
        <f t="array" ref="N976">_xlfn.XLOOKUP(K976,LISTAS!$D$27:$D$47,_xlfn.XLOOKUP(J976,LISTAS!$E$26:$H$26,LISTAS!$E$27:$H$47))</f>
        <v>27884000</v>
      </c>
      <c r="O976" s="56" t="s">
        <v>1623</v>
      </c>
      <c r="P976" s="76" t="str">
        <f t="shared" ca="1" si="47"/>
        <v>Vencida</v>
      </c>
    </row>
    <row r="977" spans="1:16" x14ac:dyDescent="0.3">
      <c r="A977" s="58" t="s">
        <v>1267</v>
      </c>
      <c r="B977" s="56" t="s">
        <v>209</v>
      </c>
      <c r="C977" s="50" t="str">
        <f>_xlfn.XLOOKUP(B977,CLIENTES!$A$2:$A$301,CLIENTES!$B$2:$B$301)</f>
        <v>Camila Domínguez</v>
      </c>
      <c r="D977" s="60">
        <v>45703</v>
      </c>
      <c r="E977" s="60">
        <f t="shared" si="45"/>
        <v>46068</v>
      </c>
      <c r="F977" s="50" t="s">
        <v>1596</v>
      </c>
      <c r="G977" s="56" t="s">
        <v>1608</v>
      </c>
      <c r="H977" s="47">
        <v>74</v>
      </c>
      <c r="I977" s="60">
        <v>18903</v>
      </c>
      <c r="J977" s="56" t="s">
        <v>1612</v>
      </c>
      <c r="K977" s="56">
        <v>2021</v>
      </c>
      <c r="L977" s="52">
        <f t="shared" si="46"/>
        <v>40159.034124999998</v>
      </c>
      <c r="M977" s="56">
        <f>LISTAS!$B$22*_xlfn.XLOOKUP(G977,LISTAS!$B$27:$B$36,LISTAS!$A$27:$A$36)*_xlfn.XLOOKUP(H977,LISTAS!$B$38:$B$47,LISTAS!$A$38:$A$47,,-1)*_xlfn.XLOOKUP(J977,LISTAS!$E$26:$H$26,LISTAS!$E$48:$H$48)*_xlfn.XLOOKUP(F977,LISTAS!$A$15:$A$18,LISTAS!$H$15:$H$18)</f>
        <v>2.3740499999999998E-2</v>
      </c>
      <c r="N977" s="54" cm="1">
        <f t="array" ref="N977">_xlfn.XLOOKUP(K977,LISTAS!$D$27:$D$47,_xlfn.XLOOKUP(J977,LISTAS!$E$26:$H$26,LISTAS!$E$27:$H$47))</f>
        <v>20299000</v>
      </c>
      <c r="O977" s="56" t="s">
        <v>1626</v>
      </c>
      <c r="P977" s="76" t="str">
        <f t="shared" ca="1" si="47"/>
        <v>Vencida</v>
      </c>
    </row>
    <row r="978" spans="1:16" x14ac:dyDescent="0.3">
      <c r="A978" s="58" t="s">
        <v>1268</v>
      </c>
      <c r="B978" s="56" t="s">
        <v>47</v>
      </c>
      <c r="C978" s="50" t="str">
        <f>_xlfn.XLOOKUP(B978,CLIENTES!$A$2:$A$301,CLIENTES!$B$2:$B$301)</f>
        <v>Mariano Castro</v>
      </c>
      <c r="D978" s="60">
        <v>45854</v>
      </c>
      <c r="E978" s="60">
        <f t="shared" si="45"/>
        <v>46219</v>
      </c>
      <c r="F978" s="50" t="s">
        <v>1595</v>
      </c>
      <c r="G978" s="56" t="s">
        <v>1603</v>
      </c>
      <c r="H978" s="47">
        <v>30</v>
      </c>
      <c r="I978" s="60">
        <v>34970</v>
      </c>
      <c r="J978" s="56" t="s">
        <v>1609</v>
      </c>
      <c r="K978" s="56">
        <v>2020</v>
      </c>
      <c r="L978" s="52">
        <f t="shared" si="46"/>
        <v>13710.4</v>
      </c>
      <c r="M978" s="56">
        <f>LISTAS!$B$22*_xlfn.XLOOKUP(G978,LISTAS!$B$27:$B$36,LISTAS!$A$27:$A$36)*_xlfn.XLOOKUP(H978,LISTAS!$B$38:$B$47,LISTAS!$A$38:$A$47,,-1)*_xlfn.XLOOKUP(J978,LISTAS!$E$26:$H$26,LISTAS!$E$48:$H$48)*_xlfn.XLOOKUP(F978,LISTAS!$A$15:$A$18,LISTAS!$H$15:$H$18)</f>
        <v>1.1399999999999999E-2</v>
      </c>
      <c r="N978" s="54" cm="1">
        <f t="array" ref="N978">_xlfn.XLOOKUP(K978,LISTAS!$D$27:$D$47,_xlfn.XLOOKUP(J978,LISTAS!$E$26:$H$26,LISTAS!$E$27:$H$47))</f>
        <v>14432000</v>
      </c>
      <c r="O978" s="56" t="s">
        <v>1626</v>
      </c>
      <c r="P978" s="76" t="str">
        <f t="shared" ca="1" si="47"/>
        <v>Vencida</v>
      </c>
    </row>
    <row r="979" spans="1:16" x14ac:dyDescent="0.3">
      <c r="A979" s="58" t="s">
        <v>1269</v>
      </c>
      <c r="B979" s="56" t="s">
        <v>225</v>
      </c>
      <c r="C979" s="50" t="str">
        <f>_xlfn.XLOOKUP(B979,CLIENTES!$A$2:$A$301,CLIENTES!$B$2:$B$301)</f>
        <v>Lucía Quiroga</v>
      </c>
      <c r="D979" s="60">
        <v>46023</v>
      </c>
      <c r="E979" s="60">
        <f t="shared" si="45"/>
        <v>46388</v>
      </c>
      <c r="F979" s="50" t="s">
        <v>1595</v>
      </c>
      <c r="G979" s="56" t="s">
        <v>1603</v>
      </c>
      <c r="H979" s="47">
        <v>18</v>
      </c>
      <c r="I979" s="60">
        <v>39414</v>
      </c>
      <c r="J979" s="56" t="s">
        <v>1612</v>
      </c>
      <c r="K979" s="56">
        <v>2011</v>
      </c>
      <c r="L979" s="52">
        <f t="shared" si="46"/>
        <v>12836.328749999999</v>
      </c>
      <c r="M979" s="56">
        <f>LISTAS!$B$22*_xlfn.XLOOKUP(G979,LISTAS!$B$27:$B$36,LISTAS!$A$27:$A$36)*_xlfn.XLOOKUP(H979,LISTAS!$B$38:$B$47,LISTAS!$A$38:$A$47,,-1)*_xlfn.XLOOKUP(J979,LISTAS!$E$26:$H$26,LISTAS!$E$48:$H$48)*_xlfn.XLOOKUP(F979,LISTAS!$A$15:$A$18,LISTAS!$H$15:$H$18)</f>
        <v>1.7954999999999999E-2</v>
      </c>
      <c r="N979" s="54" cm="1">
        <f t="array" ref="N979">_xlfn.XLOOKUP(K979,LISTAS!$D$27:$D$47,_xlfn.XLOOKUP(J979,LISTAS!$E$26:$H$26,LISTAS!$E$27:$H$47))</f>
        <v>8579000</v>
      </c>
      <c r="O979" s="56" t="s">
        <v>1623</v>
      </c>
      <c r="P979" s="76" t="str">
        <f t="shared" ca="1" si="47"/>
        <v>Vigente</v>
      </c>
    </row>
    <row r="980" spans="1:16" x14ac:dyDescent="0.3">
      <c r="A980" s="58" t="s">
        <v>1270</v>
      </c>
      <c r="B980" s="56" t="s">
        <v>113</v>
      </c>
      <c r="C980" s="50" t="str">
        <f>_xlfn.XLOOKUP(B980,CLIENTES!$A$2:$A$301,CLIENTES!$B$2:$B$301)</f>
        <v>Federico Ruiz</v>
      </c>
      <c r="D980" s="60">
        <v>45897</v>
      </c>
      <c r="E980" s="60">
        <f t="shared" si="45"/>
        <v>46262</v>
      </c>
      <c r="F980" s="50" t="s">
        <v>1595</v>
      </c>
      <c r="G980" s="56" t="s">
        <v>1601</v>
      </c>
      <c r="H980" s="47">
        <v>28</v>
      </c>
      <c r="I980" s="60">
        <v>35939</v>
      </c>
      <c r="J980" s="56" t="s">
        <v>1610</v>
      </c>
      <c r="K980" s="56">
        <v>2025</v>
      </c>
      <c r="L980" s="52">
        <f t="shared" si="46"/>
        <v>55862.399999999994</v>
      </c>
      <c r="M980" s="56">
        <f>LISTAS!$B$22*_xlfn.XLOOKUP(G980,LISTAS!$B$27:$B$36,LISTAS!$A$27:$A$36)*_xlfn.XLOOKUP(H980,LISTAS!$B$38:$B$47,LISTAS!$A$38:$A$47,,-1)*_xlfn.XLOOKUP(J980,LISTAS!$E$26:$H$26,LISTAS!$E$48:$H$48)*_xlfn.XLOOKUP(F980,LISTAS!$A$15:$A$18,LISTAS!$H$15:$H$18)</f>
        <v>1.8216E-2</v>
      </c>
      <c r="N980" s="54" cm="1">
        <f t="array" ref="N980">_xlfn.XLOOKUP(K980,LISTAS!$D$27:$D$47,_xlfn.XLOOKUP(J980,LISTAS!$E$26:$H$26,LISTAS!$E$27:$H$47))</f>
        <v>36800000</v>
      </c>
      <c r="O980" s="56" t="s">
        <v>1623</v>
      </c>
      <c r="P980" s="76" t="str">
        <f t="shared" ca="1" si="47"/>
        <v>Vencida</v>
      </c>
    </row>
    <row r="981" spans="1:16" x14ac:dyDescent="0.3">
      <c r="A981" s="58" t="s">
        <v>1271</v>
      </c>
      <c r="B981" s="56" t="s">
        <v>70</v>
      </c>
      <c r="C981" s="50" t="str">
        <f>_xlfn.XLOOKUP(B981,CLIENTES!$A$2:$A$301,CLIENTES!$B$2:$B$301)</f>
        <v>Facundo Flores</v>
      </c>
      <c r="D981" s="60">
        <v>45171</v>
      </c>
      <c r="E981" s="60">
        <f t="shared" si="45"/>
        <v>45537</v>
      </c>
      <c r="F981" s="50" t="s">
        <v>1595</v>
      </c>
      <c r="G981" s="56" t="s">
        <v>1608</v>
      </c>
      <c r="H981" s="47">
        <v>43</v>
      </c>
      <c r="I981" s="60">
        <v>30234</v>
      </c>
      <c r="J981" s="56" t="s">
        <v>1611</v>
      </c>
      <c r="K981" s="56">
        <v>2006</v>
      </c>
      <c r="L981" s="52">
        <f t="shared" si="46"/>
        <v>8994.2247499999994</v>
      </c>
      <c r="M981" s="56">
        <f>LISTAS!$B$22*_xlfn.XLOOKUP(G981,LISTAS!$B$27:$B$36,LISTAS!$A$27:$A$36)*_xlfn.XLOOKUP(H981,LISTAS!$B$38:$B$47,LISTAS!$A$38:$A$47,,-1)*_xlfn.XLOOKUP(J981,LISTAS!$E$26:$H$26,LISTAS!$E$48:$H$48)*_xlfn.XLOOKUP(F981,LISTAS!$A$15:$A$18,LISTAS!$H$15:$H$18)</f>
        <v>1.2454499999999999E-2</v>
      </c>
      <c r="N981" s="54" cm="1">
        <f t="array" ref="N981">_xlfn.XLOOKUP(K981,LISTAS!$D$27:$D$47,_xlfn.XLOOKUP(J981,LISTAS!$E$26:$H$26,LISTAS!$E$27:$H$47))</f>
        <v>8666000</v>
      </c>
      <c r="O981" s="56" t="s">
        <v>1623</v>
      </c>
      <c r="P981" s="76" t="str">
        <f t="shared" ca="1" si="47"/>
        <v>Vencida</v>
      </c>
    </row>
    <row r="982" spans="1:16" x14ac:dyDescent="0.3">
      <c r="A982" s="58" t="s">
        <v>1272</v>
      </c>
      <c r="B982" s="56" t="s">
        <v>5</v>
      </c>
      <c r="C982" s="50" t="str">
        <f>_xlfn.XLOOKUP(B982,CLIENTES!$A$2:$A$301,CLIENTES!$B$2:$B$301)</f>
        <v>Joaquín Ferreyra</v>
      </c>
      <c r="D982" s="60">
        <v>45587</v>
      </c>
      <c r="E982" s="60">
        <f t="shared" si="45"/>
        <v>45952</v>
      </c>
      <c r="F982" s="50" t="s">
        <v>1595</v>
      </c>
      <c r="G982" s="56" t="s">
        <v>1604</v>
      </c>
      <c r="H982" s="47">
        <v>61</v>
      </c>
      <c r="I982" s="60">
        <v>23913</v>
      </c>
      <c r="J982" s="56" t="s">
        <v>1609</v>
      </c>
      <c r="K982" s="56">
        <v>2021</v>
      </c>
      <c r="L982" s="52">
        <f t="shared" si="46"/>
        <v>17484.547500000004</v>
      </c>
      <c r="M982" s="56">
        <f>LISTAS!$B$22*_xlfn.XLOOKUP(G982,LISTAS!$B$27:$B$36,LISTAS!$A$27:$A$36)*_xlfn.XLOOKUP(H982,LISTAS!$B$38:$B$47,LISTAS!$A$38:$A$47,,-1)*_xlfn.XLOOKUP(J982,LISTAS!$E$26:$H$26,LISTAS!$E$48:$H$48)*_xlfn.XLOOKUP(F982,LISTAS!$A$15:$A$18,LISTAS!$H$15:$H$18)</f>
        <v>1.3230000000000002E-2</v>
      </c>
      <c r="N982" s="54" cm="1">
        <f t="array" ref="N982">_xlfn.XLOOKUP(K982,LISTAS!$D$27:$D$47,_xlfn.XLOOKUP(J982,LISTAS!$E$26:$H$26,LISTAS!$E$27:$H$47))</f>
        <v>15859000</v>
      </c>
      <c r="O982" s="56" t="s">
        <v>1626</v>
      </c>
      <c r="P982" s="76" t="str">
        <f t="shared" ca="1" si="47"/>
        <v>Vencida</v>
      </c>
    </row>
    <row r="983" spans="1:16" x14ac:dyDescent="0.3">
      <c r="A983" s="58" t="s">
        <v>1273</v>
      </c>
      <c r="B983" s="56" t="s">
        <v>44</v>
      </c>
      <c r="C983" s="50" t="str">
        <f>_xlfn.XLOOKUP(B983,CLIENTES!$A$2:$A$301,CLIENTES!$B$2:$B$301)</f>
        <v>Mateo López</v>
      </c>
      <c r="D983" s="60">
        <v>46017</v>
      </c>
      <c r="E983" s="60">
        <f t="shared" si="45"/>
        <v>46382</v>
      </c>
      <c r="F983" s="50" t="s">
        <v>1597</v>
      </c>
      <c r="G983" s="56" t="s">
        <v>1601</v>
      </c>
      <c r="H983" s="47">
        <v>77</v>
      </c>
      <c r="I983" s="60">
        <v>18084</v>
      </c>
      <c r="J983" s="56" t="s">
        <v>1611</v>
      </c>
      <c r="K983" s="56">
        <v>2006</v>
      </c>
      <c r="L983" s="52">
        <f t="shared" si="46"/>
        <v>30466.586791666672</v>
      </c>
      <c r="M983" s="56">
        <f>LISTAS!$B$22*_xlfn.XLOOKUP(G983,LISTAS!$B$27:$B$36,LISTAS!$A$27:$A$36)*_xlfn.XLOOKUP(H983,LISTAS!$B$38:$B$47,LISTAS!$A$38:$A$47,,-1)*_xlfn.XLOOKUP(J983,LISTAS!$E$26:$H$26,LISTAS!$E$48:$H$48)*_xlfn.XLOOKUP(F983,LISTAS!$A$15:$A$18,LISTAS!$H$15:$H$18)</f>
        <v>4.2187750000000003E-2</v>
      </c>
      <c r="N983" s="54" cm="1">
        <f t="array" ref="N983">_xlfn.XLOOKUP(K983,LISTAS!$D$27:$D$47,_xlfn.XLOOKUP(J983,LISTAS!$E$26:$H$26,LISTAS!$E$27:$H$47))</f>
        <v>8666000</v>
      </c>
      <c r="O983" s="56" t="s">
        <v>1623</v>
      </c>
      <c r="P983" s="76" t="str">
        <f t="shared" ca="1" si="47"/>
        <v>Vigente</v>
      </c>
    </row>
    <row r="984" spans="1:16" x14ac:dyDescent="0.3">
      <c r="A984" s="58" t="s">
        <v>1274</v>
      </c>
      <c r="B984" s="56" t="s">
        <v>217</v>
      </c>
      <c r="C984" s="50" t="str">
        <f>_xlfn.XLOOKUP(B984,CLIENTES!$A$2:$A$301,CLIENTES!$B$2:$B$301)</f>
        <v>Santiago López</v>
      </c>
      <c r="D984" s="60">
        <v>44722</v>
      </c>
      <c r="E984" s="60">
        <f t="shared" si="45"/>
        <v>45087</v>
      </c>
      <c r="F984" s="50" t="s">
        <v>1598</v>
      </c>
      <c r="G984" s="56" t="s">
        <v>1605</v>
      </c>
      <c r="H984" s="47">
        <v>34</v>
      </c>
      <c r="I984" s="60">
        <v>33545</v>
      </c>
      <c r="J984" s="56" t="s">
        <v>1611</v>
      </c>
      <c r="K984" s="56">
        <v>2023</v>
      </c>
      <c r="L984" s="52">
        <f t="shared" si="46"/>
        <v>77303.460000000006</v>
      </c>
      <c r="M984" s="56">
        <f>LISTAS!$B$22*_xlfn.XLOOKUP(G984,LISTAS!$B$27:$B$36,LISTAS!$A$27:$A$36)*_xlfn.XLOOKUP(H984,LISTAS!$B$38:$B$47,LISTAS!$A$38:$A$47,,-1)*_xlfn.XLOOKUP(J984,LISTAS!$E$26:$H$26,LISTAS!$E$48:$H$48)*_xlfn.XLOOKUP(F984,LISTAS!$A$15:$A$18,LISTAS!$H$15:$H$18)</f>
        <v>2.691E-2</v>
      </c>
      <c r="N984" s="54" cm="1">
        <f t="array" ref="N984">_xlfn.XLOOKUP(K984,LISTAS!$D$27:$D$47,_xlfn.XLOOKUP(J984,LISTAS!$E$26:$H$26,LISTAS!$E$27:$H$47))</f>
        <v>34472000</v>
      </c>
      <c r="O984" s="56" t="s">
        <v>1623</v>
      </c>
      <c r="P984" s="76" t="str">
        <f t="shared" ca="1" si="47"/>
        <v>Vencida</v>
      </c>
    </row>
    <row r="985" spans="1:16" x14ac:dyDescent="0.3">
      <c r="A985" s="58" t="s">
        <v>1275</v>
      </c>
      <c r="B985" s="56" t="s">
        <v>250</v>
      </c>
      <c r="C985" s="50" t="str">
        <f>_xlfn.XLOOKUP(B985,CLIENTES!$A$2:$A$301,CLIENTES!$B$2:$B$301)</f>
        <v>Sebastián Gutiérrez</v>
      </c>
      <c r="D985" s="60">
        <v>44551</v>
      </c>
      <c r="E985" s="60">
        <f t="shared" si="45"/>
        <v>44916</v>
      </c>
      <c r="F985" s="50" t="s">
        <v>1595</v>
      </c>
      <c r="G985" s="56" t="s">
        <v>1601</v>
      </c>
      <c r="H985" s="47">
        <v>62</v>
      </c>
      <c r="I985" s="60">
        <v>23252</v>
      </c>
      <c r="J985" s="56" t="s">
        <v>1610</v>
      </c>
      <c r="K985" s="56">
        <v>2020</v>
      </c>
      <c r="L985" s="52">
        <f t="shared" si="46"/>
        <v>30670.620750000002</v>
      </c>
      <c r="M985" s="56">
        <f>LISTAS!$B$22*_xlfn.XLOOKUP(G985,LISTAS!$B$27:$B$36,LISTAS!$A$27:$A$36)*_xlfn.XLOOKUP(H985,LISTAS!$B$38:$B$47,LISTAS!$A$38:$A$47,,-1)*_xlfn.XLOOKUP(J985,LISTAS!$E$26:$H$26,LISTAS!$E$48:$H$48)*_xlfn.XLOOKUP(F985,LISTAS!$A$15:$A$18,LISTAS!$H$15:$H$18)</f>
        <v>1.5939000000000002E-2</v>
      </c>
      <c r="N985" s="54" cm="1">
        <f t="array" ref="N985">_xlfn.XLOOKUP(K985,LISTAS!$D$27:$D$47,_xlfn.XLOOKUP(J985,LISTAS!$E$26:$H$26,LISTAS!$E$27:$H$47))</f>
        <v>23091000</v>
      </c>
      <c r="O985" s="56" t="s">
        <v>1626</v>
      </c>
      <c r="P985" s="76" t="str">
        <f t="shared" ca="1" si="47"/>
        <v>Vencida</v>
      </c>
    </row>
    <row r="986" spans="1:16" x14ac:dyDescent="0.3">
      <c r="A986" s="58" t="s">
        <v>1276</v>
      </c>
      <c r="B986" s="56" t="s">
        <v>288</v>
      </c>
      <c r="C986" s="50" t="str">
        <f>_xlfn.XLOOKUP(B986,CLIENTES!$A$2:$A$301,CLIENTES!$B$2:$B$301)</f>
        <v>Nicolás Torres</v>
      </c>
      <c r="D986" s="60">
        <v>45694</v>
      </c>
      <c r="E986" s="60">
        <f t="shared" si="45"/>
        <v>46059</v>
      </c>
      <c r="F986" s="50" t="s">
        <v>1595</v>
      </c>
      <c r="G986" s="56" t="s">
        <v>1600</v>
      </c>
      <c r="H986" s="47">
        <v>21</v>
      </c>
      <c r="I986" s="60">
        <v>38228</v>
      </c>
      <c r="J986" s="56" t="s">
        <v>1610</v>
      </c>
      <c r="K986" s="56">
        <v>2013</v>
      </c>
      <c r="L986" s="52">
        <f t="shared" si="46"/>
        <v>21287.103750000002</v>
      </c>
      <c r="M986" s="56">
        <f>LISTAS!$B$22*_xlfn.XLOOKUP(G986,LISTAS!$B$27:$B$36,LISTAS!$A$27:$A$36)*_xlfn.XLOOKUP(H986,LISTAS!$B$38:$B$47,LISTAS!$A$38:$A$47,,-1)*_xlfn.XLOOKUP(J986,LISTAS!$E$26:$H$26,LISTAS!$E$48:$H$48)*_xlfn.XLOOKUP(F986,LISTAS!$A$15:$A$18,LISTAS!$H$15:$H$18)</f>
        <v>2.0493000000000001E-2</v>
      </c>
      <c r="N986" s="54" cm="1">
        <f t="array" ref="N986">_xlfn.XLOOKUP(K986,LISTAS!$D$27:$D$47,_xlfn.XLOOKUP(J986,LISTAS!$E$26:$H$26,LISTAS!$E$27:$H$47))</f>
        <v>12465000</v>
      </c>
      <c r="O986" s="56" t="s">
        <v>1623</v>
      </c>
      <c r="P986" s="76" t="str">
        <f t="shared" ca="1" si="47"/>
        <v>Vencida</v>
      </c>
    </row>
    <row r="987" spans="1:16" x14ac:dyDescent="0.3">
      <c r="A987" s="58" t="s">
        <v>1277</v>
      </c>
      <c r="B987" s="56" t="s">
        <v>119</v>
      </c>
      <c r="C987" s="50" t="str">
        <f>_xlfn.XLOOKUP(B987,CLIENTES!$A$2:$A$301,CLIENTES!$B$2:$B$301)</f>
        <v>Juan Gómez</v>
      </c>
      <c r="D987" s="60">
        <v>46123</v>
      </c>
      <c r="E987" s="60">
        <f t="shared" si="45"/>
        <v>46488</v>
      </c>
      <c r="F987" s="50" t="s">
        <v>1598</v>
      </c>
      <c r="G987" s="56" t="s">
        <v>1599</v>
      </c>
      <c r="H987" s="47">
        <v>57</v>
      </c>
      <c r="I987" s="60">
        <v>25135</v>
      </c>
      <c r="J987" s="56" t="s">
        <v>1611</v>
      </c>
      <c r="K987" s="56">
        <v>2022</v>
      </c>
      <c r="L987" s="52">
        <f t="shared" si="46"/>
        <v>93793.31</v>
      </c>
      <c r="M987" s="56">
        <f>LISTAS!$B$22*_xlfn.XLOOKUP(G987,LISTAS!$B$27:$B$36,LISTAS!$A$27:$A$36)*_xlfn.XLOOKUP(H987,LISTAS!$B$38:$B$47,LISTAS!$A$38:$A$47,,-1)*_xlfn.XLOOKUP(J987,LISTAS!$E$26:$H$26,LISTAS!$E$48:$H$48)*_xlfn.XLOOKUP(F987,LISTAS!$A$15:$A$18,LISTAS!$H$15:$H$18)</f>
        <v>3.5880000000000002E-2</v>
      </c>
      <c r="N987" s="54" cm="1">
        <f t="array" ref="N987">_xlfn.XLOOKUP(K987,LISTAS!$D$27:$D$47,_xlfn.XLOOKUP(J987,LISTAS!$E$26:$H$26,LISTAS!$E$27:$H$47))</f>
        <v>31369000</v>
      </c>
      <c r="O987" s="56" t="s">
        <v>1623</v>
      </c>
      <c r="P987" s="76" t="str">
        <f t="shared" ca="1" si="47"/>
        <v>Vigente</v>
      </c>
    </row>
    <row r="988" spans="1:16" x14ac:dyDescent="0.3">
      <c r="A988" s="58" t="s">
        <v>1278</v>
      </c>
      <c r="B988" s="56" t="s">
        <v>287</v>
      </c>
      <c r="C988" s="50" t="str">
        <f>_xlfn.XLOOKUP(B988,CLIENTES!$A$2:$A$301,CLIENTES!$B$2:$B$301)</f>
        <v>Martina González</v>
      </c>
      <c r="D988" s="60">
        <v>46194</v>
      </c>
      <c r="E988" s="60">
        <f t="shared" si="45"/>
        <v>46559</v>
      </c>
      <c r="F988" s="50" t="s">
        <v>1595</v>
      </c>
      <c r="G988" s="56" t="s">
        <v>1608</v>
      </c>
      <c r="H988" s="47">
        <v>57</v>
      </c>
      <c r="I988" s="60">
        <v>25325</v>
      </c>
      <c r="J988" s="56" t="s">
        <v>1611</v>
      </c>
      <c r="K988" s="56">
        <v>2026</v>
      </c>
      <c r="L988" s="52">
        <f t="shared" si="46"/>
        <v>49162.499999999993</v>
      </c>
      <c r="M988" s="56">
        <f>LISTAS!$B$22*_xlfn.XLOOKUP(G988,LISTAS!$B$27:$B$36,LISTAS!$A$27:$A$36)*_xlfn.XLOOKUP(H988,LISTAS!$B$38:$B$47,LISTAS!$A$38:$A$47,,-1)*_xlfn.XLOOKUP(J988,LISTAS!$E$26:$H$26,LISTAS!$E$48:$H$48)*_xlfn.XLOOKUP(F988,LISTAS!$A$15:$A$18,LISTAS!$H$15:$H$18)</f>
        <v>1.3109999999999998E-2</v>
      </c>
      <c r="N988" s="54" cm="1">
        <f t="array" ref="N988">_xlfn.XLOOKUP(K988,LISTAS!$D$27:$D$47,_xlfn.XLOOKUP(J988,LISTAS!$E$26:$H$26,LISTAS!$E$27:$H$47))</f>
        <v>45000000</v>
      </c>
      <c r="O988" s="56" t="s">
        <v>1623</v>
      </c>
      <c r="P988" s="76" t="str">
        <f t="shared" ca="1" si="47"/>
        <v>Vigente</v>
      </c>
    </row>
    <row r="989" spans="1:16" x14ac:dyDescent="0.3">
      <c r="A989" s="58" t="s">
        <v>1279</v>
      </c>
      <c r="B989" s="56" t="s">
        <v>109</v>
      </c>
      <c r="C989" s="50" t="str">
        <f>_xlfn.XLOOKUP(B989,CLIENTES!$A$2:$A$301,CLIENTES!$B$2:$B$301)</f>
        <v>Micaela Torres</v>
      </c>
      <c r="D989" s="60">
        <v>44462</v>
      </c>
      <c r="E989" s="60">
        <f t="shared" si="45"/>
        <v>44827</v>
      </c>
      <c r="F989" s="50" t="s">
        <v>1596</v>
      </c>
      <c r="G989" s="56" t="s">
        <v>1600</v>
      </c>
      <c r="H989" s="47">
        <v>37</v>
      </c>
      <c r="I989" s="60">
        <v>32729</v>
      </c>
      <c r="J989" s="56" t="s">
        <v>1611</v>
      </c>
      <c r="K989" s="56">
        <v>2012</v>
      </c>
      <c r="L989" s="52">
        <f t="shared" si="46"/>
        <v>24303.5825</v>
      </c>
      <c r="M989" s="56">
        <f>LISTAS!$B$22*_xlfn.XLOOKUP(G989,LISTAS!$B$27:$B$36,LISTAS!$A$27:$A$36)*_xlfn.XLOOKUP(H989,LISTAS!$B$38:$B$47,LISTAS!$A$38:$A$47,,-1)*_xlfn.XLOOKUP(J989,LISTAS!$E$26:$H$26,LISTAS!$E$48:$H$48)*_xlfn.XLOOKUP(F989,LISTAS!$A$15:$A$18,LISTAS!$H$15:$H$18)</f>
        <v>2.2482499999999999E-2</v>
      </c>
      <c r="N989" s="54" cm="1">
        <f t="array" ref="N989">_xlfn.XLOOKUP(K989,LISTAS!$D$27:$D$47,_xlfn.XLOOKUP(J989,LISTAS!$E$26:$H$26,LISTAS!$E$27:$H$47))</f>
        <v>12972000</v>
      </c>
      <c r="O989" s="56" t="s">
        <v>1623</v>
      </c>
      <c r="P989" s="76" t="str">
        <f t="shared" ca="1" si="47"/>
        <v>Vencida</v>
      </c>
    </row>
    <row r="990" spans="1:16" x14ac:dyDescent="0.3">
      <c r="A990" s="58" t="s">
        <v>1280</v>
      </c>
      <c r="B990" s="56" t="s">
        <v>187</v>
      </c>
      <c r="C990" s="50" t="str">
        <f>_xlfn.XLOOKUP(B990,CLIENTES!$A$2:$A$301,CLIENTES!$B$2:$B$301)</f>
        <v>Victoria Sosa</v>
      </c>
      <c r="D990" s="60">
        <v>45206</v>
      </c>
      <c r="E990" s="60">
        <f t="shared" si="45"/>
        <v>45572</v>
      </c>
      <c r="F990" s="50" t="s">
        <v>1598</v>
      </c>
      <c r="G990" s="56" t="s">
        <v>1603</v>
      </c>
      <c r="H990" s="47">
        <v>66</v>
      </c>
      <c r="I990" s="60">
        <v>22009</v>
      </c>
      <c r="J990" s="56" t="s">
        <v>1612</v>
      </c>
      <c r="K990" s="56">
        <v>2021</v>
      </c>
      <c r="L990" s="52">
        <f t="shared" si="46"/>
        <v>50451.895812499999</v>
      </c>
      <c r="M990" s="56">
        <f>LISTAS!$B$22*_xlfn.XLOOKUP(G990,LISTAS!$B$27:$B$36,LISTAS!$A$27:$A$36)*_xlfn.XLOOKUP(H990,LISTAS!$B$38:$B$47,LISTAS!$A$38:$A$47,,-1)*_xlfn.XLOOKUP(J990,LISTAS!$E$26:$H$26,LISTAS!$E$48:$H$48)*_xlfn.XLOOKUP(F990,LISTAS!$A$15:$A$18,LISTAS!$H$15:$H$18)</f>
        <v>2.9825249999999998E-2</v>
      </c>
      <c r="N990" s="54" cm="1">
        <f t="array" ref="N990">_xlfn.XLOOKUP(K990,LISTAS!$D$27:$D$47,_xlfn.XLOOKUP(J990,LISTAS!$E$26:$H$26,LISTAS!$E$27:$H$47))</f>
        <v>20299000</v>
      </c>
      <c r="O990" s="56" t="s">
        <v>1623</v>
      </c>
      <c r="P990" s="76" t="str">
        <f t="shared" ca="1" si="47"/>
        <v>Vencida</v>
      </c>
    </row>
    <row r="991" spans="1:16" x14ac:dyDescent="0.3">
      <c r="A991" s="58" t="s">
        <v>1281</v>
      </c>
      <c r="B991" s="56" t="s">
        <v>156</v>
      </c>
      <c r="C991" s="50" t="str">
        <f>_xlfn.XLOOKUP(B991,CLIENTES!$A$2:$A$301,CLIENTES!$B$2:$B$301)</f>
        <v>Victoria Méndez</v>
      </c>
      <c r="D991" s="60">
        <v>45124</v>
      </c>
      <c r="E991" s="60">
        <f t="shared" si="45"/>
        <v>45490</v>
      </c>
      <c r="F991" s="50" t="s">
        <v>1597</v>
      </c>
      <c r="G991" s="56" t="s">
        <v>1607</v>
      </c>
      <c r="H991" s="47">
        <v>35</v>
      </c>
      <c r="I991" s="60">
        <v>33164</v>
      </c>
      <c r="J991" s="56" t="s">
        <v>1611</v>
      </c>
      <c r="K991" s="56">
        <v>2025</v>
      </c>
      <c r="L991" s="52">
        <f t="shared" si="46"/>
        <v>96013.5</v>
      </c>
      <c r="M991" s="56">
        <f>LISTAS!$B$22*_xlfn.XLOOKUP(G991,LISTAS!$B$27:$B$36,LISTAS!$A$27:$A$36)*_xlfn.XLOOKUP(H991,LISTAS!$B$38:$B$47,LISTAS!$A$38:$A$47,,-1)*_xlfn.XLOOKUP(J991,LISTAS!$E$26:$H$26,LISTAS!$E$48:$H$48)*_xlfn.XLOOKUP(F991,LISTAS!$A$15:$A$18,LISTAS!$H$15:$H$18)</f>
        <v>2.7830000000000001E-2</v>
      </c>
      <c r="N991" s="54" cm="1">
        <f t="array" ref="N991">_xlfn.XLOOKUP(K991,LISTAS!$D$27:$D$47,_xlfn.XLOOKUP(J991,LISTAS!$E$26:$H$26,LISTAS!$E$27:$H$47))</f>
        <v>41400000</v>
      </c>
      <c r="O991" s="56" t="s">
        <v>1626</v>
      </c>
      <c r="P991" s="76" t="str">
        <f t="shared" ca="1" si="47"/>
        <v>Vencida</v>
      </c>
    </row>
    <row r="992" spans="1:16" x14ac:dyDescent="0.3">
      <c r="A992" s="58" t="s">
        <v>1282</v>
      </c>
      <c r="B992" s="56" t="s">
        <v>186</v>
      </c>
      <c r="C992" s="50" t="str">
        <f>_xlfn.XLOOKUP(B992,CLIENTES!$A$2:$A$301,CLIENTES!$B$2:$B$301)</f>
        <v>Valentina Aguirre</v>
      </c>
      <c r="D992" s="60">
        <v>45015</v>
      </c>
      <c r="E992" s="60">
        <f t="shared" si="45"/>
        <v>45381</v>
      </c>
      <c r="F992" s="50" t="s">
        <v>1596</v>
      </c>
      <c r="G992" s="56" t="s">
        <v>1602</v>
      </c>
      <c r="H992" s="47">
        <v>48</v>
      </c>
      <c r="I992" s="60">
        <v>28444</v>
      </c>
      <c r="J992" s="56" t="s">
        <v>1610</v>
      </c>
      <c r="K992" s="56">
        <v>2021</v>
      </c>
      <c r="L992" s="52">
        <f t="shared" si="46"/>
        <v>39442.297124999997</v>
      </c>
      <c r="M992" s="56">
        <f>LISTAS!$B$22*_xlfn.XLOOKUP(G992,LISTAS!$B$27:$B$36,LISTAS!$A$27:$A$36)*_xlfn.XLOOKUP(H992,LISTAS!$B$38:$B$47,LISTAS!$A$38:$A$47,,-1)*_xlfn.XLOOKUP(J992,LISTAS!$E$26:$H$26,LISTAS!$E$48:$H$48)*_xlfn.XLOOKUP(F992,LISTAS!$A$15:$A$18,LISTAS!$H$15:$H$18)</f>
        <v>1.865325E-2</v>
      </c>
      <c r="N992" s="54" cm="1">
        <f t="array" ref="N992">_xlfn.XLOOKUP(K992,LISTAS!$D$27:$D$47,_xlfn.XLOOKUP(J992,LISTAS!$E$26:$H$26,LISTAS!$E$27:$H$47))</f>
        <v>25374000</v>
      </c>
      <c r="O992" s="56" t="s">
        <v>1626</v>
      </c>
      <c r="P992" s="76" t="str">
        <f t="shared" ca="1" si="47"/>
        <v>Vencida</v>
      </c>
    </row>
    <row r="993" spans="1:16" x14ac:dyDescent="0.3">
      <c r="A993" s="58" t="s">
        <v>1283</v>
      </c>
      <c r="B993" s="56" t="s">
        <v>48</v>
      </c>
      <c r="C993" s="50" t="str">
        <f>_xlfn.XLOOKUP(B993,CLIENTES!$A$2:$A$301,CLIENTES!$B$2:$B$301)</f>
        <v>Alejandro Herrera</v>
      </c>
      <c r="D993" s="60">
        <v>44737</v>
      </c>
      <c r="E993" s="60">
        <f t="shared" si="45"/>
        <v>45102</v>
      </c>
      <c r="F993" s="50" t="s">
        <v>1595</v>
      </c>
      <c r="G993" s="56" t="s">
        <v>1604</v>
      </c>
      <c r="H993" s="47">
        <v>38</v>
      </c>
      <c r="I993" s="60">
        <v>32179</v>
      </c>
      <c r="J993" s="56" t="s">
        <v>1609</v>
      </c>
      <c r="K993" s="56">
        <v>2025</v>
      </c>
      <c r="L993" s="52">
        <f t="shared" si="46"/>
        <v>24150</v>
      </c>
      <c r="M993" s="56">
        <f>LISTAS!$B$22*_xlfn.XLOOKUP(G993,LISTAS!$B$27:$B$36,LISTAS!$A$27:$A$36)*_xlfn.XLOOKUP(H993,LISTAS!$B$38:$B$47,LISTAS!$A$38:$A$47,,-1)*_xlfn.XLOOKUP(J993,LISTAS!$E$26:$H$26,LISTAS!$E$48:$H$48)*_xlfn.XLOOKUP(F993,LISTAS!$A$15:$A$18,LISTAS!$H$15:$H$18)</f>
        <v>1.26E-2</v>
      </c>
      <c r="N993" s="54" cm="1">
        <f t="array" ref="N993">_xlfn.XLOOKUP(K993,LISTAS!$D$27:$D$47,_xlfn.XLOOKUP(J993,LISTAS!$E$26:$H$26,LISTAS!$E$27:$H$47))</f>
        <v>23000000</v>
      </c>
      <c r="O993" s="56" t="s">
        <v>1626</v>
      </c>
      <c r="P993" s="76" t="str">
        <f t="shared" ca="1" si="47"/>
        <v>Vencida</v>
      </c>
    </row>
    <row r="994" spans="1:16" x14ac:dyDescent="0.3">
      <c r="A994" s="58" t="s">
        <v>1284</v>
      </c>
      <c r="B994" s="56" t="s">
        <v>239</v>
      </c>
      <c r="C994" s="50" t="str">
        <f>_xlfn.XLOOKUP(B994,CLIENTES!$A$2:$A$301,CLIENTES!$B$2:$B$301)</f>
        <v>Matías Flores</v>
      </c>
      <c r="D994" s="60">
        <v>44779</v>
      </c>
      <c r="E994" s="60">
        <f t="shared" si="45"/>
        <v>45144</v>
      </c>
      <c r="F994" s="50" t="s">
        <v>1597</v>
      </c>
      <c r="G994" s="56" t="s">
        <v>1608</v>
      </c>
      <c r="H994" s="47">
        <v>59</v>
      </c>
      <c r="I994" s="60">
        <v>24493</v>
      </c>
      <c r="J994" s="56" t="s">
        <v>1612</v>
      </c>
      <c r="K994" s="56">
        <v>2021</v>
      </c>
      <c r="L994" s="52">
        <f t="shared" si="46"/>
        <v>37121.796249999999</v>
      </c>
      <c r="M994" s="56">
        <f>LISTAS!$B$22*_xlfn.XLOOKUP(G994,LISTAS!$B$27:$B$36,LISTAS!$A$27:$A$36)*_xlfn.XLOOKUP(H994,LISTAS!$B$38:$B$47,LISTAS!$A$38:$A$47,,-1)*_xlfn.XLOOKUP(J994,LISTAS!$E$26:$H$26,LISTAS!$E$48:$H$48)*_xlfn.XLOOKUP(F994,LISTAS!$A$15:$A$18,LISTAS!$H$15:$H$18)</f>
        <v>2.1944999999999999E-2</v>
      </c>
      <c r="N994" s="54" cm="1">
        <f t="array" ref="N994">_xlfn.XLOOKUP(K994,LISTAS!$D$27:$D$47,_xlfn.XLOOKUP(J994,LISTAS!$E$26:$H$26,LISTAS!$E$27:$H$47))</f>
        <v>20299000</v>
      </c>
      <c r="O994" s="56" t="s">
        <v>1623</v>
      </c>
      <c r="P994" s="76" t="str">
        <f t="shared" ca="1" si="47"/>
        <v>Vencida</v>
      </c>
    </row>
    <row r="995" spans="1:16" x14ac:dyDescent="0.3">
      <c r="A995" s="58" t="s">
        <v>1285</v>
      </c>
      <c r="B995" s="56" t="s">
        <v>89</v>
      </c>
      <c r="C995" s="50" t="str">
        <f>_xlfn.XLOOKUP(B995,CLIENTES!$A$2:$A$301,CLIENTES!$B$2:$B$301)</f>
        <v>Gonzalo Acosta</v>
      </c>
      <c r="D995" s="60">
        <v>45479</v>
      </c>
      <c r="E995" s="60">
        <f t="shared" si="45"/>
        <v>45844</v>
      </c>
      <c r="F995" s="50" t="s">
        <v>1596</v>
      </c>
      <c r="G995" s="56" t="s">
        <v>1603</v>
      </c>
      <c r="H995" s="47">
        <v>32</v>
      </c>
      <c r="I995" s="60">
        <v>34498</v>
      </c>
      <c r="J995" s="56" t="s">
        <v>1612</v>
      </c>
      <c r="K995" s="56">
        <v>2020</v>
      </c>
      <c r="L995" s="52">
        <f t="shared" si="46"/>
        <v>26103.244999999999</v>
      </c>
      <c r="M995" s="56">
        <f>LISTAS!$B$22*_xlfn.XLOOKUP(G995,LISTAS!$B$27:$B$36,LISTAS!$A$27:$A$36)*_xlfn.XLOOKUP(H995,LISTAS!$B$38:$B$47,LISTAS!$A$38:$A$47,,-1)*_xlfn.XLOOKUP(J995,LISTAS!$E$26:$H$26,LISTAS!$E$48:$H$48)*_xlfn.XLOOKUP(F995,LISTAS!$A$15:$A$18,LISTAS!$H$15:$H$18)</f>
        <v>1.69575E-2</v>
      </c>
      <c r="N995" s="54" cm="1">
        <f t="array" ref="N995">_xlfn.XLOOKUP(K995,LISTAS!$D$27:$D$47,_xlfn.XLOOKUP(J995,LISTAS!$E$26:$H$26,LISTAS!$E$27:$H$47))</f>
        <v>18472000</v>
      </c>
      <c r="O995" s="56" t="s">
        <v>1625</v>
      </c>
      <c r="P995" s="76" t="str">
        <f t="shared" ca="1" si="47"/>
        <v>Vencida</v>
      </c>
    </row>
    <row r="996" spans="1:16" x14ac:dyDescent="0.3">
      <c r="A996" s="58" t="s">
        <v>1286</v>
      </c>
      <c r="B996" s="56" t="s">
        <v>33</v>
      </c>
      <c r="C996" s="50" t="str">
        <f>_xlfn.XLOOKUP(B996,CLIENTES!$A$2:$A$301,CLIENTES!$B$2:$B$301)</f>
        <v>Daniel Suárez</v>
      </c>
      <c r="D996" s="60">
        <v>44753</v>
      </c>
      <c r="E996" s="60">
        <f t="shared" si="45"/>
        <v>45118</v>
      </c>
      <c r="F996" s="50" t="s">
        <v>1595</v>
      </c>
      <c r="G996" s="56" t="s">
        <v>1606</v>
      </c>
      <c r="H996" s="47">
        <v>55</v>
      </c>
      <c r="I996" s="60">
        <v>25994</v>
      </c>
      <c r="J996" s="56" t="s">
        <v>1611</v>
      </c>
      <c r="K996" s="56">
        <v>2022</v>
      </c>
      <c r="L996" s="52">
        <f t="shared" si="46"/>
        <v>36074.35</v>
      </c>
      <c r="M996" s="56">
        <f>LISTAS!$B$22*_xlfn.XLOOKUP(G996,LISTAS!$B$27:$B$36,LISTAS!$A$27:$A$36)*_xlfn.XLOOKUP(H996,LISTAS!$B$38:$B$47,LISTAS!$A$38:$A$47,,-1)*_xlfn.XLOOKUP(J996,LISTAS!$E$26:$H$26,LISTAS!$E$48:$H$48)*_xlfn.XLOOKUP(F996,LISTAS!$A$15:$A$18,LISTAS!$H$15:$H$18)</f>
        <v>1.38E-2</v>
      </c>
      <c r="N996" s="54" cm="1">
        <f t="array" ref="N996">_xlfn.XLOOKUP(K996,LISTAS!$D$27:$D$47,_xlfn.XLOOKUP(J996,LISTAS!$E$26:$H$26,LISTAS!$E$27:$H$47))</f>
        <v>31369000</v>
      </c>
      <c r="O996" s="56" t="s">
        <v>1623</v>
      </c>
      <c r="P996" s="76" t="str">
        <f t="shared" ca="1" si="47"/>
        <v>Vencida</v>
      </c>
    </row>
    <row r="997" spans="1:16" x14ac:dyDescent="0.3">
      <c r="A997" s="58" t="s">
        <v>1287</v>
      </c>
      <c r="B997" s="56" t="s">
        <v>244</v>
      </c>
      <c r="C997" s="50" t="str">
        <f>_xlfn.XLOOKUP(B997,CLIENTES!$A$2:$A$301,CLIENTES!$B$2:$B$301)</f>
        <v>Matías Medina</v>
      </c>
      <c r="D997" s="60">
        <v>44900</v>
      </c>
      <c r="E997" s="60">
        <f t="shared" si="45"/>
        <v>45265</v>
      </c>
      <c r="F997" s="50" t="s">
        <v>1598</v>
      </c>
      <c r="G997" s="56" t="s">
        <v>1604</v>
      </c>
      <c r="H997" s="47">
        <v>39</v>
      </c>
      <c r="I997" s="60">
        <v>31693</v>
      </c>
      <c r="J997" s="56" t="s">
        <v>1610</v>
      </c>
      <c r="K997" s="56">
        <v>2023</v>
      </c>
      <c r="L997" s="52">
        <f t="shared" si="46"/>
        <v>76681.60500000001</v>
      </c>
      <c r="M997" s="56">
        <f>LISTAS!$B$22*_xlfn.XLOOKUP(G997,LISTAS!$B$27:$B$36,LISTAS!$A$27:$A$36)*_xlfn.XLOOKUP(H997,LISTAS!$B$38:$B$47,LISTAS!$A$38:$A$47,,-1)*_xlfn.XLOOKUP(J997,LISTAS!$E$26:$H$26,LISTAS!$E$48:$H$48)*_xlfn.XLOOKUP(F997,LISTAS!$A$15:$A$18,LISTAS!$H$15:$H$18)</f>
        <v>3.0030000000000005E-2</v>
      </c>
      <c r="N997" s="54" cm="1">
        <f t="array" ref="N997">_xlfn.XLOOKUP(K997,LISTAS!$D$27:$D$47,_xlfn.XLOOKUP(J997,LISTAS!$E$26:$H$26,LISTAS!$E$27:$H$47))</f>
        <v>30642000</v>
      </c>
      <c r="O997" s="56" t="s">
        <v>1623</v>
      </c>
      <c r="P997" s="76" t="str">
        <f t="shared" ca="1" si="47"/>
        <v>Vencida</v>
      </c>
    </row>
    <row r="998" spans="1:16" x14ac:dyDescent="0.3">
      <c r="A998" s="58" t="s">
        <v>1288</v>
      </c>
      <c r="B998" s="56" t="s">
        <v>253</v>
      </c>
      <c r="C998" s="50" t="str">
        <f>_xlfn.XLOOKUP(B998,CLIENTES!$A$2:$A$301,CLIENTES!$B$2:$B$301)</f>
        <v>Natalia Domínguez</v>
      </c>
      <c r="D998" s="60">
        <v>45261</v>
      </c>
      <c r="E998" s="60">
        <f t="shared" si="45"/>
        <v>45627</v>
      </c>
      <c r="F998" s="50" t="s">
        <v>1597</v>
      </c>
      <c r="G998" s="56" t="s">
        <v>1606</v>
      </c>
      <c r="H998" s="47">
        <v>56</v>
      </c>
      <c r="I998" s="60">
        <v>25688</v>
      </c>
      <c r="J998" s="56" t="s">
        <v>1609</v>
      </c>
      <c r="K998" s="56">
        <v>2026</v>
      </c>
      <c r="L998" s="52">
        <f t="shared" si="46"/>
        <v>45833.333333333336</v>
      </c>
      <c r="M998" s="56">
        <f>LISTAS!$B$22*_xlfn.XLOOKUP(G998,LISTAS!$B$27:$B$36,LISTAS!$A$27:$A$36)*_xlfn.XLOOKUP(H998,LISTAS!$B$38:$B$47,LISTAS!$A$38:$A$47,,-1)*_xlfn.XLOOKUP(J998,LISTAS!$E$26:$H$26,LISTAS!$E$48:$H$48)*_xlfn.XLOOKUP(F998,LISTAS!$A$15:$A$18,LISTAS!$H$15:$H$18)</f>
        <v>2.2000000000000002E-2</v>
      </c>
      <c r="N998" s="54" cm="1">
        <f t="array" ref="N998">_xlfn.XLOOKUP(K998,LISTAS!$D$27:$D$47,_xlfn.XLOOKUP(J998,LISTAS!$E$26:$H$26,LISTAS!$E$27:$H$47))</f>
        <v>25000000</v>
      </c>
      <c r="O998" s="56" t="s">
        <v>1624</v>
      </c>
      <c r="P998" s="76" t="str">
        <f t="shared" ca="1" si="47"/>
        <v>Vencida</v>
      </c>
    </row>
    <row r="999" spans="1:16" x14ac:dyDescent="0.3">
      <c r="A999" s="58" t="s">
        <v>1289</v>
      </c>
      <c r="B999" s="56" t="s">
        <v>235</v>
      </c>
      <c r="C999" s="50" t="str">
        <f>_xlfn.XLOOKUP(B999,CLIENTES!$A$2:$A$301,CLIENTES!$B$2:$B$301)</f>
        <v>Rodrigo Cabrera</v>
      </c>
      <c r="D999" s="60">
        <v>44498</v>
      </c>
      <c r="E999" s="60">
        <f t="shared" si="45"/>
        <v>44863</v>
      </c>
      <c r="F999" s="50" t="s">
        <v>1595</v>
      </c>
      <c r="G999" s="56" t="s">
        <v>1607</v>
      </c>
      <c r="H999" s="47">
        <v>76</v>
      </c>
      <c r="I999" s="60">
        <v>18209</v>
      </c>
      <c r="J999" s="56" t="s">
        <v>1611</v>
      </c>
      <c r="K999" s="56">
        <v>2025</v>
      </c>
      <c r="L999" s="52">
        <f t="shared" si="46"/>
        <v>75937.95</v>
      </c>
      <c r="M999" s="56">
        <f>LISTAS!$B$22*_xlfn.XLOOKUP(G999,LISTAS!$B$27:$B$36,LISTAS!$A$27:$A$36)*_xlfn.XLOOKUP(H999,LISTAS!$B$38:$B$47,LISTAS!$A$38:$A$47,,-1)*_xlfn.XLOOKUP(J999,LISTAS!$E$26:$H$26,LISTAS!$E$48:$H$48)*_xlfn.XLOOKUP(F999,LISTAS!$A$15:$A$18,LISTAS!$H$15:$H$18)</f>
        <v>2.2010999999999999E-2</v>
      </c>
      <c r="N999" s="54" cm="1">
        <f t="array" ref="N999">_xlfn.XLOOKUP(K999,LISTAS!$D$27:$D$47,_xlfn.XLOOKUP(J999,LISTAS!$E$26:$H$26,LISTAS!$E$27:$H$47))</f>
        <v>41400000</v>
      </c>
      <c r="O999" s="56" t="s">
        <v>1623</v>
      </c>
      <c r="P999" s="76" t="str">
        <f t="shared" ca="1" si="47"/>
        <v>Vencida</v>
      </c>
    </row>
    <row r="1000" spans="1:16" x14ac:dyDescent="0.3">
      <c r="A1000" s="58" t="s">
        <v>1290</v>
      </c>
      <c r="B1000" s="56" t="s">
        <v>59</v>
      </c>
      <c r="C1000" s="50" t="str">
        <f>_xlfn.XLOOKUP(B1000,CLIENTES!$A$2:$A$301,CLIENTES!$B$2:$B$301)</f>
        <v>Lautaro Arias</v>
      </c>
      <c r="D1000" s="60">
        <v>45851</v>
      </c>
      <c r="E1000" s="60">
        <f t="shared" si="45"/>
        <v>46216</v>
      </c>
      <c r="F1000" s="50" t="s">
        <v>1598</v>
      </c>
      <c r="G1000" s="56" t="s">
        <v>1605</v>
      </c>
      <c r="H1000" s="47">
        <v>27</v>
      </c>
      <c r="I1000" s="60">
        <v>36219</v>
      </c>
      <c r="J1000" s="56" t="s">
        <v>1612</v>
      </c>
      <c r="K1000" s="56">
        <v>2016</v>
      </c>
      <c r="L1000" s="52">
        <f t="shared" si="46"/>
        <v>31294.809000000005</v>
      </c>
      <c r="M1000" s="56">
        <f>LISTAS!$B$22*_xlfn.XLOOKUP(G1000,LISTAS!$B$27:$B$36,LISTAS!$A$27:$A$36)*_xlfn.XLOOKUP(H1000,LISTAS!$B$38:$B$47,LISTAS!$A$38:$A$47,,-1)*_xlfn.XLOOKUP(J1000,LISTAS!$E$26:$H$26,LISTAS!$E$48:$H$48)*_xlfn.XLOOKUP(F1000,LISTAS!$A$15:$A$18,LISTAS!$H$15:$H$18)</f>
        <v>2.9484000000000003E-2</v>
      </c>
      <c r="N1000" s="54" cm="1">
        <f t="array" ref="N1000">_xlfn.XLOOKUP(K1000,LISTAS!$D$27:$D$47,_xlfn.XLOOKUP(J1000,LISTAS!$E$26:$H$26,LISTAS!$E$27:$H$47))</f>
        <v>12737000</v>
      </c>
      <c r="O1000" s="56" t="s">
        <v>1623</v>
      </c>
      <c r="P1000" s="76" t="str">
        <f t="shared" ca="1" si="47"/>
        <v>Vencida</v>
      </c>
    </row>
    <row r="1001" spans="1:16" x14ac:dyDescent="0.3">
      <c r="A1001" s="59" t="s">
        <v>1291</v>
      </c>
      <c r="B1001" s="57" t="s">
        <v>107</v>
      </c>
      <c r="C1001" s="51" t="str">
        <f>_xlfn.XLOOKUP(B1001,CLIENTES!$A$2:$A$301,CLIENTES!$B$2:$B$301)</f>
        <v>Emiliano Rojas</v>
      </c>
      <c r="D1001" s="61">
        <v>44681</v>
      </c>
      <c r="E1001" s="61">
        <f t="shared" si="45"/>
        <v>45046</v>
      </c>
      <c r="F1001" s="51" t="s">
        <v>1598</v>
      </c>
      <c r="G1001" s="57" t="s">
        <v>1602</v>
      </c>
      <c r="H1001" s="48">
        <v>33</v>
      </c>
      <c r="I1001" s="61">
        <v>33938</v>
      </c>
      <c r="J1001" s="57" t="s">
        <v>1610</v>
      </c>
      <c r="K1001" s="57">
        <v>2017</v>
      </c>
      <c r="L1001" s="53">
        <f t="shared" si="46"/>
        <v>43543.500000000007</v>
      </c>
      <c r="M1001" s="57">
        <f>LISTAS!$B$22*_xlfn.XLOOKUP(G1001,LISTAS!$B$27:$B$36,LISTAS!$A$27:$A$36)*_xlfn.XLOOKUP(H1001,LISTAS!$B$38:$B$47,LISTAS!$A$38:$A$47,,-1)*_xlfn.XLOOKUP(J1001,LISTAS!$E$26:$H$26,LISTAS!$E$48:$H$48)*_xlfn.XLOOKUP(F1001,LISTAS!$A$15:$A$18,LISTAS!$H$15:$H$18)</f>
        <v>3.0030000000000005E-2</v>
      </c>
      <c r="N1001" s="55" cm="1">
        <f t="array" ref="N1001">_xlfn.XLOOKUP(K1001,LISTAS!$D$27:$D$47,_xlfn.XLOOKUP(J1001,LISTAS!$E$26:$H$26,LISTAS!$E$27:$H$47))</f>
        <v>17400000</v>
      </c>
      <c r="O1001" s="57" t="s">
        <v>1623</v>
      </c>
      <c r="P1001" s="77" t="str">
        <f t="shared" ca="1" si="47"/>
        <v>Vencida</v>
      </c>
    </row>
    <row r="1006" spans="1:16" x14ac:dyDescent="0.3">
      <c r="K1006" s="10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301D-5BC6-4CB7-AC33-9511652C5FF1}">
  <dimension ref="A1:O301"/>
  <sheetViews>
    <sheetView topLeftCell="F1" zoomScaleNormal="100" workbookViewId="0">
      <pane ySplit="1" topLeftCell="A2" activePane="bottomLeft" state="frozen"/>
      <selection activeCell="E1" sqref="E1"/>
      <selection pane="bottomLeft" activeCell="M12" sqref="M12"/>
    </sheetView>
  </sheetViews>
  <sheetFormatPr baseColWidth="10" defaultRowHeight="14.4" x14ac:dyDescent="0.3"/>
  <cols>
    <col min="1" max="1" width="16.5546875" bestFit="1" customWidth="1"/>
    <col min="2" max="2" width="13.77734375" bestFit="1" customWidth="1"/>
    <col min="3" max="3" width="23.88671875" bestFit="1" customWidth="1"/>
    <col min="4" max="4" width="21.5546875" bestFit="1" customWidth="1"/>
    <col min="5" max="5" width="14.88671875" bestFit="1" customWidth="1"/>
    <col min="6" max="6" width="12.77734375" bestFit="1" customWidth="1"/>
    <col min="7" max="7" width="22.21875" bestFit="1" customWidth="1"/>
    <col min="8" max="8" width="19.109375" bestFit="1" customWidth="1"/>
    <col min="9" max="9" width="22.5546875" bestFit="1" customWidth="1"/>
    <col min="10" max="10" width="21.21875" bestFit="1" customWidth="1"/>
    <col min="11" max="11" width="16.5546875" bestFit="1" customWidth="1"/>
    <col min="12" max="12" width="10" bestFit="1" customWidth="1"/>
    <col min="13" max="13" width="15.21875" bestFit="1" customWidth="1"/>
    <col min="14" max="14" width="27.21875" bestFit="1" customWidth="1"/>
    <col min="15" max="15" width="26.44140625" bestFit="1" customWidth="1"/>
  </cols>
  <sheetData>
    <row r="1" spans="1:15" x14ac:dyDescent="0.3">
      <c r="A1" s="68" t="s">
        <v>1982</v>
      </c>
      <c r="B1" s="68" t="s">
        <v>1981</v>
      </c>
      <c r="C1" s="68" t="s">
        <v>1983</v>
      </c>
      <c r="D1" s="68" t="s">
        <v>1972</v>
      </c>
      <c r="E1" s="68" t="s">
        <v>1933</v>
      </c>
      <c r="F1" s="68" t="s">
        <v>1594</v>
      </c>
      <c r="G1" s="68" t="s">
        <v>1593</v>
      </c>
      <c r="H1" s="68" t="s">
        <v>1960</v>
      </c>
      <c r="I1" s="69" t="s">
        <v>1984</v>
      </c>
      <c r="J1" s="69" t="s">
        <v>1985</v>
      </c>
      <c r="K1" s="68" t="s">
        <v>1986</v>
      </c>
      <c r="L1" s="68" t="s">
        <v>1962</v>
      </c>
      <c r="M1" s="68" t="s">
        <v>1952</v>
      </c>
      <c r="N1" s="106" t="s">
        <v>1987</v>
      </c>
      <c r="O1" s="107" t="s">
        <v>1988</v>
      </c>
    </row>
    <row r="2" spans="1:15" x14ac:dyDescent="0.3">
      <c r="A2" s="64" t="s">
        <v>1633</v>
      </c>
      <c r="B2" s="65" t="s">
        <v>561</v>
      </c>
      <c r="C2" s="62">
        <v>46078</v>
      </c>
      <c r="D2" s="62" t="s">
        <v>1628</v>
      </c>
      <c r="E2" s="62" t="s">
        <v>1935</v>
      </c>
      <c r="F2" s="65" t="s">
        <v>1599</v>
      </c>
      <c r="G2" s="65" t="s">
        <v>1597</v>
      </c>
      <c r="H2" s="65" t="str">
        <f>_xlfn.XLOOKUP(SINIESTROS[[#This Row],[ID PÓLIZA]],POLIZAS[ID PÓLIZA],POLIZAS[TIPO DE VEHICULO])</f>
        <v>Utilitario</v>
      </c>
      <c r="I2" s="70">
        <v>735305.84382805345</v>
      </c>
      <c r="J2" s="70">
        <v>0</v>
      </c>
      <c r="K2" s="65" t="s">
        <v>1619</v>
      </c>
      <c r="L2" s="52" t="s">
        <v>1943</v>
      </c>
      <c r="M2" s="65" t="s">
        <v>1955</v>
      </c>
      <c r="N2" s="72">
        <v>25</v>
      </c>
      <c r="O2" s="74" t="s">
        <v>1956</v>
      </c>
    </row>
    <row r="3" spans="1:15" x14ac:dyDescent="0.3">
      <c r="A3" s="64" t="s">
        <v>1634</v>
      </c>
      <c r="B3" s="65" t="s">
        <v>1158</v>
      </c>
      <c r="C3" s="62">
        <v>46229</v>
      </c>
      <c r="D3" s="62" t="s">
        <v>1628</v>
      </c>
      <c r="E3" s="62" t="s">
        <v>1936</v>
      </c>
      <c r="F3" s="65" t="s">
        <v>1605</v>
      </c>
      <c r="G3" s="65" t="s">
        <v>1598</v>
      </c>
      <c r="H3" s="65" t="str">
        <f>_xlfn.XLOOKUP(SINIESTROS[[#This Row],[ID PÓLIZA]],POLIZAS[ID PÓLIZA],POLIZAS[TIPO DE VEHICULO])</f>
        <v>Auto</v>
      </c>
      <c r="I3" s="70">
        <v>3329214.6807636595</v>
      </c>
      <c r="J3" s="70">
        <v>0</v>
      </c>
      <c r="K3" s="65" t="s">
        <v>1618</v>
      </c>
      <c r="L3" s="52" t="s">
        <v>1621</v>
      </c>
      <c r="M3" s="65" t="s">
        <v>1957</v>
      </c>
      <c r="N3" s="72">
        <v>9</v>
      </c>
      <c r="O3" s="74" t="s">
        <v>1956</v>
      </c>
    </row>
    <row r="4" spans="1:15" x14ac:dyDescent="0.3">
      <c r="A4" s="64" t="s">
        <v>1635</v>
      </c>
      <c r="B4" s="65" t="s">
        <v>1048</v>
      </c>
      <c r="C4" s="62">
        <v>45397</v>
      </c>
      <c r="D4" s="62" t="s">
        <v>1629</v>
      </c>
      <c r="E4" s="62" t="s">
        <v>1935</v>
      </c>
      <c r="F4" s="65" t="s">
        <v>1602</v>
      </c>
      <c r="G4" s="65" t="s">
        <v>1597</v>
      </c>
      <c r="H4" s="65" t="str">
        <f>_xlfn.XLOOKUP(SINIESTROS[[#This Row],[ID PÓLIZA]],POLIZAS[ID PÓLIZA],POLIZAS[TIPO DE VEHICULO])</f>
        <v>Utilitario</v>
      </c>
      <c r="I4" s="70">
        <v>1298631.0804214005</v>
      </c>
      <c r="J4" s="70">
        <v>1189532.3517586207</v>
      </c>
      <c r="K4" s="65" t="s">
        <v>1618</v>
      </c>
      <c r="L4" s="52" t="s">
        <v>1941</v>
      </c>
      <c r="M4" s="65" t="s">
        <v>1957</v>
      </c>
      <c r="N4" s="72">
        <v>31</v>
      </c>
      <c r="O4" s="74" t="s">
        <v>1956</v>
      </c>
    </row>
    <row r="5" spans="1:15" x14ac:dyDescent="0.3">
      <c r="A5" s="64" t="s">
        <v>1636</v>
      </c>
      <c r="B5" s="65" t="s">
        <v>407</v>
      </c>
      <c r="C5" s="62">
        <v>46074</v>
      </c>
      <c r="D5" s="62" t="s">
        <v>1628</v>
      </c>
      <c r="E5" s="62" t="s">
        <v>1936</v>
      </c>
      <c r="F5" s="65" t="s">
        <v>1600</v>
      </c>
      <c r="G5" s="65" t="s">
        <v>1596</v>
      </c>
      <c r="H5" s="65" t="str">
        <f>_xlfn.XLOOKUP(SINIESTROS[[#This Row],[ID PÓLIZA]],POLIZAS[ID PÓLIZA],POLIZAS[TIPO DE VEHICULO])</f>
        <v>SUV</v>
      </c>
      <c r="I5" s="70">
        <v>9036148.9328200016</v>
      </c>
      <c r="J5" s="70">
        <v>0</v>
      </c>
      <c r="K5" s="65" t="s">
        <v>1618</v>
      </c>
      <c r="L5" s="52" t="s">
        <v>1943</v>
      </c>
      <c r="M5" s="65" t="s">
        <v>1958</v>
      </c>
      <c r="N5" s="72">
        <v>16</v>
      </c>
      <c r="O5" s="74" t="s">
        <v>1956</v>
      </c>
    </row>
    <row r="6" spans="1:15" x14ac:dyDescent="0.3">
      <c r="A6" s="64" t="s">
        <v>1637</v>
      </c>
      <c r="B6" s="65" t="s">
        <v>1139</v>
      </c>
      <c r="C6" s="62">
        <v>45793</v>
      </c>
      <c r="D6" s="62" t="s">
        <v>1630</v>
      </c>
      <c r="E6" s="62" t="s">
        <v>1935</v>
      </c>
      <c r="F6" s="65" t="s">
        <v>1599</v>
      </c>
      <c r="G6" s="65" t="s">
        <v>1598</v>
      </c>
      <c r="H6" s="65" t="str">
        <f>_xlfn.XLOOKUP(SINIESTROS[[#This Row],[ID PÓLIZA]],POLIZAS[ID PÓLIZA],POLIZAS[TIPO DE VEHICULO])</f>
        <v>Pickup</v>
      </c>
      <c r="I6" s="70">
        <v>2961047.2523852233</v>
      </c>
      <c r="J6" s="70">
        <v>0</v>
      </c>
      <c r="K6" s="65" t="s">
        <v>1619</v>
      </c>
      <c r="L6" s="52" t="s">
        <v>1943</v>
      </c>
      <c r="M6" s="65" t="s">
        <v>1955</v>
      </c>
      <c r="N6" s="72">
        <v>6</v>
      </c>
      <c r="O6" s="74" t="s">
        <v>1956</v>
      </c>
    </row>
    <row r="7" spans="1:15" x14ac:dyDescent="0.3">
      <c r="A7" s="64" t="s">
        <v>1638</v>
      </c>
      <c r="B7" s="65" t="s">
        <v>998</v>
      </c>
      <c r="C7" s="62">
        <v>45848</v>
      </c>
      <c r="D7" s="62" t="s">
        <v>1632</v>
      </c>
      <c r="E7" s="62" t="s">
        <v>1937</v>
      </c>
      <c r="F7" s="65" t="s">
        <v>1600</v>
      </c>
      <c r="G7" s="65" t="s">
        <v>1595</v>
      </c>
      <c r="H7" s="65" t="str">
        <f>_xlfn.XLOOKUP(SINIESTROS[[#This Row],[ID PÓLIZA]],POLIZAS[ID PÓLIZA],POLIZAS[TIPO DE VEHICULO])</f>
        <v>SUV</v>
      </c>
      <c r="I7" s="70">
        <v>10673572.394014059</v>
      </c>
      <c r="J7" s="70">
        <v>0</v>
      </c>
      <c r="K7" s="65" t="s">
        <v>1619</v>
      </c>
      <c r="L7" s="52" t="s">
        <v>1943</v>
      </c>
      <c r="M7" s="65" t="s">
        <v>1955</v>
      </c>
      <c r="N7" s="72">
        <v>29</v>
      </c>
      <c r="O7" s="74" t="s">
        <v>1956</v>
      </c>
    </row>
    <row r="8" spans="1:15" x14ac:dyDescent="0.3">
      <c r="A8" s="64" t="s">
        <v>1639</v>
      </c>
      <c r="B8" s="65" t="s">
        <v>1169</v>
      </c>
      <c r="C8" s="62">
        <v>45829</v>
      </c>
      <c r="D8" s="62" t="s">
        <v>1629</v>
      </c>
      <c r="E8" s="62" t="s">
        <v>1935</v>
      </c>
      <c r="F8" s="65" t="s">
        <v>1601</v>
      </c>
      <c r="G8" s="65" t="s">
        <v>1595</v>
      </c>
      <c r="H8" s="65" t="str">
        <f>_xlfn.XLOOKUP(SINIESTROS[[#This Row],[ID PÓLIZA]],POLIZAS[ID PÓLIZA],POLIZAS[TIPO DE VEHICULO])</f>
        <v>SUV</v>
      </c>
      <c r="I8" s="70">
        <v>1646471.4230717334</v>
      </c>
      <c r="J8" s="70">
        <v>0</v>
      </c>
      <c r="K8" s="65" t="s">
        <v>1619</v>
      </c>
      <c r="L8" s="52" t="s">
        <v>1943</v>
      </c>
      <c r="M8" s="65" t="s">
        <v>1955</v>
      </c>
      <c r="N8" s="72">
        <v>19</v>
      </c>
      <c r="O8" s="74" t="s">
        <v>1956</v>
      </c>
    </row>
    <row r="9" spans="1:15" x14ac:dyDescent="0.3">
      <c r="A9" s="64" t="s">
        <v>1640</v>
      </c>
      <c r="B9" s="65" t="s">
        <v>511</v>
      </c>
      <c r="C9" s="62">
        <v>46202</v>
      </c>
      <c r="D9" s="62" t="s">
        <v>1628</v>
      </c>
      <c r="E9" s="62" t="s">
        <v>1937</v>
      </c>
      <c r="F9" s="65" t="s">
        <v>1599</v>
      </c>
      <c r="G9" s="65" t="s">
        <v>1596</v>
      </c>
      <c r="H9" s="65" t="str">
        <f>_xlfn.XLOOKUP(SINIESTROS[[#This Row],[ID PÓLIZA]],POLIZAS[ID PÓLIZA],POLIZAS[TIPO DE VEHICULO])</f>
        <v>SUV</v>
      </c>
      <c r="I9" s="70">
        <v>16488651.059790641</v>
      </c>
      <c r="J9" s="70">
        <v>0</v>
      </c>
      <c r="K9" s="65" t="s">
        <v>1619</v>
      </c>
      <c r="L9" s="52" t="s">
        <v>1943</v>
      </c>
      <c r="M9" s="65" t="s">
        <v>1955</v>
      </c>
      <c r="N9" s="72">
        <v>17</v>
      </c>
      <c r="O9" s="74" t="s">
        <v>1956</v>
      </c>
    </row>
    <row r="10" spans="1:15" x14ac:dyDescent="0.3">
      <c r="A10" s="64" t="s">
        <v>1641</v>
      </c>
      <c r="B10" s="65" t="s">
        <v>844</v>
      </c>
      <c r="C10" s="62">
        <v>44552</v>
      </c>
      <c r="D10" s="62" t="s">
        <v>1630</v>
      </c>
      <c r="E10" s="62" t="s">
        <v>1935</v>
      </c>
      <c r="F10" s="65" t="s">
        <v>1602</v>
      </c>
      <c r="G10" s="65" t="s">
        <v>1597</v>
      </c>
      <c r="H10" s="65" t="str">
        <f>_xlfn.XLOOKUP(SINIESTROS[[#This Row],[ID PÓLIZA]],POLIZAS[ID PÓLIZA],POLIZAS[TIPO DE VEHICULO])</f>
        <v>SUV</v>
      </c>
      <c r="I10" s="70">
        <v>3271001.6160463886</v>
      </c>
      <c r="J10" s="70">
        <v>0</v>
      </c>
      <c r="K10" s="65" t="s">
        <v>1618</v>
      </c>
      <c r="L10" s="52" t="s">
        <v>1943</v>
      </c>
      <c r="M10" s="65" t="s">
        <v>1957</v>
      </c>
      <c r="N10" s="72">
        <v>18</v>
      </c>
      <c r="O10" s="74" t="s">
        <v>1956</v>
      </c>
    </row>
    <row r="11" spans="1:15" x14ac:dyDescent="0.3">
      <c r="A11" s="64" t="s">
        <v>1642</v>
      </c>
      <c r="B11" s="65" t="s">
        <v>347</v>
      </c>
      <c r="C11" s="62">
        <v>45738</v>
      </c>
      <c r="D11" s="62" t="s">
        <v>1631</v>
      </c>
      <c r="E11" s="62" t="s">
        <v>1935</v>
      </c>
      <c r="F11" s="65" t="s">
        <v>1601</v>
      </c>
      <c r="G11" s="65" t="s">
        <v>1595</v>
      </c>
      <c r="H11" s="65" t="str">
        <f>_xlfn.XLOOKUP(SINIESTROS[[#This Row],[ID PÓLIZA]],POLIZAS[ID PÓLIZA],POLIZAS[TIPO DE VEHICULO])</f>
        <v>Auto</v>
      </c>
      <c r="I11" s="70">
        <v>2547451.5467786989</v>
      </c>
      <c r="J11" s="70">
        <v>0</v>
      </c>
      <c r="K11" s="65" t="s">
        <v>1619</v>
      </c>
      <c r="L11" s="52" t="s">
        <v>1943</v>
      </c>
      <c r="M11" s="65" t="s">
        <v>1955</v>
      </c>
      <c r="N11" s="72">
        <v>14</v>
      </c>
      <c r="O11" s="74" t="s">
        <v>1956</v>
      </c>
    </row>
    <row r="12" spans="1:15" x14ac:dyDescent="0.3">
      <c r="A12" s="64" t="s">
        <v>1643</v>
      </c>
      <c r="B12" s="65" t="s">
        <v>811</v>
      </c>
      <c r="C12" s="62">
        <v>46138</v>
      </c>
      <c r="D12" s="62" t="s">
        <v>1631</v>
      </c>
      <c r="E12" s="62" t="s">
        <v>1937</v>
      </c>
      <c r="F12" s="65" t="s">
        <v>1604</v>
      </c>
      <c r="G12" s="65" t="s">
        <v>1595</v>
      </c>
      <c r="H12" s="65" t="str">
        <f>_xlfn.XLOOKUP(SINIESTROS[[#This Row],[ID PÓLIZA]],POLIZAS[ID PÓLIZA],POLIZAS[TIPO DE VEHICULO])</f>
        <v>Pickup</v>
      </c>
      <c r="I12" s="70">
        <v>17713352.823446728</v>
      </c>
      <c r="J12" s="70">
        <v>0</v>
      </c>
      <c r="K12" s="65" t="s">
        <v>1619</v>
      </c>
      <c r="L12" s="52" t="s">
        <v>1943</v>
      </c>
      <c r="M12" s="65" t="s">
        <v>1955</v>
      </c>
      <c r="N12" s="72">
        <v>26</v>
      </c>
      <c r="O12" s="74" t="s">
        <v>1956</v>
      </c>
    </row>
    <row r="13" spans="1:15" x14ac:dyDescent="0.3">
      <c r="A13" s="64" t="s">
        <v>1644</v>
      </c>
      <c r="B13" s="65" t="s">
        <v>650</v>
      </c>
      <c r="C13" s="62">
        <v>44653</v>
      </c>
      <c r="D13" s="62" t="s">
        <v>1628</v>
      </c>
      <c r="E13" s="62" t="s">
        <v>1936</v>
      </c>
      <c r="F13" s="65" t="s">
        <v>1602</v>
      </c>
      <c r="G13" s="65" t="s">
        <v>1597</v>
      </c>
      <c r="H13" s="65" t="str">
        <f>_xlfn.XLOOKUP(SINIESTROS[[#This Row],[ID PÓLIZA]],POLIZAS[ID PÓLIZA],POLIZAS[TIPO DE VEHICULO])</f>
        <v>Utilitario</v>
      </c>
      <c r="I13" s="70">
        <v>6278083.2413179018</v>
      </c>
      <c r="J13" s="70">
        <v>5856553.6270203702</v>
      </c>
      <c r="K13" s="65" t="s">
        <v>1618</v>
      </c>
      <c r="L13" s="52" t="s">
        <v>1941</v>
      </c>
      <c r="M13" s="65" t="s">
        <v>1957</v>
      </c>
      <c r="N13" s="72">
        <v>42</v>
      </c>
      <c r="O13" s="74" t="s">
        <v>1956</v>
      </c>
    </row>
    <row r="14" spans="1:15" x14ac:dyDescent="0.3">
      <c r="A14" s="64" t="s">
        <v>1645</v>
      </c>
      <c r="B14" s="65" t="s">
        <v>1176</v>
      </c>
      <c r="C14" s="62">
        <v>46129</v>
      </c>
      <c r="D14" s="62" t="s">
        <v>1629</v>
      </c>
      <c r="E14" s="62" t="s">
        <v>1935</v>
      </c>
      <c r="F14" s="65" t="s">
        <v>1599</v>
      </c>
      <c r="G14" s="65" t="s">
        <v>1598</v>
      </c>
      <c r="H14" s="65" t="str">
        <f>_xlfn.XLOOKUP(SINIESTROS[[#This Row],[ID PÓLIZA]],POLIZAS[ID PÓLIZA],POLIZAS[TIPO DE VEHICULO])</f>
        <v>Auto</v>
      </c>
      <c r="I14" s="70">
        <v>589547.50769671996</v>
      </c>
      <c r="J14" s="70">
        <v>0</v>
      </c>
      <c r="K14" s="65" t="s">
        <v>1618</v>
      </c>
      <c r="L14" s="52" t="s">
        <v>1621</v>
      </c>
      <c r="M14" s="65" t="s">
        <v>1957</v>
      </c>
      <c r="N14" s="72">
        <v>17</v>
      </c>
      <c r="O14" s="74" t="s">
        <v>1956</v>
      </c>
    </row>
    <row r="15" spans="1:15" x14ac:dyDescent="0.3">
      <c r="A15" s="64" t="s">
        <v>1646</v>
      </c>
      <c r="B15" s="65" t="s">
        <v>1027</v>
      </c>
      <c r="C15" s="62">
        <v>46239</v>
      </c>
      <c r="D15" s="62" t="s">
        <v>1629</v>
      </c>
      <c r="E15" s="62" t="s">
        <v>1936</v>
      </c>
      <c r="F15" s="65" t="s">
        <v>1603</v>
      </c>
      <c r="G15" s="65" t="s">
        <v>1596</v>
      </c>
      <c r="H15" s="65" t="str">
        <f>_xlfn.XLOOKUP(SINIESTROS[[#This Row],[ID PÓLIZA]],POLIZAS[ID PÓLIZA],POLIZAS[TIPO DE VEHICULO])</f>
        <v>Utilitario</v>
      </c>
      <c r="I15" s="70">
        <v>7979475.5432932815</v>
      </c>
      <c r="J15" s="70">
        <v>0</v>
      </c>
      <c r="K15" s="65" t="s">
        <v>1619</v>
      </c>
      <c r="L15" s="52" t="s">
        <v>1943</v>
      </c>
      <c r="M15" s="65" t="s">
        <v>1955</v>
      </c>
      <c r="N15" s="72">
        <v>27</v>
      </c>
      <c r="O15" s="74" t="s">
        <v>1956</v>
      </c>
    </row>
    <row r="16" spans="1:15" x14ac:dyDescent="0.3">
      <c r="A16" s="64" t="s">
        <v>1647</v>
      </c>
      <c r="B16" s="65" t="s">
        <v>833</v>
      </c>
      <c r="C16" s="62">
        <v>45684</v>
      </c>
      <c r="D16" s="62" t="s">
        <v>1628</v>
      </c>
      <c r="E16" s="62" t="s">
        <v>1936</v>
      </c>
      <c r="F16" s="65" t="s">
        <v>1604</v>
      </c>
      <c r="G16" s="65" t="s">
        <v>1597</v>
      </c>
      <c r="H16" s="65" t="str">
        <f>_xlfn.XLOOKUP(SINIESTROS[[#This Row],[ID PÓLIZA]],POLIZAS[ID PÓLIZA],POLIZAS[TIPO DE VEHICULO])</f>
        <v>Utilitario</v>
      </c>
      <c r="I16" s="70">
        <v>8952842.5760812312</v>
      </c>
      <c r="J16" s="70">
        <v>0</v>
      </c>
      <c r="K16" s="65" t="s">
        <v>1618</v>
      </c>
      <c r="L16" s="52" t="s">
        <v>1621</v>
      </c>
      <c r="M16" s="65" t="s">
        <v>1957</v>
      </c>
      <c r="N16" s="72">
        <v>9</v>
      </c>
      <c r="O16" s="74" t="s">
        <v>1956</v>
      </c>
    </row>
    <row r="17" spans="1:15" x14ac:dyDescent="0.3">
      <c r="A17" s="64" t="s">
        <v>1648</v>
      </c>
      <c r="B17" s="65" t="s">
        <v>1110</v>
      </c>
      <c r="C17" s="62">
        <v>45894</v>
      </c>
      <c r="D17" s="62" t="s">
        <v>1630</v>
      </c>
      <c r="E17" s="62" t="s">
        <v>1935</v>
      </c>
      <c r="F17" s="65" t="s">
        <v>1599</v>
      </c>
      <c r="G17" s="65" t="s">
        <v>1595</v>
      </c>
      <c r="H17" s="65" t="str">
        <f>_xlfn.XLOOKUP(SINIESTROS[[#This Row],[ID PÓLIZA]],POLIZAS[ID PÓLIZA],POLIZAS[TIPO DE VEHICULO])</f>
        <v>Auto</v>
      </c>
      <c r="I17" s="70">
        <v>1164477.2247596765</v>
      </c>
      <c r="J17" s="70">
        <v>0</v>
      </c>
      <c r="K17" s="65" t="s">
        <v>1618</v>
      </c>
      <c r="L17" s="52" t="s">
        <v>1943</v>
      </c>
      <c r="M17" s="65" t="s">
        <v>1958</v>
      </c>
      <c r="N17" s="72">
        <v>26</v>
      </c>
      <c r="O17" s="74" t="s">
        <v>1956</v>
      </c>
    </row>
    <row r="18" spans="1:15" x14ac:dyDescent="0.3">
      <c r="A18" s="64" t="s">
        <v>1649</v>
      </c>
      <c r="B18" s="65" t="s">
        <v>432</v>
      </c>
      <c r="C18" s="62">
        <v>44790</v>
      </c>
      <c r="D18" s="62" t="s">
        <v>1628</v>
      </c>
      <c r="E18" s="62" t="s">
        <v>1936</v>
      </c>
      <c r="F18" s="65" t="s">
        <v>1599</v>
      </c>
      <c r="G18" s="65" t="s">
        <v>1595</v>
      </c>
      <c r="H18" s="65" t="str">
        <f>_xlfn.XLOOKUP(SINIESTROS[[#This Row],[ID PÓLIZA]],POLIZAS[ID PÓLIZA],POLIZAS[TIPO DE VEHICULO])</f>
        <v>Utilitario</v>
      </c>
      <c r="I18" s="70">
        <v>9392246.7498683948</v>
      </c>
      <c r="J18" s="70">
        <v>0</v>
      </c>
      <c r="K18" s="65" t="s">
        <v>1618</v>
      </c>
      <c r="L18" s="52" t="s">
        <v>1943</v>
      </c>
      <c r="M18" s="65" t="s">
        <v>1958</v>
      </c>
      <c r="N18" s="72">
        <v>30</v>
      </c>
      <c r="O18" s="74" t="s">
        <v>1956</v>
      </c>
    </row>
    <row r="19" spans="1:15" x14ac:dyDescent="0.3">
      <c r="A19" s="64" t="s">
        <v>1650</v>
      </c>
      <c r="B19" s="65" t="s">
        <v>593</v>
      </c>
      <c r="C19" s="62">
        <v>45834</v>
      </c>
      <c r="D19" s="62" t="s">
        <v>1628</v>
      </c>
      <c r="E19" s="62" t="s">
        <v>1938</v>
      </c>
      <c r="F19" s="65" t="s">
        <v>1605</v>
      </c>
      <c r="G19" s="65" t="s">
        <v>1595</v>
      </c>
      <c r="H19" s="65" t="str">
        <f>_xlfn.XLOOKUP(SINIESTROS[[#This Row],[ID PÓLIZA]],POLIZAS[ID PÓLIZA],POLIZAS[TIPO DE VEHICULO])</f>
        <v>SUV</v>
      </c>
      <c r="I19" s="70">
        <v>20799962.592451677</v>
      </c>
      <c r="J19" s="70">
        <v>0</v>
      </c>
      <c r="K19" s="65" t="s">
        <v>1618</v>
      </c>
      <c r="L19" s="52" t="s">
        <v>1943</v>
      </c>
      <c r="M19" s="65" t="s">
        <v>1958</v>
      </c>
      <c r="N19" s="72">
        <v>29</v>
      </c>
      <c r="O19" s="74" t="s">
        <v>1959</v>
      </c>
    </row>
    <row r="20" spans="1:15" x14ac:dyDescent="0.3">
      <c r="A20" s="64" t="s">
        <v>1651</v>
      </c>
      <c r="B20" s="65" t="s">
        <v>744</v>
      </c>
      <c r="C20" s="62">
        <v>45023</v>
      </c>
      <c r="D20" s="62" t="s">
        <v>1628</v>
      </c>
      <c r="E20" s="62" t="s">
        <v>1935</v>
      </c>
      <c r="F20" s="65" t="s">
        <v>1600</v>
      </c>
      <c r="G20" s="65" t="s">
        <v>1596</v>
      </c>
      <c r="H20" s="65" t="str">
        <f>_xlfn.XLOOKUP(SINIESTROS[[#This Row],[ID PÓLIZA]],POLIZAS[ID PÓLIZA],POLIZAS[TIPO DE VEHICULO])</f>
        <v>Pickup</v>
      </c>
      <c r="I20" s="70">
        <v>589803.11419588956</v>
      </c>
      <c r="J20" s="70">
        <v>0</v>
      </c>
      <c r="K20" s="65" t="s">
        <v>1618</v>
      </c>
      <c r="L20" s="52" t="s">
        <v>1943</v>
      </c>
      <c r="M20" s="65" t="s">
        <v>1958</v>
      </c>
      <c r="N20" s="72">
        <v>25</v>
      </c>
      <c r="O20" s="74" t="s">
        <v>1956</v>
      </c>
    </row>
    <row r="21" spans="1:15" x14ac:dyDescent="0.3">
      <c r="A21" s="64" t="s">
        <v>1652</v>
      </c>
      <c r="B21" s="65" t="s">
        <v>1021</v>
      </c>
      <c r="C21" s="62">
        <v>45865</v>
      </c>
      <c r="D21" s="62" t="s">
        <v>1628</v>
      </c>
      <c r="E21" s="62" t="s">
        <v>1937</v>
      </c>
      <c r="F21" s="65" t="s">
        <v>1600</v>
      </c>
      <c r="G21" s="65" t="s">
        <v>1597</v>
      </c>
      <c r="H21" s="65" t="str">
        <f>_xlfn.XLOOKUP(SINIESTROS[[#This Row],[ID PÓLIZA]],POLIZAS[ID PÓLIZA],POLIZAS[TIPO DE VEHICULO])</f>
        <v>Auto</v>
      </c>
      <c r="I21" s="70">
        <v>7947018.4610156231</v>
      </c>
      <c r="J21" s="70">
        <v>0</v>
      </c>
      <c r="K21" s="65" t="s">
        <v>1619</v>
      </c>
      <c r="L21" s="52" t="s">
        <v>1943</v>
      </c>
      <c r="M21" s="65" t="s">
        <v>1955</v>
      </c>
      <c r="N21" s="72">
        <v>21</v>
      </c>
      <c r="O21" s="74" t="s">
        <v>1956</v>
      </c>
    </row>
    <row r="22" spans="1:15" x14ac:dyDescent="0.3">
      <c r="A22" s="64" t="s">
        <v>1653</v>
      </c>
      <c r="B22" s="65" t="s">
        <v>444</v>
      </c>
      <c r="C22" s="62">
        <v>46188</v>
      </c>
      <c r="D22" s="62" t="s">
        <v>1630</v>
      </c>
      <c r="E22" s="62" t="s">
        <v>1935</v>
      </c>
      <c r="F22" s="65" t="s">
        <v>1600</v>
      </c>
      <c r="G22" s="65" t="s">
        <v>1596</v>
      </c>
      <c r="H22" s="65" t="str">
        <f>_xlfn.XLOOKUP(SINIESTROS[[#This Row],[ID PÓLIZA]],POLIZAS[ID PÓLIZA],POLIZAS[TIPO DE VEHICULO])</f>
        <v>Pickup</v>
      </c>
      <c r="I22" s="70">
        <v>4622878.2963704858</v>
      </c>
      <c r="J22" s="70">
        <v>0</v>
      </c>
      <c r="K22" s="65" t="s">
        <v>1619</v>
      </c>
      <c r="L22" s="52" t="s">
        <v>1943</v>
      </c>
      <c r="M22" s="65" t="s">
        <v>1955</v>
      </c>
      <c r="N22" s="72">
        <v>14</v>
      </c>
      <c r="O22" s="74" t="s">
        <v>1956</v>
      </c>
    </row>
    <row r="23" spans="1:15" x14ac:dyDescent="0.3">
      <c r="A23" s="64" t="s">
        <v>1654</v>
      </c>
      <c r="B23" s="65" t="s">
        <v>467</v>
      </c>
      <c r="C23" s="62">
        <v>45440</v>
      </c>
      <c r="D23" s="62" t="s">
        <v>1628</v>
      </c>
      <c r="E23" s="62" t="s">
        <v>1935</v>
      </c>
      <c r="F23" s="65" t="s">
        <v>1608</v>
      </c>
      <c r="G23" s="65" t="s">
        <v>1595</v>
      </c>
      <c r="H23" s="65" t="str">
        <f>_xlfn.XLOOKUP(SINIESTROS[[#This Row],[ID PÓLIZA]],POLIZAS[ID PÓLIZA],POLIZAS[TIPO DE VEHICULO])</f>
        <v>Auto</v>
      </c>
      <c r="I23" s="70">
        <v>164980.39678225658</v>
      </c>
      <c r="J23" s="70">
        <v>0</v>
      </c>
      <c r="K23" s="65" t="s">
        <v>1618</v>
      </c>
      <c r="L23" s="52" t="s">
        <v>1943</v>
      </c>
      <c r="M23" s="65" t="s">
        <v>1958</v>
      </c>
      <c r="N23" s="72">
        <v>8</v>
      </c>
      <c r="O23" s="74" t="s">
        <v>1956</v>
      </c>
    </row>
    <row r="24" spans="1:15" x14ac:dyDescent="0.3">
      <c r="A24" s="64" t="s">
        <v>1655</v>
      </c>
      <c r="B24" s="65" t="s">
        <v>626</v>
      </c>
      <c r="C24" s="62">
        <v>46038</v>
      </c>
      <c r="D24" s="62" t="s">
        <v>1632</v>
      </c>
      <c r="E24" s="62" t="s">
        <v>1936</v>
      </c>
      <c r="F24" s="65" t="s">
        <v>1605</v>
      </c>
      <c r="G24" s="65" t="s">
        <v>1595</v>
      </c>
      <c r="H24" s="65" t="str">
        <f>_xlfn.XLOOKUP(SINIESTROS[[#This Row],[ID PÓLIZA]],POLIZAS[ID PÓLIZA],POLIZAS[TIPO DE VEHICULO])</f>
        <v>SUV</v>
      </c>
      <c r="I24" s="70">
        <v>6225203.6785445996</v>
      </c>
      <c r="J24" s="70">
        <v>0</v>
      </c>
      <c r="K24" s="65" t="s">
        <v>1619</v>
      </c>
      <c r="L24" s="52" t="s">
        <v>1943</v>
      </c>
      <c r="M24" s="65" t="s">
        <v>1955</v>
      </c>
      <c r="N24" s="72">
        <v>4</v>
      </c>
      <c r="O24" s="74" t="s">
        <v>1956</v>
      </c>
    </row>
    <row r="25" spans="1:15" x14ac:dyDescent="0.3">
      <c r="A25" s="64" t="s">
        <v>1656</v>
      </c>
      <c r="B25" s="65" t="s">
        <v>448</v>
      </c>
      <c r="C25" s="62">
        <v>45339</v>
      </c>
      <c r="D25" s="62" t="s">
        <v>1628</v>
      </c>
      <c r="E25" s="62" t="s">
        <v>1935</v>
      </c>
      <c r="F25" s="65" t="s">
        <v>1605</v>
      </c>
      <c r="G25" s="65" t="s">
        <v>1595</v>
      </c>
      <c r="H25" s="65" t="str">
        <f>_xlfn.XLOOKUP(SINIESTROS[[#This Row],[ID PÓLIZA]],POLIZAS[ID PÓLIZA],POLIZAS[TIPO DE VEHICULO])</f>
        <v>SUV</v>
      </c>
      <c r="I25" s="70">
        <v>4751690.4123406727</v>
      </c>
      <c r="J25" s="70">
        <v>0</v>
      </c>
      <c r="K25" s="65" t="s">
        <v>1618</v>
      </c>
      <c r="L25" s="52" t="s">
        <v>1943</v>
      </c>
      <c r="M25" s="65" t="s">
        <v>1958</v>
      </c>
      <c r="N25" s="72">
        <v>3</v>
      </c>
      <c r="O25" s="74" t="s">
        <v>1956</v>
      </c>
    </row>
    <row r="26" spans="1:15" x14ac:dyDescent="0.3">
      <c r="A26" s="64" t="s">
        <v>1657</v>
      </c>
      <c r="B26" s="65" t="s">
        <v>962</v>
      </c>
      <c r="C26" s="62">
        <v>46141</v>
      </c>
      <c r="D26" s="62" t="s">
        <v>1630</v>
      </c>
      <c r="E26" s="62" t="s">
        <v>1936</v>
      </c>
      <c r="F26" s="65" t="s">
        <v>1606</v>
      </c>
      <c r="G26" s="65" t="s">
        <v>1596</v>
      </c>
      <c r="H26" s="65" t="str">
        <f>_xlfn.XLOOKUP(SINIESTROS[[#This Row],[ID PÓLIZA]],POLIZAS[ID PÓLIZA],POLIZAS[TIPO DE VEHICULO])</f>
        <v>SUV</v>
      </c>
      <c r="I26" s="70">
        <v>6029343.9028706346</v>
      </c>
      <c r="J26" s="70">
        <v>0</v>
      </c>
      <c r="K26" s="65" t="s">
        <v>1618</v>
      </c>
      <c r="L26" s="52" t="s">
        <v>1621</v>
      </c>
      <c r="M26" s="65" t="s">
        <v>1957</v>
      </c>
      <c r="N26" s="72">
        <v>39</v>
      </c>
      <c r="O26" s="74" t="s">
        <v>1956</v>
      </c>
    </row>
    <row r="27" spans="1:15" x14ac:dyDescent="0.3">
      <c r="A27" s="64" t="s">
        <v>1658</v>
      </c>
      <c r="B27" s="65" t="s">
        <v>415</v>
      </c>
      <c r="C27" s="62">
        <v>46209</v>
      </c>
      <c r="D27" s="62" t="s">
        <v>1628</v>
      </c>
      <c r="E27" s="62" t="s">
        <v>1935</v>
      </c>
      <c r="F27" s="65" t="s">
        <v>1600</v>
      </c>
      <c r="G27" s="65" t="s">
        <v>1597</v>
      </c>
      <c r="H27" s="65" t="str">
        <f>_xlfn.XLOOKUP(SINIESTROS[[#This Row],[ID PÓLIZA]],POLIZAS[ID PÓLIZA],POLIZAS[TIPO DE VEHICULO])</f>
        <v>Utilitario</v>
      </c>
      <c r="I27" s="70">
        <v>2900888.573231665</v>
      </c>
      <c r="J27" s="70">
        <v>0</v>
      </c>
      <c r="K27" s="65" t="s">
        <v>1618</v>
      </c>
      <c r="L27" s="52" t="s">
        <v>1943</v>
      </c>
      <c r="M27" s="65" t="s">
        <v>1957</v>
      </c>
      <c r="N27" s="72">
        <v>15</v>
      </c>
      <c r="O27" s="74" t="s">
        <v>1956</v>
      </c>
    </row>
    <row r="28" spans="1:15" x14ac:dyDescent="0.3">
      <c r="A28" s="64" t="s">
        <v>1659</v>
      </c>
      <c r="B28" s="65" t="s">
        <v>453</v>
      </c>
      <c r="C28" s="62">
        <v>45547</v>
      </c>
      <c r="D28" s="62" t="s">
        <v>1628</v>
      </c>
      <c r="E28" s="62" t="s">
        <v>1936</v>
      </c>
      <c r="F28" s="65" t="s">
        <v>1602</v>
      </c>
      <c r="G28" s="65" t="s">
        <v>1595</v>
      </c>
      <c r="H28" s="65" t="str">
        <f>_xlfn.XLOOKUP(SINIESTROS[[#This Row],[ID PÓLIZA]],POLIZAS[ID PÓLIZA],POLIZAS[TIPO DE VEHICULO])</f>
        <v>Utilitario</v>
      </c>
      <c r="I28" s="70">
        <v>3357854.6901335036</v>
      </c>
      <c r="J28" s="70">
        <v>0</v>
      </c>
      <c r="K28" s="65" t="s">
        <v>1618</v>
      </c>
      <c r="L28" s="52" t="s">
        <v>1943</v>
      </c>
      <c r="M28" s="65" t="s">
        <v>1958</v>
      </c>
      <c r="N28" s="72">
        <v>24</v>
      </c>
      <c r="O28" s="74" t="s">
        <v>1956</v>
      </c>
    </row>
    <row r="29" spans="1:15" x14ac:dyDescent="0.3">
      <c r="A29" s="64" t="s">
        <v>1660</v>
      </c>
      <c r="B29" s="65" t="s">
        <v>544</v>
      </c>
      <c r="C29" s="62">
        <v>45013</v>
      </c>
      <c r="D29" s="62" t="s">
        <v>1629</v>
      </c>
      <c r="E29" s="62" t="s">
        <v>1936</v>
      </c>
      <c r="F29" s="65" t="s">
        <v>1604</v>
      </c>
      <c r="G29" s="65" t="s">
        <v>1595</v>
      </c>
      <c r="H29" s="65" t="str">
        <f>_xlfn.XLOOKUP(SINIESTROS[[#This Row],[ID PÓLIZA]],POLIZAS[ID PÓLIZA],POLIZAS[TIPO DE VEHICULO])</f>
        <v>SUV</v>
      </c>
      <c r="I29" s="70">
        <v>9606642.5651038419</v>
      </c>
      <c r="J29" s="70">
        <v>0</v>
      </c>
      <c r="K29" s="65" t="s">
        <v>1618</v>
      </c>
      <c r="L29" s="52" t="s">
        <v>1943</v>
      </c>
      <c r="M29" s="65" t="s">
        <v>1958</v>
      </c>
      <c r="N29" s="72">
        <v>26</v>
      </c>
      <c r="O29" s="74" t="s">
        <v>1956</v>
      </c>
    </row>
    <row r="30" spans="1:15" x14ac:dyDescent="0.3">
      <c r="A30" s="64" t="s">
        <v>1661</v>
      </c>
      <c r="B30" s="65" t="s">
        <v>637</v>
      </c>
      <c r="C30" s="62">
        <v>46096</v>
      </c>
      <c r="D30" s="62" t="s">
        <v>1631</v>
      </c>
      <c r="E30" s="62" t="s">
        <v>1935</v>
      </c>
      <c r="F30" s="65" t="s">
        <v>1599</v>
      </c>
      <c r="G30" s="65" t="s">
        <v>1596</v>
      </c>
      <c r="H30" s="65" t="str">
        <f>_xlfn.XLOOKUP(SINIESTROS[[#This Row],[ID PÓLIZA]],POLIZAS[ID PÓLIZA],POLIZAS[TIPO DE VEHICULO])</f>
        <v>Auto</v>
      </c>
      <c r="I30" s="70">
        <v>1024587.3137605659</v>
      </c>
      <c r="J30" s="70">
        <v>936490.4494414893</v>
      </c>
      <c r="K30" s="65" t="s">
        <v>1618</v>
      </c>
      <c r="L30" s="52" t="s">
        <v>1941</v>
      </c>
      <c r="M30" s="65" t="s">
        <v>1957</v>
      </c>
      <c r="N30" s="72">
        <v>24</v>
      </c>
      <c r="O30" s="74" t="s">
        <v>1956</v>
      </c>
    </row>
    <row r="31" spans="1:15" x14ac:dyDescent="0.3">
      <c r="A31" s="64" t="s">
        <v>1662</v>
      </c>
      <c r="B31" s="65" t="s">
        <v>1041</v>
      </c>
      <c r="C31" s="62">
        <v>45741</v>
      </c>
      <c r="D31" s="62" t="s">
        <v>1631</v>
      </c>
      <c r="E31" s="62" t="s">
        <v>1935</v>
      </c>
      <c r="F31" s="65" t="s">
        <v>1602</v>
      </c>
      <c r="G31" s="65" t="s">
        <v>1597</v>
      </c>
      <c r="H31" s="65" t="str">
        <f>_xlfn.XLOOKUP(SINIESTROS[[#This Row],[ID PÓLIZA]],POLIZAS[ID PÓLIZA],POLIZAS[TIPO DE VEHICULO])</f>
        <v>SUV</v>
      </c>
      <c r="I31" s="70">
        <v>1135787.5644365249</v>
      </c>
      <c r="J31" s="70">
        <v>0</v>
      </c>
      <c r="K31" s="65" t="s">
        <v>1618</v>
      </c>
      <c r="L31" s="52" t="s">
        <v>1943</v>
      </c>
      <c r="M31" s="65" t="s">
        <v>1957</v>
      </c>
      <c r="N31" s="72">
        <v>6</v>
      </c>
      <c r="O31" s="74" t="s">
        <v>1956</v>
      </c>
    </row>
    <row r="32" spans="1:15" x14ac:dyDescent="0.3">
      <c r="A32" s="64" t="s">
        <v>1663</v>
      </c>
      <c r="B32" s="65" t="s">
        <v>1200</v>
      </c>
      <c r="C32" s="62">
        <v>46043</v>
      </c>
      <c r="D32" s="62" t="s">
        <v>1628</v>
      </c>
      <c r="E32" s="62" t="s">
        <v>1935</v>
      </c>
      <c r="F32" s="65" t="s">
        <v>1605</v>
      </c>
      <c r="G32" s="65" t="s">
        <v>1595</v>
      </c>
      <c r="H32" s="65" t="str">
        <f>_xlfn.XLOOKUP(SINIESTROS[[#This Row],[ID PÓLIZA]],POLIZAS[ID PÓLIZA],POLIZAS[TIPO DE VEHICULO])</f>
        <v>Auto</v>
      </c>
      <c r="I32" s="70">
        <v>2612325.5818243725</v>
      </c>
      <c r="J32" s="70">
        <v>0</v>
      </c>
      <c r="K32" s="65" t="s">
        <v>1619</v>
      </c>
      <c r="L32" s="52" t="s">
        <v>1943</v>
      </c>
      <c r="M32" s="65" t="s">
        <v>1955</v>
      </c>
      <c r="N32" s="72">
        <v>10</v>
      </c>
      <c r="O32" s="74" t="s">
        <v>1956</v>
      </c>
    </row>
    <row r="33" spans="1:15" x14ac:dyDescent="0.3">
      <c r="A33" s="64" t="s">
        <v>1664</v>
      </c>
      <c r="B33" s="65" t="s">
        <v>299</v>
      </c>
      <c r="C33" s="62">
        <v>44989</v>
      </c>
      <c r="D33" s="62" t="s">
        <v>1628</v>
      </c>
      <c r="E33" s="62" t="s">
        <v>1938</v>
      </c>
      <c r="F33" s="65" t="s">
        <v>1599</v>
      </c>
      <c r="G33" s="65" t="s">
        <v>1595</v>
      </c>
      <c r="H33" s="65" t="str">
        <f>_xlfn.XLOOKUP(SINIESTROS[[#This Row],[ID PÓLIZA]],POLIZAS[ID PÓLIZA],POLIZAS[TIPO DE VEHICULO])</f>
        <v>SUV</v>
      </c>
      <c r="I33" s="70">
        <v>33103851.588428974</v>
      </c>
      <c r="J33" s="70">
        <v>0</v>
      </c>
      <c r="K33" s="65" t="s">
        <v>1618</v>
      </c>
      <c r="L33" s="52" t="s">
        <v>1943</v>
      </c>
      <c r="M33" s="65" t="s">
        <v>1958</v>
      </c>
      <c r="N33" s="72">
        <v>7</v>
      </c>
      <c r="O33" s="74" t="s">
        <v>1956</v>
      </c>
    </row>
    <row r="34" spans="1:15" x14ac:dyDescent="0.3">
      <c r="A34" s="64" t="s">
        <v>1665</v>
      </c>
      <c r="B34" s="65" t="s">
        <v>795</v>
      </c>
      <c r="C34" s="62">
        <v>45150</v>
      </c>
      <c r="D34" s="62" t="s">
        <v>1629</v>
      </c>
      <c r="E34" s="62" t="s">
        <v>1937</v>
      </c>
      <c r="F34" s="65" t="s">
        <v>1600</v>
      </c>
      <c r="G34" s="65" t="s">
        <v>1596</v>
      </c>
      <c r="H34" s="65" t="str">
        <f>_xlfn.XLOOKUP(SINIESTROS[[#This Row],[ID PÓLIZA]],POLIZAS[ID PÓLIZA],POLIZAS[TIPO DE VEHICULO])</f>
        <v>Utilitario</v>
      </c>
      <c r="I34" s="70">
        <v>13882416.782433562</v>
      </c>
      <c r="J34" s="70">
        <v>0</v>
      </c>
      <c r="K34" s="65" t="s">
        <v>1619</v>
      </c>
      <c r="L34" s="52" t="s">
        <v>1943</v>
      </c>
      <c r="M34" s="65" t="s">
        <v>1955</v>
      </c>
      <c r="N34" s="72">
        <v>5</v>
      </c>
      <c r="O34" s="74" t="s">
        <v>1956</v>
      </c>
    </row>
    <row r="35" spans="1:15" x14ac:dyDescent="0.3">
      <c r="A35" s="64" t="s">
        <v>1666</v>
      </c>
      <c r="B35" s="65" t="s">
        <v>1243</v>
      </c>
      <c r="C35" s="62">
        <v>45084</v>
      </c>
      <c r="D35" s="62" t="s">
        <v>1628</v>
      </c>
      <c r="E35" s="62" t="s">
        <v>1935</v>
      </c>
      <c r="F35" s="65" t="s">
        <v>1599</v>
      </c>
      <c r="G35" s="65" t="s">
        <v>1595</v>
      </c>
      <c r="H35" s="65" t="str">
        <f>_xlfn.XLOOKUP(SINIESTROS[[#This Row],[ID PÓLIZA]],POLIZAS[ID PÓLIZA],POLIZAS[TIPO DE VEHICULO])</f>
        <v>Utilitario</v>
      </c>
      <c r="I35" s="70">
        <v>805152.24598136486</v>
      </c>
      <c r="J35" s="70">
        <v>0</v>
      </c>
      <c r="K35" s="65" t="s">
        <v>1618</v>
      </c>
      <c r="L35" s="52" t="s">
        <v>1943</v>
      </c>
      <c r="M35" s="65" t="s">
        <v>1958</v>
      </c>
      <c r="N35" s="72">
        <v>15</v>
      </c>
      <c r="O35" s="74" t="s">
        <v>1956</v>
      </c>
    </row>
    <row r="36" spans="1:15" x14ac:dyDescent="0.3">
      <c r="A36" s="64" t="s">
        <v>1667</v>
      </c>
      <c r="B36" s="65" t="s">
        <v>1072</v>
      </c>
      <c r="C36" s="62">
        <v>45299</v>
      </c>
      <c r="D36" s="62" t="s">
        <v>1628</v>
      </c>
      <c r="E36" s="62" t="s">
        <v>1935</v>
      </c>
      <c r="F36" s="65" t="s">
        <v>1602</v>
      </c>
      <c r="G36" s="65" t="s">
        <v>1597</v>
      </c>
      <c r="H36" s="65" t="str">
        <f>_xlfn.XLOOKUP(SINIESTROS[[#This Row],[ID PÓLIZA]],POLIZAS[ID PÓLIZA],POLIZAS[TIPO DE VEHICULO])</f>
        <v>Utilitario</v>
      </c>
      <c r="I36" s="70">
        <v>949162.85859399941</v>
      </c>
      <c r="J36" s="70">
        <v>920215.50122822472</v>
      </c>
      <c r="K36" s="65" t="s">
        <v>1618</v>
      </c>
      <c r="L36" s="52" t="s">
        <v>1941</v>
      </c>
      <c r="M36" s="65" t="s">
        <v>1957</v>
      </c>
      <c r="N36" s="72">
        <v>45</v>
      </c>
      <c r="O36" s="74" t="s">
        <v>1956</v>
      </c>
    </row>
    <row r="37" spans="1:15" x14ac:dyDescent="0.3">
      <c r="A37" s="64" t="s">
        <v>1668</v>
      </c>
      <c r="B37" s="65" t="s">
        <v>1030</v>
      </c>
      <c r="C37" s="62">
        <v>45911</v>
      </c>
      <c r="D37" s="62" t="s">
        <v>1628</v>
      </c>
      <c r="E37" s="62" t="s">
        <v>1935</v>
      </c>
      <c r="F37" s="65" t="s">
        <v>1599</v>
      </c>
      <c r="G37" s="65" t="s">
        <v>1598</v>
      </c>
      <c r="H37" s="65" t="str">
        <f>_xlfn.XLOOKUP(SINIESTROS[[#This Row],[ID PÓLIZA]],POLIZAS[ID PÓLIZA],POLIZAS[TIPO DE VEHICULO])</f>
        <v>SUV</v>
      </c>
      <c r="I37" s="70">
        <v>2091184.1147022739</v>
      </c>
      <c r="J37" s="70">
        <v>0</v>
      </c>
      <c r="K37" s="65" t="s">
        <v>1619</v>
      </c>
      <c r="L37" s="52" t="s">
        <v>1943</v>
      </c>
      <c r="M37" s="65" t="s">
        <v>1955</v>
      </c>
      <c r="N37" s="72">
        <v>27</v>
      </c>
      <c r="O37" s="74" t="s">
        <v>1956</v>
      </c>
    </row>
    <row r="38" spans="1:15" x14ac:dyDescent="0.3">
      <c r="A38" s="64" t="s">
        <v>1669</v>
      </c>
      <c r="B38" s="65" t="s">
        <v>746</v>
      </c>
      <c r="C38" s="62">
        <v>45944</v>
      </c>
      <c r="D38" s="62" t="s">
        <v>1629</v>
      </c>
      <c r="E38" s="62" t="s">
        <v>1936</v>
      </c>
      <c r="F38" s="65" t="s">
        <v>1602</v>
      </c>
      <c r="G38" s="65" t="s">
        <v>1596</v>
      </c>
      <c r="H38" s="65" t="str">
        <f>_xlfn.XLOOKUP(SINIESTROS[[#This Row],[ID PÓLIZA]],POLIZAS[ID PÓLIZA],POLIZAS[TIPO DE VEHICULO])</f>
        <v>Utilitario</v>
      </c>
      <c r="I38" s="70">
        <v>1853212.5012781164</v>
      </c>
      <c r="J38" s="70">
        <v>0</v>
      </c>
      <c r="K38" s="65" t="s">
        <v>1619</v>
      </c>
      <c r="L38" s="52" t="s">
        <v>1943</v>
      </c>
      <c r="M38" s="65" t="s">
        <v>1955</v>
      </c>
      <c r="N38" s="72">
        <v>5</v>
      </c>
      <c r="O38" s="74" t="s">
        <v>1956</v>
      </c>
    </row>
    <row r="39" spans="1:15" x14ac:dyDescent="0.3">
      <c r="A39" s="64" t="s">
        <v>1670</v>
      </c>
      <c r="B39" s="65" t="s">
        <v>855</v>
      </c>
      <c r="C39" s="62">
        <v>46252</v>
      </c>
      <c r="D39" s="62" t="s">
        <v>1628</v>
      </c>
      <c r="E39" s="62" t="s">
        <v>1935</v>
      </c>
      <c r="F39" s="65" t="s">
        <v>1606</v>
      </c>
      <c r="G39" s="65" t="s">
        <v>1596</v>
      </c>
      <c r="H39" s="65" t="str">
        <f>_xlfn.XLOOKUP(SINIESTROS[[#This Row],[ID PÓLIZA]],POLIZAS[ID PÓLIZA],POLIZAS[TIPO DE VEHICULO])</f>
        <v>SUV</v>
      </c>
      <c r="I39" s="70">
        <v>2992807.8650201038</v>
      </c>
      <c r="J39" s="70">
        <v>0</v>
      </c>
      <c r="K39" s="65" t="s">
        <v>1619</v>
      </c>
      <c r="L39" s="52" t="s">
        <v>1943</v>
      </c>
      <c r="M39" s="65" t="s">
        <v>1955</v>
      </c>
      <c r="N39" s="72">
        <v>29</v>
      </c>
      <c r="O39" s="74" t="s">
        <v>1956</v>
      </c>
    </row>
    <row r="40" spans="1:15" x14ac:dyDescent="0.3">
      <c r="A40" s="64" t="s">
        <v>1671</v>
      </c>
      <c r="B40" s="65" t="s">
        <v>378</v>
      </c>
      <c r="C40" s="62">
        <v>45843</v>
      </c>
      <c r="D40" s="62" t="s">
        <v>1630</v>
      </c>
      <c r="E40" s="62" t="s">
        <v>1936</v>
      </c>
      <c r="F40" s="65" t="s">
        <v>1602</v>
      </c>
      <c r="G40" s="65" t="s">
        <v>1595</v>
      </c>
      <c r="H40" s="65" t="str">
        <f>_xlfn.XLOOKUP(SINIESTROS[[#This Row],[ID PÓLIZA]],POLIZAS[ID PÓLIZA],POLIZAS[TIPO DE VEHICULO])</f>
        <v>SUV</v>
      </c>
      <c r="I40" s="70">
        <v>7211852.2044255119</v>
      </c>
      <c r="J40" s="70">
        <v>0</v>
      </c>
      <c r="K40" s="65" t="s">
        <v>1619</v>
      </c>
      <c r="L40" s="52" t="s">
        <v>1943</v>
      </c>
      <c r="M40" s="65" t="s">
        <v>1955</v>
      </c>
      <c r="N40" s="72">
        <v>18</v>
      </c>
      <c r="O40" s="74" t="s">
        <v>1956</v>
      </c>
    </row>
    <row r="41" spans="1:15" x14ac:dyDescent="0.3">
      <c r="A41" s="64" t="s">
        <v>1672</v>
      </c>
      <c r="B41" s="65" t="s">
        <v>982</v>
      </c>
      <c r="C41" s="62">
        <v>44968</v>
      </c>
      <c r="D41" s="62" t="s">
        <v>1629</v>
      </c>
      <c r="E41" s="62" t="s">
        <v>1937</v>
      </c>
      <c r="F41" s="65" t="s">
        <v>1600</v>
      </c>
      <c r="G41" s="65" t="s">
        <v>1597</v>
      </c>
      <c r="H41" s="65" t="str">
        <f>_xlfn.XLOOKUP(SINIESTROS[[#This Row],[ID PÓLIZA]],POLIZAS[ID PÓLIZA],POLIZAS[TIPO DE VEHICULO])</f>
        <v>Pickup</v>
      </c>
      <c r="I41" s="70">
        <v>15416420.574296221</v>
      </c>
      <c r="J41" s="70">
        <v>13066116.39690816</v>
      </c>
      <c r="K41" s="65" t="s">
        <v>1618</v>
      </c>
      <c r="L41" s="52" t="s">
        <v>1941</v>
      </c>
      <c r="M41" s="65" t="s">
        <v>1957</v>
      </c>
      <c r="N41" s="72">
        <v>5</v>
      </c>
      <c r="O41" s="74" t="s">
        <v>1956</v>
      </c>
    </row>
    <row r="42" spans="1:15" x14ac:dyDescent="0.3">
      <c r="A42" s="64" t="s">
        <v>1673</v>
      </c>
      <c r="B42" s="65" t="s">
        <v>351</v>
      </c>
      <c r="C42" s="62">
        <v>45574</v>
      </c>
      <c r="D42" s="62" t="s">
        <v>1630</v>
      </c>
      <c r="E42" s="62" t="s">
        <v>1936</v>
      </c>
      <c r="F42" s="65" t="s">
        <v>1602</v>
      </c>
      <c r="G42" s="65" t="s">
        <v>1597</v>
      </c>
      <c r="H42" s="65" t="str">
        <f>_xlfn.XLOOKUP(SINIESTROS[[#This Row],[ID PÓLIZA]],POLIZAS[ID PÓLIZA],POLIZAS[TIPO DE VEHICULO])</f>
        <v>Auto</v>
      </c>
      <c r="I42" s="70">
        <v>2635826.2177175642</v>
      </c>
      <c r="J42" s="70">
        <v>2167361.8914894122</v>
      </c>
      <c r="K42" s="65" t="s">
        <v>1618</v>
      </c>
      <c r="L42" s="52" t="s">
        <v>1941</v>
      </c>
      <c r="M42" s="65" t="s">
        <v>1957</v>
      </c>
      <c r="N42" s="72">
        <v>34</v>
      </c>
      <c r="O42" s="74" t="s">
        <v>1956</v>
      </c>
    </row>
    <row r="43" spans="1:15" x14ac:dyDescent="0.3">
      <c r="A43" s="64" t="s">
        <v>1674</v>
      </c>
      <c r="B43" s="65" t="s">
        <v>849</v>
      </c>
      <c r="C43" s="62">
        <v>45734</v>
      </c>
      <c r="D43" s="62" t="s">
        <v>1628</v>
      </c>
      <c r="E43" s="62" t="s">
        <v>1936</v>
      </c>
      <c r="F43" s="65" t="s">
        <v>1599</v>
      </c>
      <c r="G43" s="65" t="s">
        <v>1598</v>
      </c>
      <c r="H43" s="65" t="str">
        <f>_xlfn.XLOOKUP(SINIESTROS[[#This Row],[ID PÓLIZA]],POLIZAS[ID PÓLIZA],POLIZAS[TIPO DE VEHICULO])</f>
        <v>SUV</v>
      </c>
      <c r="I43" s="70">
        <v>7035908.179771008</v>
      </c>
      <c r="J43" s="70">
        <v>0</v>
      </c>
      <c r="K43" s="65" t="s">
        <v>1619</v>
      </c>
      <c r="L43" s="52" t="s">
        <v>1943</v>
      </c>
      <c r="M43" s="65" t="s">
        <v>1955</v>
      </c>
      <c r="N43" s="72">
        <v>13</v>
      </c>
      <c r="O43" s="74" t="s">
        <v>1956</v>
      </c>
    </row>
    <row r="44" spans="1:15" x14ac:dyDescent="0.3">
      <c r="A44" s="64" t="s">
        <v>1675</v>
      </c>
      <c r="B44" s="65" t="s">
        <v>497</v>
      </c>
      <c r="C44" s="62">
        <v>45497</v>
      </c>
      <c r="D44" s="62" t="s">
        <v>1628</v>
      </c>
      <c r="E44" s="62" t="s">
        <v>1937</v>
      </c>
      <c r="F44" s="65" t="s">
        <v>1600</v>
      </c>
      <c r="G44" s="65" t="s">
        <v>1598</v>
      </c>
      <c r="H44" s="65" t="str">
        <f>_xlfn.XLOOKUP(SINIESTROS[[#This Row],[ID PÓLIZA]],POLIZAS[ID PÓLIZA],POLIZAS[TIPO DE VEHICULO])</f>
        <v>SUV</v>
      </c>
      <c r="I44" s="70">
        <v>16232751.78379529</v>
      </c>
      <c r="J44" s="70">
        <v>0</v>
      </c>
      <c r="K44" s="65" t="s">
        <v>1619</v>
      </c>
      <c r="L44" s="52" t="s">
        <v>1943</v>
      </c>
      <c r="M44" s="65" t="s">
        <v>1955</v>
      </c>
      <c r="N44" s="72">
        <v>22</v>
      </c>
      <c r="O44" s="74" t="s">
        <v>1956</v>
      </c>
    </row>
    <row r="45" spans="1:15" x14ac:dyDescent="0.3">
      <c r="A45" s="64" t="s">
        <v>1676</v>
      </c>
      <c r="B45" s="65" t="s">
        <v>450</v>
      </c>
      <c r="C45" s="62">
        <v>45593</v>
      </c>
      <c r="D45" s="62" t="s">
        <v>1631</v>
      </c>
      <c r="E45" s="62" t="s">
        <v>1935</v>
      </c>
      <c r="F45" s="65" t="s">
        <v>1606</v>
      </c>
      <c r="G45" s="65" t="s">
        <v>1598</v>
      </c>
      <c r="H45" s="65" t="str">
        <f>_xlfn.XLOOKUP(SINIESTROS[[#This Row],[ID PÓLIZA]],POLIZAS[ID PÓLIZA],POLIZAS[TIPO DE VEHICULO])</f>
        <v>Utilitario</v>
      </c>
      <c r="I45" s="70">
        <v>1544281.5566353472</v>
      </c>
      <c r="J45" s="70">
        <v>0</v>
      </c>
      <c r="K45" s="65" t="s">
        <v>1619</v>
      </c>
      <c r="L45" s="52" t="s">
        <v>1943</v>
      </c>
      <c r="M45" s="65" t="s">
        <v>1955</v>
      </c>
      <c r="N45" s="72">
        <v>28</v>
      </c>
      <c r="O45" s="74" t="s">
        <v>1956</v>
      </c>
    </row>
    <row r="46" spans="1:15" x14ac:dyDescent="0.3">
      <c r="A46" s="64" t="s">
        <v>1677</v>
      </c>
      <c r="B46" s="65" t="s">
        <v>1029</v>
      </c>
      <c r="C46" s="62">
        <v>46077</v>
      </c>
      <c r="D46" s="62" t="s">
        <v>1632</v>
      </c>
      <c r="E46" s="62" t="s">
        <v>1935</v>
      </c>
      <c r="F46" s="65" t="s">
        <v>1604</v>
      </c>
      <c r="G46" s="65" t="s">
        <v>1597</v>
      </c>
      <c r="H46" s="65" t="str">
        <f>_xlfn.XLOOKUP(SINIESTROS[[#This Row],[ID PÓLIZA]],POLIZAS[ID PÓLIZA],POLIZAS[TIPO DE VEHICULO])</f>
        <v>Utilitario</v>
      </c>
      <c r="I46" s="70">
        <v>2029357.5906352529</v>
      </c>
      <c r="J46" s="70">
        <v>0</v>
      </c>
      <c r="K46" s="65" t="s">
        <v>1619</v>
      </c>
      <c r="L46" s="52" t="s">
        <v>1943</v>
      </c>
      <c r="M46" s="65" t="s">
        <v>1955</v>
      </c>
      <c r="N46" s="72">
        <v>13</v>
      </c>
      <c r="O46" s="74" t="s">
        <v>1956</v>
      </c>
    </row>
    <row r="47" spans="1:15" x14ac:dyDescent="0.3">
      <c r="A47" s="64" t="s">
        <v>1678</v>
      </c>
      <c r="B47" s="65" t="s">
        <v>887</v>
      </c>
      <c r="C47" s="62">
        <v>45649</v>
      </c>
      <c r="D47" s="62" t="s">
        <v>1628</v>
      </c>
      <c r="E47" s="62" t="s">
        <v>1938</v>
      </c>
      <c r="F47" s="65" t="s">
        <v>1604</v>
      </c>
      <c r="G47" s="65" t="s">
        <v>1596</v>
      </c>
      <c r="H47" s="65" t="str">
        <f>_xlfn.XLOOKUP(SINIESTROS[[#This Row],[ID PÓLIZA]],POLIZAS[ID PÓLIZA],POLIZAS[TIPO DE VEHICULO])</f>
        <v>Pickup</v>
      </c>
      <c r="I47" s="70">
        <v>32949246.008607041</v>
      </c>
      <c r="J47" s="70">
        <v>0</v>
      </c>
      <c r="K47" s="65" t="s">
        <v>1619</v>
      </c>
      <c r="L47" s="52" t="s">
        <v>1943</v>
      </c>
      <c r="M47" s="65" t="s">
        <v>1955</v>
      </c>
      <c r="N47" s="72">
        <v>3</v>
      </c>
      <c r="O47" s="74" t="s">
        <v>1956</v>
      </c>
    </row>
    <row r="48" spans="1:15" x14ac:dyDescent="0.3">
      <c r="A48" s="64" t="s">
        <v>1679</v>
      </c>
      <c r="B48" s="65" t="s">
        <v>485</v>
      </c>
      <c r="C48" s="62">
        <v>46026</v>
      </c>
      <c r="D48" s="62" t="s">
        <v>1628</v>
      </c>
      <c r="E48" s="62" t="s">
        <v>1935</v>
      </c>
      <c r="F48" s="65" t="s">
        <v>1601</v>
      </c>
      <c r="G48" s="65" t="s">
        <v>1596</v>
      </c>
      <c r="H48" s="65" t="str">
        <f>_xlfn.XLOOKUP(SINIESTROS[[#This Row],[ID PÓLIZA]],POLIZAS[ID PÓLIZA],POLIZAS[TIPO DE VEHICULO])</f>
        <v>Auto</v>
      </c>
      <c r="I48" s="70">
        <v>2190293.9358907663</v>
      </c>
      <c r="J48" s="70">
        <v>0</v>
      </c>
      <c r="K48" s="65" t="s">
        <v>1619</v>
      </c>
      <c r="L48" s="52" t="s">
        <v>1943</v>
      </c>
      <c r="M48" s="65" t="s">
        <v>1955</v>
      </c>
      <c r="N48" s="72">
        <v>13</v>
      </c>
      <c r="O48" s="74" t="s">
        <v>1956</v>
      </c>
    </row>
    <row r="49" spans="1:15" x14ac:dyDescent="0.3">
      <c r="A49" s="64" t="s">
        <v>1680</v>
      </c>
      <c r="B49" s="65" t="s">
        <v>1016</v>
      </c>
      <c r="C49" s="62">
        <v>45512</v>
      </c>
      <c r="D49" s="62" t="s">
        <v>1632</v>
      </c>
      <c r="E49" s="62" t="s">
        <v>1935</v>
      </c>
      <c r="F49" s="65" t="s">
        <v>1600</v>
      </c>
      <c r="G49" s="65" t="s">
        <v>1598</v>
      </c>
      <c r="H49" s="65" t="str">
        <f>_xlfn.XLOOKUP(SINIESTROS[[#This Row],[ID PÓLIZA]],POLIZAS[ID PÓLIZA],POLIZAS[TIPO DE VEHICULO])</f>
        <v>SUV</v>
      </c>
      <c r="I49" s="70">
        <v>2322526.9747245088</v>
      </c>
      <c r="J49" s="70">
        <v>2236773.0528448243</v>
      </c>
      <c r="K49" s="65" t="s">
        <v>1618</v>
      </c>
      <c r="L49" s="52" t="s">
        <v>1941</v>
      </c>
      <c r="M49" s="65" t="s">
        <v>1957</v>
      </c>
      <c r="N49" s="72">
        <v>34</v>
      </c>
      <c r="O49" s="74" t="s">
        <v>1956</v>
      </c>
    </row>
    <row r="50" spans="1:15" x14ac:dyDescent="0.3">
      <c r="A50" s="64" t="s">
        <v>1681</v>
      </c>
      <c r="B50" s="65" t="s">
        <v>526</v>
      </c>
      <c r="C50" s="62">
        <v>44786</v>
      </c>
      <c r="D50" s="62" t="s">
        <v>1628</v>
      </c>
      <c r="E50" s="62" t="s">
        <v>1936</v>
      </c>
      <c r="F50" s="65" t="s">
        <v>1599</v>
      </c>
      <c r="G50" s="65" t="s">
        <v>1598</v>
      </c>
      <c r="H50" s="65" t="str">
        <f>_xlfn.XLOOKUP(SINIESTROS[[#This Row],[ID PÓLIZA]],POLIZAS[ID PÓLIZA],POLIZAS[TIPO DE VEHICULO])</f>
        <v>Pickup</v>
      </c>
      <c r="I50" s="70">
        <v>13006092.800502507</v>
      </c>
      <c r="J50" s="70">
        <v>11941974.083950715</v>
      </c>
      <c r="K50" s="65" t="s">
        <v>1618</v>
      </c>
      <c r="L50" s="52" t="s">
        <v>1941</v>
      </c>
      <c r="M50" s="65" t="s">
        <v>1957</v>
      </c>
      <c r="N50" s="72">
        <v>15</v>
      </c>
      <c r="O50" s="74" t="s">
        <v>1956</v>
      </c>
    </row>
    <row r="51" spans="1:15" x14ac:dyDescent="0.3">
      <c r="A51" s="64" t="s">
        <v>1682</v>
      </c>
      <c r="B51" s="65" t="s">
        <v>1113</v>
      </c>
      <c r="C51" s="62">
        <v>45410</v>
      </c>
      <c r="D51" s="62" t="s">
        <v>1628</v>
      </c>
      <c r="E51" s="62" t="s">
        <v>1935</v>
      </c>
      <c r="F51" s="65" t="s">
        <v>1604</v>
      </c>
      <c r="G51" s="65" t="s">
        <v>1598</v>
      </c>
      <c r="H51" s="65" t="str">
        <f>_xlfn.XLOOKUP(SINIESTROS[[#This Row],[ID PÓLIZA]],POLIZAS[ID PÓLIZA],POLIZAS[TIPO DE VEHICULO])</f>
        <v>Pickup</v>
      </c>
      <c r="I51" s="70">
        <v>1883447.9722105511</v>
      </c>
      <c r="J51" s="70">
        <v>0</v>
      </c>
      <c r="K51" s="65" t="s">
        <v>1619</v>
      </c>
      <c r="L51" s="52" t="s">
        <v>1943</v>
      </c>
      <c r="M51" s="65" t="s">
        <v>1955</v>
      </c>
      <c r="N51" s="72">
        <v>30</v>
      </c>
      <c r="O51" s="74" t="s">
        <v>1956</v>
      </c>
    </row>
    <row r="52" spans="1:15" x14ac:dyDescent="0.3">
      <c r="A52" s="64" t="s">
        <v>1683</v>
      </c>
      <c r="B52" s="65" t="s">
        <v>974</v>
      </c>
      <c r="C52" s="62">
        <v>46201</v>
      </c>
      <c r="D52" s="62" t="s">
        <v>1631</v>
      </c>
      <c r="E52" s="62" t="s">
        <v>1935</v>
      </c>
      <c r="F52" s="65" t="s">
        <v>1600</v>
      </c>
      <c r="G52" s="65" t="s">
        <v>1598</v>
      </c>
      <c r="H52" s="65" t="str">
        <f>_xlfn.XLOOKUP(SINIESTROS[[#This Row],[ID PÓLIZA]],POLIZAS[ID PÓLIZA],POLIZAS[TIPO DE VEHICULO])</f>
        <v>Pickup</v>
      </c>
      <c r="I52" s="70">
        <v>1046193.4945303648</v>
      </c>
      <c r="J52" s="70">
        <v>898792.23152395117</v>
      </c>
      <c r="K52" s="65" t="s">
        <v>1618</v>
      </c>
      <c r="L52" s="52" t="s">
        <v>1941</v>
      </c>
      <c r="M52" s="65" t="s">
        <v>1957</v>
      </c>
      <c r="N52" s="72">
        <v>29</v>
      </c>
      <c r="O52" s="74" t="s">
        <v>1956</v>
      </c>
    </row>
    <row r="53" spans="1:15" x14ac:dyDescent="0.3">
      <c r="A53" s="64" t="s">
        <v>1684</v>
      </c>
      <c r="B53" s="65" t="s">
        <v>889</v>
      </c>
      <c r="C53" s="62">
        <v>45786</v>
      </c>
      <c r="D53" s="62" t="s">
        <v>1628</v>
      </c>
      <c r="E53" s="62" t="s">
        <v>1937</v>
      </c>
      <c r="F53" s="65" t="s">
        <v>1606</v>
      </c>
      <c r="G53" s="65" t="s">
        <v>1596</v>
      </c>
      <c r="H53" s="65" t="str">
        <f>_xlfn.XLOOKUP(SINIESTROS[[#This Row],[ID PÓLIZA]],POLIZAS[ID PÓLIZA],POLIZAS[TIPO DE VEHICULO])</f>
        <v>Auto</v>
      </c>
      <c r="I53" s="70">
        <v>13140242.045255294</v>
      </c>
      <c r="J53" s="70">
        <v>0</v>
      </c>
      <c r="K53" s="65" t="s">
        <v>1619</v>
      </c>
      <c r="L53" s="52" t="s">
        <v>1943</v>
      </c>
      <c r="M53" s="65" t="s">
        <v>1955</v>
      </c>
      <c r="N53" s="72">
        <v>14</v>
      </c>
      <c r="O53" s="74" t="s">
        <v>1956</v>
      </c>
    </row>
    <row r="54" spans="1:15" x14ac:dyDescent="0.3">
      <c r="A54" s="64" t="s">
        <v>1685</v>
      </c>
      <c r="B54" s="65" t="s">
        <v>553</v>
      </c>
      <c r="C54" s="62">
        <v>45121</v>
      </c>
      <c r="D54" s="62" t="s">
        <v>1628</v>
      </c>
      <c r="E54" s="62" t="s">
        <v>1936</v>
      </c>
      <c r="F54" s="65" t="s">
        <v>1602</v>
      </c>
      <c r="G54" s="65" t="s">
        <v>1596</v>
      </c>
      <c r="H54" s="65" t="str">
        <f>_xlfn.XLOOKUP(SINIESTROS[[#This Row],[ID PÓLIZA]],POLIZAS[ID PÓLIZA],POLIZAS[TIPO DE VEHICULO])</f>
        <v>Auto</v>
      </c>
      <c r="I54" s="70">
        <v>6051271.9649915956</v>
      </c>
      <c r="J54" s="70">
        <v>0</v>
      </c>
      <c r="K54" s="65" t="s">
        <v>1619</v>
      </c>
      <c r="L54" s="52" t="s">
        <v>1943</v>
      </c>
      <c r="M54" s="65" t="s">
        <v>1955</v>
      </c>
      <c r="N54" s="72">
        <v>9</v>
      </c>
      <c r="O54" s="74" t="s">
        <v>1956</v>
      </c>
    </row>
    <row r="55" spans="1:15" x14ac:dyDescent="0.3">
      <c r="A55" s="64" t="s">
        <v>1686</v>
      </c>
      <c r="B55" s="65" t="s">
        <v>653</v>
      </c>
      <c r="C55" s="62">
        <v>44590</v>
      </c>
      <c r="D55" s="62" t="s">
        <v>1629</v>
      </c>
      <c r="E55" s="62" t="s">
        <v>1935</v>
      </c>
      <c r="F55" s="65" t="s">
        <v>1604</v>
      </c>
      <c r="G55" s="65" t="s">
        <v>1595</v>
      </c>
      <c r="H55" s="65" t="str">
        <f>_xlfn.XLOOKUP(SINIESTROS[[#This Row],[ID PÓLIZA]],POLIZAS[ID PÓLIZA],POLIZAS[TIPO DE VEHICULO])</f>
        <v>Auto</v>
      </c>
      <c r="I55" s="70">
        <v>931264.4102827101</v>
      </c>
      <c r="J55" s="70">
        <v>0</v>
      </c>
      <c r="K55" s="65" t="s">
        <v>1618</v>
      </c>
      <c r="L55" s="52" t="s">
        <v>1943</v>
      </c>
      <c r="M55" s="65" t="s">
        <v>1958</v>
      </c>
      <c r="N55" s="72">
        <v>17</v>
      </c>
      <c r="O55" s="74" t="s">
        <v>1956</v>
      </c>
    </row>
    <row r="56" spans="1:15" x14ac:dyDescent="0.3">
      <c r="A56" s="64" t="s">
        <v>1687</v>
      </c>
      <c r="B56" s="65" t="s">
        <v>727</v>
      </c>
      <c r="C56" s="62">
        <v>45658</v>
      </c>
      <c r="D56" s="62" t="s">
        <v>1629</v>
      </c>
      <c r="E56" s="62" t="s">
        <v>1936</v>
      </c>
      <c r="F56" s="65" t="s">
        <v>1601</v>
      </c>
      <c r="G56" s="65" t="s">
        <v>1598</v>
      </c>
      <c r="H56" s="65" t="str">
        <f>_xlfn.XLOOKUP(SINIESTROS[[#This Row],[ID PÓLIZA]],POLIZAS[ID PÓLIZA],POLIZAS[TIPO DE VEHICULO])</f>
        <v>SUV</v>
      </c>
      <c r="I56" s="70">
        <v>5102760.18974014</v>
      </c>
      <c r="J56" s="70">
        <v>0</v>
      </c>
      <c r="K56" s="65" t="s">
        <v>1619</v>
      </c>
      <c r="L56" s="52" t="s">
        <v>1943</v>
      </c>
      <c r="M56" s="65" t="s">
        <v>1955</v>
      </c>
      <c r="N56" s="72">
        <v>4</v>
      </c>
      <c r="O56" s="74" t="s">
        <v>1956</v>
      </c>
    </row>
    <row r="57" spans="1:15" x14ac:dyDescent="0.3">
      <c r="A57" s="64" t="s">
        <v>1688</v>
      </c>
      <c r="B57" s="65" t="s">
        <v>819</v>
      </c>
      <c r="C57" s="62">
        <v>45429</v>
      </c>
      <c r="D57" s="62" t="s">
        <v>1628</v>
      </c>
      <c r="E57" s="62" t="s">
        <v>1937</v>
      </c>
      <c r="F57" s="65" t="s">
        <v>1602</v>
      </c>
      <c r="G57" s="65" t="s">
        <v>1596</v>
      </c>
      <c r="H57" s="65" t="str">
        <f>_xlfn.XLOOKUP(SINIESTROS[[#This Row],[ID PÓLIZA]],POLIZAS[ID PÓLIZA],POLIZAS[TIPO DE VEHICULO])</f>
        <v>SUV</v>
      </c>
      <c r="I57" s="70">
        <v>27911221.764932863</v>
      </c>
      <c r="J57" s="70">
        <v>0</v>
      </c>
      <c r="K57" s="65" t="s">
        <v>1619</v>
      </c>
      <c r="L57" s="52" t="s">
        <v>1943</v>
      </c>
      <c r="M57" s="65" t="s">
        <v>1955</v>
      </c>
      <c r="N57" s="72">
        <v>26</v>
      </c>
      <c r="O57" s="74" t="s">
        <v>1956</v>
      </c>
    </row>
    <row r="58" spans="1:15" x14ac:dyDescent="0.3">
      <c r="A58" s="64" t="s">
        <v>1689</v>
      </c>
      <c r="B58" s="65" t="s">
        <v>807</v>
      </c>
      <c r="C58" s="62">
        <v>46251</v>
      </c>
      <c r="D58" s="62" t="s">
        <v>1628</v>
      </c>
      <c r="E58" s="62" t="s">
        <v>1935</v>
      </c>
      <c r="F58" s="65" t="s">
        <v>1602</v>
      </c>
      <c r="G58" s="65" t="s">
        <v>1595</v>
      </c>
      <c r="H58" s="65" t="str">
        <f>_xlfn.XLOOKUP(SINIESTROS[[#This Row],[ID PÓLIZA]],POLIZAS[ID PÓLIZA],POLIZAS[TIPO DE VEHICULO])</f>
        <v>SUV</v>
      </c>
      <c r="I58" s="70">
        <v>2973078.8367076395</v>
      </c>
      <c r="J58" s="70">
        <v>0</v>
      </c>
      <c r="K58" s="65" t="s">
        <v>1618</v>
      </c>
      <c r="L58" s="52" t="s">
        <v>1943</v>
      </c>
      <c r="M58" s="65" t="s">
        <v>1958</v>
      </c>
      <c r="N58" s="72">
        <v>19</v>
      </c>
      <c r="O58" s="74" t="s">
        <v>1956</v>
      </c>
    </row>
    <row r="59" spans="1:15" x14ac:dyDescent="0.3">
      <c r="A59" s="64" t="s">
        <v>1690</v>
      </c>
      <c r="B59" s="65" t="s">
        <v>949</v>
      </c>
      <c r="C59" s="62">
        <v>46077</v>
      </c>
      <c r="D59" s="62" t="s">
        <v>1628</v>
      </c>
      <c r="E59" s="62" t="s">
        <v>1935</v>
      </c>
      <c r="F59" s="65" t="s">
        <v>1601</v>
      </c>
      <c r="G59" s="65" t="s">
        <v>1596</v>
      </c>
      <c r="H59" s="65" t="str">
        <f>_xlfn.XLOOKUP(SINIESTROS[[#This Row],[ID PÓLIZA]],POLIZAS[ID PÓLIZA],POLIZAS[TIPO DE VEHICULO])</f>
        <v>SUV</v>
      </c>
      <c r="I59" s="70">
        <v>2657338.5279670926</v>
      </c>
      <c r="J59" s="70">
        <v>0</v>
      </c>
      <c r="K59" s="65" t="s">
        <v>1619</v>
      </c>
      <c r="L59" s="52" t="s">
        <v>1943</v>
      </c>
      <c r="M59" s="65" t="s">
        <v>1955</v>
      </c>
      <c r="N59" s="72">
        <v>6</v>
      </c>
      <c r="O59" s="74" t="s">
        <v>1956</v>
      </c>
    </row>
    <row r="60" spans="1:15" x14ac:dyDescent="0.3">
      <c r="A60" s="64" t="s">
        <v>1691</v>
      </c>
      <c r="B60" s="65" t="s">
        <v>294</v>
      </c>
      <c r="C60" s="62">
        <v>46167</v>
      </c>
      <c r="D60" s="62" t="s">
        <v>1628</v>
      </c>
      <c r="E60" s="62" t="s">
        <v>1935</v>
      </c>
      <c r="F60" s="65" t="s">
        <v>1600</v>
      </c>
      <c r="G60" s="65" t="s">
        <v>1595</v>
      </c>
      <c r="H60" s="65" t="str">
        <f>_xlfn.XLOOKUP(SINIESTROS[[#This Row],[ID PÓLIZA]],POLIZAS[ID PÓLIZA],POLIZAS[TIPO DE VEHICULO])</f>
        <v>Utilitario</v>
      </c>
      <c r="I60" s="70">
        <v>898947.39290829666</v>
      </c>
      <c r="J60" s="70">
        <v>0</v>
      </c>
      <c r="K60" s="65" t="s">
        <v>1618</v>
      </c>
      <c r="L60" s="52" t="s">
        <v>1943</v>
      </c>
      <c r="M60" s="65" t="s">
        <v>1958</v>
      </c>
      <c r="N60" s="72">
        <v>28</v>
      </c>
      <c r="O60" s="74" t="s">
        <v>1956</v>
      </c>
    </row>
    <row r="61" spans="1:15" x14ac:dyDescent="0.3">
      <c r="A61" s="64" t="s">
        <v>1692</v>
      </c>
      <c r="B61" s="65" t="s">
        <v>920</v>
      </c>
      <c r="C61" s="62">
        <v>46052</v>
      </c>
      <c r="D61" s="62" t="s">
        <v>1628</v>
      </c>
      <c r="E61" s="62" t="s">
        <v>1936</v>
      </c>
      <c r="F61" s="65" t="s">
        <v>1599</v>
      </c>
      <c r="G61" s="65" t="s">
        <v>1598</v>
      </c>
      <c r="H61" s="65" t="str">
        <f>_xlfn.XLOOKUP(SINIESTROS[[#This Row],[ID PÓLIZA]],POLIZAS[ID PÓLIZA],POLIZAS[TIPO DE VEHICULO])</f>
        <v>SUV</v>
      </c>
      <c r="I61" s="70">
        <v>10117470.251380481</v>
      </c>
      <c r="J61" s="70">
        <v>8438789.6554035954</v>
      </c>
      <c r="K61" s="65" t="s">
        <v>1618</v>
      </c>
      <c r="L61" s="52" t="s">
        <v>1941</v>
      </c>
      <c r="M61" s="65" t="s">
        <v>1957</v>
      </c>
      <c r="N61" s="72">
        <v>39</v>
      </c>
      <c r="O61" s="74" t="s">
        <v>1956</v>
      </c>
    </row>
    <row r="62" spans="1:15" x14ac:dyDescent="0.3">
      <c r="A62" s="64" t="s">
        <v>1693</v>
      </c>
      <c r="B62" s="65" t="s">
        <v>435</v>
      </c>
      <c r="C62" s="62">
        <v>45892</v>
      </c>
      <c r="D62" s="62" t="s">
        <v>1630</v>
      </c>
      <c r="E62" s="62" t="s">
        <v>1935</v>
      </c>
      <c r="F62" s="65" t="s">
        <v>1606</v>
      </c>
      <c r="G62" s="65" t="s">
        <v>1596</v>
      </c>
      <c r="H62" s="65" t="str">
        <f>_xlfn.XLOOKUP(SINIESTROS[[#This Row],[ID PÓLIZA]],POLIZAS[ID PÓLIZA],POLIZAS[TIPO DE VEHICULO])</f>
        <v>Auto</v>
      </c>
      <c r="I62" s="70">
        <v>1641670.9301867946</v>
      </c>
      <c r="J62" s="70">
        <v>0</v>
      </c>
      <c r="K62" s="65" t="s">
        <v>1619</v>
      </c>
      <c r="L62" s="52" t="s">
        <v>1943</v>
      </c>
      <c r="M62" s="65" t="s">
        <v>1955</v>
      </c>
      <c r="N62" s="72">
        <v>14</v>
      </c>
      <c r="O62" s="74" t="s">
        <v>1956</v>
      </c>
    </row>
    <row r="63" spans="1:15" x14ac:dyDescent="0.3">
      <c r="A63" s="64" t="s">
        <v>1694</v>
      </c>
      <c r="B63" s="65" t="s">
        <v>629</v>
      </c>
      <c r="C63" s="62">
        <v>46055</v>
      </c>
      <c r="D63" s="62" t="s">
        <v>1628</v>
      </c>
      <c r="E63" s="62" t="s">
        <v>1938</v>
      </c>
      <c r="F63" s="65" t="s">
        <v>1599</v>
      </c>
      <c r="G63" s="65" t="s">
        <v>1595</v>
      </c>
      <c r="H63" s="65" t="str">
        <f>_xlfn.XLOOKUP(SINIESTROS[[#This Row],[ID PÓLIZA]],POLIZAS[ID PÓLIZA],POLIZAS[TIPO DE VEHICULO])</f>
        <v>SUV</v>
      </c>
      <c r="I63" s="70">
        <v>30350560.577209733</v>
      </c>
      <c r="J63" s="70">
        <v>0</v>
      </c>
      <c r="K63" s="65" t="s">
        <v>1619</v>
      </c>
      <c r="L63" s="52" t="s">
        <v>1943</v>
      </c>
      <c r="M63" s="65" t="s">
        <v>1955</v>
      </c>
      <c r="N63" s="72">
        <v>21</v>
      </c>
      <c r="O63" s="74" t="s">
        <v>1956</v>
      </c>
    </row>
    <row r="64" spans="1:15" x14ac:dyDescent="0.3">
      <c r="A64" s="64" t="s">
        <v>1695</v>
      </c>
      <c r="B64" s="65" t="s">
        <v>503</v>
      </c>
      <c r="C64" s="62">
        <v>46246</v>
      </c>
      <c r="D64" s="62" t="s">
        <v>1630</v>
      </c>
      <c r="E64" s="62" t="s">
        <v>1936</v>
      </c>
      <c r="F64" s="65" t="s">
        <v>1599</v>
      </c>
      <c r="G64" s="65" t="s">
        <v>1595</v>
      </c>
      <c r="H64" s="65" t="str">
        <f>_xlfn.XLOOKUP(SINIESTROS[[#This Row],[ID PÓLIZA]],POLIZAS[ID PÓLIZA],POLIZAS[TIPO DE VEHICULO])</f>
        <v>SUV</v>
      </c>
      <c r="I64" s="70">
        <v>3605856.6853777613</v>
      </c>
      <c r="J64" s="70">
        <v>0</v>
      </c>
      <c r="K64" s="65" t="s">
        <v>1618</v>
      </c>
      <c r="L64" s="52" t="s">
        <v>1943</v>
      </c>
      <c r="M64" s="65" t="s">
        <v>1958</v>
      </c>
      <c r="N64" s="72">
        <v>18</v>
      </c>
      <c r="O64" s="74" t="s">
        <v>1956</v>
      </c>
    </row>
    <row r="65" spans="1:15" x14ac:dyDescent="0.3">
      <c r="A65" s="64" t="s">
        <v>1696</v>
      </c>
      <c r="B65" s="65" t="s">
        <v>775</v>
      </c>
      <c r="C65" s="62">
        <v>45747</v>
      </c>
      <c r="D65" s="62" t="s">
        <v>1632</v>
      </c>
      <c r="E65" s="62" t="s">
        <v>1937</v>
      </c>
      <c r="F65" s="65" t="s">
        <v>1602</v>
      </c>
      <c r="G65" s="65" t="s">
        <v>1596</v>
      </c>
      <c r="H65" s="65" t="str">
        <f>_xlfn.XLOOKUP(SINIESTROS[[#This Row],[ID PÓLIZA]],POLIZAS[ID PÓLIZA],POLIZAS[TIPO DE VEHICULO])</f>
        <v>SUV</v>
      </c>
      <c r="I65" s="70">
        <v>21928332.080920629</v>
      </c>
      <c r="J65" s="70">
        <v>0</v>
      </c>
      <c r="K65" s="65" t="s">
        <v>1619</v>
      </c>
      <c r="L65" s="52" t="s">
        <v>1943</v>
      </c>
      <c r="M65" s="65" t="s">
        <v>1955</v>
      </c>
      <c r="N65" s="72">
        <v>23</v>
      </c>
      <c r="O65" s="74" t="s">
        <v>1956</v>
      </c>
    </row>
    <row r="66" spans="1:15" x14ac:dyDescent="0.3">
      <c r="A66" s="64" t="s">
        <v>1697</v>
      </c>
      <c r="B66" s="65" t="s">
        <v>1070</v>
      </c>
      <c r="C66" s="62">
        <v>45086</v>
      </c>
      <c r="D66" s="62" t="s">
        <v>1629</v>
      </c>
      <c r="E66" s="62" t="s">
        <v>1937</v>
      </c>
      <c r="F66" s="65" t="s">
        <v>1603</v>
      </c>
      <c r="G66" s="65" t="s">
        <v>1597</v>
      </c>
      <c r="H66" s="65" t="str">
        <f>_xlfn.XLOOKUP(SINIESTROS[[#This Row],[ID PÓLIZA]],POLIZAS[ID PÓLIZA],POLIZAS[TIPO DE VEHICULO])</f>
        <v>Auto</v>
      </c>
      <c r="I66" s="70">
        <v>5811491.336154175</v>
      </c>
      <c r="J66" s="70">
        <v>0</v>
      </c>
      <c r="K66" s="65" t="s">
        <v>1618</v>
      </c>
      <c r="L66" s="52" t="s">
        <v>1943</v>
      </c>
      <c r="M66" s="65" t="s">
        <v>1957</v>
      </c>
      <c r="N66" s="72">
        <v>26</v>
      </c>
      <c r="O66" s="74" t="s">
        <v>1956</v>
      </c>
    </row>
    <row r="67" spans="1:15" x14ac:dyDescent="0.3">
      <c r="A67" s="64" t="s">
        <v>1698</v>
      </c>
      <c r="B67" s="65" t="s">
        <v>298</v>
      </c>
      <c r="C67" s="62">
        <v>44653</v>
      </c>
      <c r="D67" s="62" t="s">
        <v>1628</v>
      </c>
      <c r="E67" s="62" t="s">
        <v>1936</v>
      </c>
      <c r="F67" s="65" t="s">
        <v>1601</v>
      </c>
      <c r="G67" s="65" t="s">
        <v>1596</v>
      </c>
      <c r="H67" s="65" t="str">
        <f>_xlfn.XLOOKUP(SINIESTROS[[#This Row],[ID PÓLIZA]],POLIZAS[ID PÓLIZA],POLIZAS[TIPO DE VEHICULO])</f>
        <v>Utilitario</v>
      </c>
      <c r="I67" s="70">
        <v>8054878.7223856617</v>
      </c>
      <c r="J67" s="70">
        <v>0</v>
      </c>
      <c r="K67" s="65" t="s">
        <v>1618</v>
      </c>
      <c r="L67" s="52" t="s">
        <v>1943</v>
      </c>
      <c r="M67" s="65" t="s">
        <v>1958</v>
      </c>
      <c r="N67" s="72">
        <v>9</v>
      </c>
      <c r="O67" s="74" t="s">
        <v>1956</v>
      </c>
    </row>
    <row r="68" spans="1:15" x14ac:dyDescent="0.3">
      <c r="A68" s="64" t="s">
        <v>1699</v>
      </c>
      <c r="B68" s="65" t="s">
        <v>1115</v>
      </c>
      <c r="C68" s="62">
        <v>45657</v>
      </c>
      <c r="D68" s="62" t="s">
        <v>1630</v>
      </c>
      <c r="E68" s="62" t="s">
        <v>1935</v>
      </c>
      <c r="F68" s="65" t="s">
        <v>1599</v>
      </c>
      <c r="G68" s="65" t="s">
        <v>1596</v>
      </c>
      <c r="H68" s="65" t="str">
        <f>_xlfn.XLOOKUP(SINIESTROS[[#This Row],[ID PÓLIZA]],POLIZAS[ID PÓLIZA],POLIZAS[TIPO DE VEHICULO])</f>
        <v>Auto</v>
      </c>
      <c r="I68" s="70">
        <v>277373.83238799061</v>
      </c>
      <c r="J68" s="70">
        <v>0</v>
      </c>
      <c r="K68" s="65" t="s">
        <v>1619</v>
      </c>
      <c r="L68" s="52" t="s">
        <v>1943</v>
      </c>
      <c r="M68" s="65" t="s">
        <v>1955</v>
      </c>
      <c r="N68" s="72">
        <v>14</v>
      </c>
      <c r="O68" s="74" t="s">
        <v>1956</v>
      </c>
    </row>
    <row r="69" spans="1:15" x14ac:dyDescent="0.3">
      <c r="A69" s="64" t="s">
        <v>1700</v>
      </c>
      <c r="B69" s="65" t="s">
        <v>921</v>
      </c>
      <c r="C69" s="62">
        <v>45934</v>
      </c>
      <c r="D69" s="62" t="s">
        <v>1629</v>
      </c>
      <c r="E69" s="62" t="s">
        <v>1936</v>
      </c>
      <c r="F69" s="65" t="s">
        <v>1599</v>
      </c>
      <c r="G69" s="65" t="s">
        <v>1595</v>
      </c>
      <c r="H69" s="65" t="str">
        <f>_xlfn.XLOOKUP(SINIESTROS[[#This Row],[ID PÓLIZA]],POLIZAS[ID PÓLIZA],POLIZAS[TIPO DE VEHICULO])</f>
        <v>SUV</v>
      </c>
      <c r="I69" s="70">
        <v>4141452.8396258033</v>
      </c>
      <c r="J69" s="70">
        <v>0</v>
      </c>
      <c r="K69" s="65" t="s">
        <v>1618</v>
      </c>
      <c r="L69" s="52" t="s">
        <v>1943</v>
      </c>
      <c r="M69" s="65" t="s">
        <v>1958</v>
      </c>
      <c r="N69" s="72">
        <v>5</v>
      </c>
      <c r="O69" s="74" t="s">
        <v>1956</v>
      </c>
    </row>
    <row r="70" spans="1:15" x14ac:dyDescent="0.3">
      <c r="A70" s="64" t="s">
        <v>1701</v>
      </c>
      <c r="B70" s="65" t="s">
        <v>994</v>
      </c>
      <c r="C70" s="62">
        <v>45181</v>
      </c>
      <c r="D70" s="62" t="s">
        <v>1632</v>
      </c>
      <c r="E70" s="62" t="s">
        <v>1938</v>
      </c>
      <c r="F70" s="65" t="s">
        <v>1601</v>
      </c>
      <c r="G70" s="65" t="s">
        <v>1597</v>
      </c>
      <c r="H70" s="65" t="str">
        <f>_xlfn.XLOOKUP(SINIESTROS[[#This Row],[ID PÓLIZA]],POLIZAS[ID PÓLIZA],POLIZAS[TIPO DE VEHICULO])</f>
        <v>Pickup</v>
      </c>
      <c r="I70" s="70">
        <v>18918240.464021023</v>
      </c>
      <c r="J70" s="70">
        <v>18475231.032478608</v>
      </c>
      <c r="K70" s="65" t="s">
        <v>1618</v>
      </c>
      <c r="L70" s="52" t="s">
        <v>1941</v>
      </c>
      <c r="M70" s="65" t="s">
        <v>1957</v>
      </c>
      <c r="N70" s="72">
        <v>6</v>
      </c>
      <c r="O70" s="74" t="s">
        <v>1956</v>
      </c>
    </row>
    <row r="71" spans="1:15" x14ac:dyDescent="0.3">
      <c r="A71" s="64" t="s">
        <v>1702</v>
      </c>
      <c r="B71" s="65" t="s">
        <v>669</v>
      </c>
      <c r="C71" s="62">
        <v>45095</v>
      </c>
      <c r="D71" s="62" t="s">
        <v>1632</v>
      </c>
      <c r="E71" s="62" t="s">
        <v>1935</v>
      </c>
      <c r="F71" s="65" t="s">
        <v>1599</v>
      </c>
      <c r="G71" s="65" t="s">
        <v>1595</v>
      </c>
      <c r="H71" s="65" t="str">
        <f>_xlfn.XLOOKUP(SINIESTROS[[#This Row],[ID PÓLIZA]],POLIZAS[ID PÓLIZA],POLIZAS[TIPO DE VEHICULO])</f>
        <v>Pickup</v>
      </c>
      <c r="I71" s="70">
        <v>4688126.8029727731</v>
      </c>
      <c r="J71" s="70">
        <v>0</v>
      </c>
      <c r="K71" s="65" t="s">
        <v>1618</v>
      </c>
      <c r="L71" s="52" t="s">
        <v>1943</v>
      </c>
      <c r="M71" s="65" t="s">
        <v>1958</v>
      </c>
      <c r="N71" s="72">
        <v>29</v>
      </c>
      <c r="O71" s="74" t="s">
        <v>1956</v>
      </c>
    </row>
    <row r="72" spans="1:15" x14ac:dyDescent="0.3">
      <c r="A72" s="64" t="s">
        <v>1703</v>
      </c>
      <c r="B72" s="65" t="s">
        <v>1135</v>
      </c>
      <c r="C72" s="62">
        <v>45963</v>
      </c>
      <c r="D72" s="62" t="s">
        <v>1628</v>
      </c>
      <c r="E72" s="62" t="s">
        <v>1936</v>
      </c>
      <c r="F72" s="65" t="s">
        <v>1605</v>
      </c>
      <c r="G72" s="65" t="s">
        <v>1597</v>
      </c>
      <c r="H72" s="65" t="str">
        <f>_xlfn.XLOOKUP(SINIESTROS[[#This Row],[ID PÓLIZA]],POLIZAS[ID PÓLIZA],POLIZAS[TIPO DE VEHICULO])</f>
        <v>Utilitario</v>
      </c>
      <c r="I72" s="70">
        <v>2531429.1386975516</v>
      </c>
      <c r="J72" s="70">
        <v>2060479.6625819444</v>
      </c>
      <c r="K72" s="65" t="s">
        <v>1618</v>
      </c>
      <c r="L72" s="52" t="s">
        <v>1941</v>
      </c>
      <c r="M72" s="65" t="s">
        <v>1957</v>
      </c>
      <c r="N72" s="72">
        <v>45</v>
      </c>
      <c r="O72" s="74" t="s">
        <v>1956</v>
      </c>
    </row>
    <row r="73" spans="1:15" x14ac:dyDescent="0.3">
      <c r="A73" s="64" t="s">
        <v>1704</v>
      </c>
      <c r="B73" s="65" t="s">
        <v>863</v>
      </c>
      <c r="C73" s="62">
        <v>45470</v>
      </c>
      <c r="D73" s="62" t="s">
        <v>1628</v>
      </c>
      <c r="E73" s="62" t="s">
        <v>1936</v>
      </c>
      <c r="F73" s="65" t="s">
        <v>1604</v>
      </c>
      <c r="G73" s="65" t="s">
        <v>1595</v>
      </c>
      <c r="H73" s="65" t="str">
        <f>_xlfn.XLOOKUP(SINIESTROS[[#This Row],[ID PÓLIZA]],POLIZAS[ID PÓLIZA],POLIZAS[TIPO DE VEHICULO])</f>
        <v>SUV</v>
      </c>
      <c r="I73" s="70">
        <v>10691969.422035571</v>
      </c>
      <c r="J73" s="70">
        <v>0</v>
      </c>
      <c r="K73" s="65" t="s">
        <v>1619</v>
      </c>
      <c r="L73" s="52" t="s">
        <v>1943</v>
      </c>
      <c r="M73" s="65" t="s">
        <v>1955</v>
      </c>
      <c r="N73" s="72">
        <v>14</v>
      </c>
      <c r="O73" s="74" t="s">
        <v>1956</v>
      </c>
    </row>
    <row r="74" spans="1:15" x14ac:dyDescent="0.3">
      <c r="A74" s="64" t="s">
        <v>1705</v>
      </c>
      <c r="B74" s="65" t="s">
        <v>1182</v>
      </c>
      <c r="C74" s="62">
        <v>46064</v>
      </c>
      <c r="D74" s="62" t="s">
        <v>1628</v>
      </c>
      <c r="E74" s="62" t="s">
        <v>1935</v>
      </c>
      <c r="F74" s="65" t="s">
        <v>1603</v>
      </c>
      <c r="G74" s="65" t="s">
        <v>1597</v>
      </c>
      <c r="H74" s="65" t="str">
        <f>_xlfn.XLOOKUP(SINIESTROS[[#This Row],[ID PÓLIZA]],POLIZAS[ID PÓLIZA],POLIZAS[TIPO DE VEHICULO])</f>
        <v>Pickup</v>
      </c>
      <c r="I74" s="70">
        <v>2375104.5809076913</v>
      </c>
      <c r="J74" s="70">
        <v>0</v>
      </c>
      <c r="K74" s="65" t="s">
        <v>1619</v>
      </c>
      <c r="L74" s="52" t="s">
        <v>1943</v>
      </c>
      <c r="M74" s="65" t="s">
        <v>1955</v>
      </c>
      <c r="N74" s="72">
        <v>25</v>
      </c>
      <c r="O74" s="74" t="s">
        <v>1956</v>
      </c>
    </row>
    <row r="75" spans="1:15" x14ac:dyDescent="0.3">
      <c r="A75" s="64" t="s">
        <v>1706</v>
      </c>
      <c r="B75" s="65" t="s">
        <v>731</v>
      </c>
      <c r="C75" s="62">
        <v>45910</v>
      </c>
      <c r="D75" s="62" t="s">
        <v>1630</v>
      </c>
      <c r="E75" s="62" t="s">
        <v>1937</v>
      </c>
      <c r="F75" s="65" t="s">
        <v>1600</v>
      </c>
      <c r="G75" s="65" t="s">
        <v>1595</v>
      </c>
      <c r="H75" s="65" t="str">
        <f>_xlfn.XLOOKUP(SINIESTROS[[#This Row],[ID PÓLIZA]],POLIZAS[ID PÓLIZA],POLIZAS[TIPO DE VEHICULO])</f>
        <v>Auto</v>
      </c>
      <c r="I75" s="70">
        <v>10184132.535318341</v>
      </c>
      <c r="J75" s="70">
        <v>0</v>
      </c>
      <c r="K75" s="65" t="s">
        <v>1618</v>
      </c>
      <c r="L75" s="52" t="s">
        <v>1943</v>
      </c>
      <c r="M75" s="65" t="s">
        <v>1958</v>
      </c>
      <c r="N75" s="72">
        <v>7</v>
      </c>
      <c r="O75" s="74" t="s">
        <v>1956</v>
      </c>
    </row>
    <row r="76" spans="1:15" x14ac:dyDescent="0.3">
      <c r="A76" s="64" t="s">
        <v>1707</v>
      </c>
      <c r="B76" s="65" t="s">
        <v>871</v>
      </c>
      <c r="C76" s="62">
        <v>46219</v>
      </c>
      <c r="D76" s="62" t="s">
        <v>1628</v>
      </c>
      <c r="E76" s="62" t="s">
        <v>1937</v>
      </c>
      <c r="F76" s="65" t="s">
        <v>1603</v>
      </c>
      <c r="G76" s="65" t="s">
        <v>1597</v>
      </c>
      <c r="H76" s="65" t="str">
        <f>_xlfn.XLOOKUP(SINIESTROS[[#This Row],[ID PÓLIZA]],POLIZAS[ID PÓLIZA],POLIZAS[TIPO DE VEHICULO])</f>
        <v>Utilitario</v>
      </c>
      <c r="I76" s="70">
        <v>13368966.382647319</v>
      </c>
      <c r="J76" s="70">
        <v>0</v>
      </c>
      <c r="K76" s="65" t="s">
        <v>1618</v>
      </c>
      <c r="L76" s="52" t="s">
        <v>1621</v>
      </c>
      <c r="M76" s="65" t="s">
        <v>1957</v>
      </c>
      <c r="N76" s="72">
        <v>34</v>
      </c>
      <c r="O76" s="74" t="s">
        <v>1956</v>
      </c>
    </row>
    <row r="77" spans="1:15" x14ac:dyDescent="0.3">
      <c r="A77" s="64" t="s">
        <v>1708</v>
      </c>
      <c r="B77" s="65" t="s">
        <v>896</v>
      </c>
      <c r="C77" s="62">
        <v>45414</v>
      </c>
      <c r="D77" s="62" t="s">
        <v>1632</v>
      </c>
      <c r="E77" s="62" t="s">
        <v>1937</v>
      </c>
      <c r="F77" s="65" t="s">
        <v>1601</v>
      </c>
      <c r="G77" s="65" t="s">
        <v>1598</v>
      </c>
      <c r="H77" s="65" t="str">
        <f>_xlfn.XLOOKUP(SINIESTROS[[#This Row],[ID PÓLIZA]],POLIZAS[ID PÓLIZA],POLIZAS[TIPO DE VEHICULO])</f>
        <v>Auto</v>
      </c>
      <c r="I77" s="70">
        <v>8775370.4613791257</v>
      </c>
      <c r="J77" s="70">
        <v>0</v>
      </c>
      <c r="K77" s="65" t="s">
        <v>1618</v>
      </c>
      <c r="L77" s="52" t="s">
        <v>1943</v>
      </c>
      <c r="M77" s="65" t="s">
        <v>1957</v>
      </c>
      <c r="N77" s="72">
        <v>30</v>
      </c>
      <c r="O77" s="74" t="s">
        <v>1956</v>
      </c>
    </row>
    <row r="78" spans="1:15" x14ac:dyDescent="0.3">
      <c r="A78" s="64" t="s">
        <v>1709</v>
      </c>
      <c r="B78" s="65" t="s">
        <v>861</v>
      </c>
      <c r="C78" s="62">
        <v>46038</v>
      </c>
      <c r="D78" s="62" t="s">
        <v>1630</v>
      </c>
      <c r="E78" s="62" t="s">
        <v>1935</v>
      </c>
      <c r="F78" s="65" t="s">
        <v>1608</v>
      </c>
      <c r="G78" s="65" t="s">
        <v>1598</v>
      </c>
      <c r="H78" s="65" t="str">
        <f>_xlfn.XLOOKUP(SINIESTROS[[#This Row],[ID PÓLIZA]],POLIZAS[ID PÓLIZA],POLIZAS[TIPO DE VEHICULO])</f>
        <v>SUV</v>
      </c>
      <c r="I78" s="70">
        <v>2274929.8366767173</v>
      </c>
      <c r="J78" s="70">
        <v>2091208.5946290111</v>
      </c>
      <c r="K78" s="65" t="s">
        <v>1618</v>
      </c>
      <c r="L78" s="52" t="s">
        <v>1941</v>
      </c>
      <c r="M78" s="65" t="s">
        <v>1957</v>
      </c>
      <c r="N78" s="72">
        <v>17</v>
      </c>
      <c r="O78" s="74" t="s">
        <v>1956</v>
      </c>
    </row>
    <row r="79" spans="1:15" x14ac:dyDescent="0.3">
      <c r="A79" s="64" t="s">
        <v>1710</v>
      </c>
      <c r="B79" s="65" t="s">
        <v>911</v>
      </c>
      <c r="C79" s="62">
        <v>46122</v>
      </c>
      <c r="D79" s="62" t="s">
        <v>1629</v>
      </c>
      <c r="E79" s="62" t="s">
        <v>1935</v>
      </c>
      <c r="F79" s="65" t="s">
        <v>1604</v>
      </c>
      <c r="G79" s="65" t="s">
        <v>1598</v>
      </c>
      <c r="H79" s="65" t="str">
        <f>_xlfn.XLOOKUP(SINIESTROS[[#This Row],[ID PÓLIZA]],POLIZAS[ID PÓLIZA],POLIZAS[TIPO DE VEHICULO])</f>
        <v>Auto</v>
      </c>
      <c r="I79" s="70">
        <v>2216387.4157187454</v>
      </c>
      <c r="J79" s="70">
        <v>0</v>
      </c>
      <c r="K79" s="65" t="s">
        <v>1619</v>
      </c>
      <c r="L79" s="52" t="s">
        <v>1943</v>
      </c>
      <c r="M79" s="65" t="s">
        <v>1955</v>
      </c>
      <c r="N79" s="72">
        <v>10</v>
      </c>
      <c r="O79" s="74" t="s">
        <v>1956</v>
      </c>
    </row>
    <row r="80" spans="1:15" x14ac:dyDescent="0.3">
      <c r="A80" s="64" t="s">
        <v>1711</v>
      </c>
      <c r="B80" s="65" t="s">
        <v>772</v>
      </c>
      <c r="C80" s="62">
        <v>45431</v>
      </c>
      <c r="D80" s="62" t="s">
        <v>1628</v>
      </c>
      <c r="E80" s="62" t="s">
        <v>1935</v>
      </c>
      <c r="F80" s="65" t="s">
        <v>1604</v>
      </c>
      <c r="G80" s="65" t="s">
        <v>1595</v>
      </c>
      <c r="H80" s="65" t="str">
        <f>_xlfn.XLOOKUP(SINIESTROS[[#This Row],[ID PÓLIZA]],POLIZAS[ID PÓLIZA],POLIZAS[TIPO DE VEHICULO])</f>
        <v>Utilitario</v>
      </c>
      <c r="I80" s="70">
        <v>481398.30855292571</v>
      </c>
      <c r="J80" s="70">
        <v>0</v>
      </c>
      <c r="K80" s="65" t="s">
        <v>1619</v>
      </c>
      <c r="L80" s="52" t="s">
        <v>1943</v>
      </c>
      <c r="M80" s="65" t="s">
        <v>1955</v>
      </c>
      <c r="N80" s="72">
        <v>6</v>
      </c>
      <c r="O80" s="74" t="s">
        <v>1956</v>
      </c>
    </row>
    <row r="81" spans="1:15" x14ac:dyDescent="0.3">
      <c r="A81" s="64" t="s">
        <v>1712</v>
      </c>
      <c r="B81" s="65" t="s">
        <v>975</v>
      </c>
      <c r="C81" s="62">
        <v>46053</v>
      </c>
      <c r="D81" s="62" t="s">
        <v>1628</v>
      </c>
      <c r="E81" s="62" t="s">
        <v>1935</v>
      </c>
      <c r="F81" s="65" t="s">
        <v>1599</v>
      </c>
      <c r="G81" s="65" t="s">
        <v>1595</v>
      </c>
      <c r="H81" s="65" t="str">
        <f>_xlfn.XLOOKUP(SINIESTROS[[#This Row],[ID PÓLIZA]],POLIZAS[ID PÓLIZA],POLIZAS[TIPO DE VEHICULO])</f>
        <v>Pickup</v>
      </c>
      <c r="I81" s="70">
        <v>2751302.282759802</v>
      </c>
      <c r="J81" s="70">
        <v>0</v>
      </c>
      <c r="K81" s="65" t="s">
        <v>1619</v>
      </c>
      <c r="L81" s="52" t="s">
        <v>1943</v>
      </c>
      <c r="M81" s="65" t="s">
        <v>1955</v>
      </c>
      <c r="N81" s="72">
        <v>12</v>
      </c>
      <c r="O81" s="74" t="s">
        <v>1956</v>
      </c>
    </row>
    <row r="82" spans="1:15" x14ac:dyDescent="0.3">
      <c r="A82" s="64" t="s">
        <v>1713</v>
      </c>
      <c r="B82" s="65" t="s">
        <v>584</v>
      </c>
      <c r="C82" s="62">
        <v>46069</v>
      </c>
      <c r="D82" s="62" t="s">
        <v>1632</v>
      </c>
      <c r="E82" s="62" t="s">
        <v>1935</v>
      </c>
      <c r="F82" s="65" t="s">
        <v>1599</v>
      </c>
      <c r="G82" s="65" t="s">
        <v>1597</v>
      </c>
      <c r="H82" s="65" t="str">
        <f>_xlfn.XLOOKUP(SINIESTROS[[#This Row],[ID PÓLIZA]],POLIZAS[ID PÓLIZA],POLIZAS[TIPO DE VEHICULO])</f>
        <v>Auto</v>
      </c>
      <c r="I82" s="70">
        <v>908099.19987034716</v>
      </c>
      <c r="J82" s="70">
        <v>834320.80347074184</v>
      </c>
      <c r="K82" s="65" t="s">
        <v>1618</v>
      </c>
      <c r="L82" s="52" t="s">
        <v>1941</v>
      </c>
      <c r="M82" s="65" t="s">
        <v>1957</v>
      </c>
      <c r="N82" s="72">
        <v>29</v>
      </c>
      <c r="O82" s="74" t="s">
        <v>1956</v>
      </c>
    </row>
    <row r="83" spans="1:15" x14ac:dyDescent="0.3">
      <c r="A83" s="64" t="s">
        <v>1714</v>
      </c>
      <c r="B83" s="65" t="s">
        <v>759</v>
      </c>
      <c r="C83" s="62">
        <v>45623</v>
      </c>
      <c r="D83" s="62" t="s">
        <v>1628</v>
      </c>
      <c r="E83" s="62" t="s">
        <v>1935</v>
      </c>
      <c r="F83" s="65" t="s">
        <v>1600</v>
      </c>
      <c r="G83" s="65" t="s">
        <v>1597</v>
      </c>
      <c r="H83" s="65" t="str">
        <f>_xlfn.XLOOKUP(SINIESTROS[[#This Row],[ID PÓLIZA]],POLIZAS[ID PÓLIZA],POLIZAS[TIPO DE VEHICULO])</f>
        <v>SUV</v>
      </c>
      <c r="I83" s="70">
        <v>4551439.5405529737</v>
      </c>
      <c r="J83" s="70">
        <v>0</v>
      </c>
      <c r="K83" s="65" t="s">
        <v>1619</v>
      </c>
      <c r="L83" s="52" t="s">
        <v>1943</v>
      </c>
      <c r="M83" s="65" t="s">
        <v>1955</v>
      </c>
      <c r="N83" s="72">
        <v>5</v>
      </c>
      <c r="O83" s="74" t="s">
        <v>1956</v>
      </c>
    </row>
    <row r="84" spans="1:15" x14ac:dyDescent="0.3">
      <c r="A84" s="64" t="s">
        <v>1715</v>
      </c>
      <c r="B84" s="65" t="s">
        <v>1035</v>
      </c>
      <c r="C84" s="62">
        <v>46150</v>
      </c>
      <c r="D84" s="62" t="s">
        <v>1629</v>
      </c>
      <c r="E84" s="62" t="s">
        <v>1935</v>
      </c>
      <c r="F84" s="65" t="s">
        <v>1599</v>
      </c>
      <c r="G84" s="65" t="s">
        <v>1596</v>
      </c>
      <c r="H84" s="65" t="str">
        <f>_xlfn.XLOOKUP(SINIESTROS[[#This Row],[ID PÓLIZA]],POLIZAS[ID PÓLIZA],POLIZAS[TIPO DE VEHICULO])</f>
        <v>Pickup</v>
      </c>
      <c r="I84" s="70">
        <v>2517372.8726961561</v>
      </c>
      <c r="J84" s="70">
        <v>2249022.3888282613</v>
      </c>
      <c r="K84" s="65" t="s">
        <v>1618</v>
      </c>
      <c r="L84" s="52" t="s">
        <v>1941</v>
      </c>
      <c r="M84" s="65" t="s">
        <v>1957</v>
      </c>
      <c r="N84" s="72">
        <v>35</v>
      </c>
      <c r="O84" s="74" t="s">
        <v>1956</v>
      </c>
    </row>
    <row r="85" spans="1:15" x14ac:dyDescent="0.3">
      <c r="A85" s="64" t="s">
        <v>1716</v>
      </c>
      <c r="B85" s="65" t="s">
        <v>765</v>
      </c>
      <c r="C85" s="62">
        <v>45679</v>
      </c>
      <c r="D85" s="62" t="s">
        <v>1628</v>
      </c>
      <c r="E85" s="62" t="s">
        <v>1937</v>
      </c>
      <c r="F85" s="65" t="s">
        <v>1600</v>
      </c>
      <c r="G85" s="65" t="s">
        <v>1596</v>
      </c>
      <c r="H85" s="65" t="str">
        <f>_xlfn.XLOOKUP(SINIESTROS[[#This Row],[ID PÓLIZA]],POLIZAS[ID PÓLIZA],POLIZAS[TIPO DE VEHICULO])</f>
        <v>Pickup</v>
      </c>
      <c r="I85" s="70">
        <v>3660065.613483943</v>
      </c>
      <c r="J85" s="70">
        <v>0</v>
      </c>
      <c r="K85" s="65" t="s">
        <v>1619</v>
      </c>
      <c r="L85" s="52" t="s">
        <v>1943</v>
      </c>
      <c r="M85" s="65" t="s">
        <v>1955</v>
      </c>
      <c r="N85" s="72">
        <v>22</v>
      </c>
      <c r="O85" s="74" t="s">
        <v>1956</v>
      </c>
    </row>
    <row r="86" spans="1:15" x14ac:dyDescent="0.3">
      <c r="A86" s="64" t="s">
        <v>1717</v>
      </c>
      <c r="B86" s="65" t="s">
        <v>1203</v>
      </c>
      <c r="C86" s="62">
        <v>46252</v>
      </c>
      <c r="D86" s="62" t="s">
        <v>1629</v>
      </c>
      <c r="E86" s="62" t="s">
        <v>1936</v>
      </c>
      <c r="F86" s="65" t="s">
        <v>1599</v>
      </c>
      <c r="G86" s="65" t="s">
        <v>1597</v>
      </c>
      <c r="H86" s="65" t="str">
        <f>_xlfn.XLOOKUP(SINIESTROS[[#This Row],[ID PÓLIZA]],POLIZAS[ID PÓLIZA],POLIZAS[TIPO DE VEHICULO])</f>
        <v>SUV</v>
      </c>
      <c r="I86" s="70">
        <v>11470895.110805133</v>
      </c>
      <c r="J86" s="70">
        <v>9826658.3463300075</v>
      </c>
      <c r="K86" s="65" t="s">
        <v>1618</v>
      </c>
      <c r="L86" s="52" t="s">
        <v>1941</v>
      </c>
      <c r="M86" s="65" t="s">
        <v>1957</v>
      </c>
      <c r="N86" s="72">
        <v>30</v>
      </c>
      <c r="O86" s="74" t="s">
        <v>1956</v>
      </c>
    </row>
    <row r="87" spans="1:15" x14ac:dyDescent="0.3">
      <c r="A87" s="64" t="s">
        <v>1718</v>
      </c>
      <c r="B87" s="65" t="s">
        <v>573</v>
      </c>
      <c r="C87" s="62">
        <v>45601</v>
      </c>
      <c r="D87" s="62" t="s">
        <v>1631</v>
      </c>
      <c r="E87" s="62" t="s">
        <v>1935</v>
      </c>
      <c r="F87" s="65" t="s">
        <v>1603</v>
      </c>
      <c r="G87" s="65" t="s">
        <v>1595</v>
      </c>
      <c r="H87" s="65" t="str">
        <f>_xlfn.XLOOKUP(SINIESTROS[[#This Row],[ID PÓLIZA]],POLIZAS[ID PÓLIZA],POLIZAS[TIPO DE VEHICULO])</f>
        <v>Auto</v>
      </c>
      <c r="I87" s="70">
        <v>412070.47464673524</v>
      </c>
      <c r="J87" s="70">
        <v>0</v>
      </c>
      <c r="K87" s="65" t="s">
        <v>1618</v>
      </c>
      <c r="L87" s="52" t="s">
        <v>1943</v>
      </c>
      <c r="M87" s="65" t="s">
        <v>1958</v>
      </c>
      <c r="N87" s="72">
        <v>22</v>
      </c>
      <c r="O87" s="74" t="s">
        <v>1956</v>
      </c>
    </row>
    <row r="88" spans="1:15" x14ac:dyDescent="0.3">
      <c r="A88" s="64" t="s">
        <v>1719</v>
      </c>
      <c r="B88" s="65" t="s">
        <v>1098</v>
      </c>
      <c r="C88" s="62">
        <v>46138</v>
      </c>
      <c r="D88" s="62" t="s">
        <v>1629</v>
      </c>
      <c r="E88" s="62" t="s">
        <v>1935</v>
      </c>
      <c r="F88" s="65" t="s">
        <v>1600</v>
      </c>
      <c r="G88" s="65" t="s">
        <v>1596</v>
      </c>
      <c r="H88" s="65" t="str">
        <f>_xlfn.XLOOKUP(SINIESTROS[[#This Row],[ID PÓLIZA]],POLIZAS[ID PÓLIZA],POLIZAS[TIPO DE VEHICULO])</f>
        <v>Auto</v>
      </c>
      <c r="I88" s="70">
        <v>299625.1703312592</v>
      </c>
      <c r="J88" s="70">
        <v>0</v>
      </c>
      <c r="K88" s="65" t="s">
        <v>1619</v>
      </c>
      <c r="L88" s="52" t="s">
        <v>1943</v>
      </c>
      <c r="M88" s="65" t="s">
        <v>1955</v>
      </c>
      <c r="N88" s="72">
        <v>24</v>
      </c>
      <c r="O88" s="74" t="s">
        <v>1956</v>
      </c>
    </row>
    <row r="89" spans="1:15" x14ac:dyDescent="0.3">
      <c r="A89" s="64" t="s">
        <v>1720</v>
      </c>
      <c r="B89" s="65" t="s">
        <v>845</v>
      </c>
      <c r="C89" s="62">
        <v>45554</v>
      </c>
      <c r="D89" s="62" t="s">
        <v>1630</v>
      </c>
      <c r="E89" s="62" t="s">
        <v>1936</v>
      </c>
      <c r="F89" s="65" t="s">
        <v>1602</v>
      </c>
      <c r="G89" s="65" t="s">
        <v>1596</v>
      </c>
      <c r="H89" s="65" t="str">
        <f>_xlfn.XLOOKUP(SINIESTROS[[#This Row],[ID PÓLIZA]],POLIZAS[ID PÓLIZA],POLIZAS[TIPO DE VEHICULO])</f>
        <v>Utilitario</v>
      </c>
      <c r="I89" s="70">
        <v>7534465.539927002</v>
      </c>
      <c r="J89" s="70">
        <v>7506037.0548661621</v>
      </c>
      <c r="K89" s="65" t="s">
        <v>1618</v>
      </c>
      <c r="L89" s="52" t="s">
        <v>1941</v>
      </c>
      <c r="M89" s="65" t="s">
        <v>1957</v>
      </c>
      <c r="N89" s="72">
        <v>32</v>
      </c>
      <c r="O89" s="74" t="s">
        <v>1956</v>
      </c>
    </row>
    <row r="90" spans="1:15" x14ac:dyDescent="0.3">
      <c r="A90" s="64" t="s">
        <v>1721</v>
      </c>
      <c r="B90" s="65" t="s">
        <v>967</v>
      </c>
      <c r="C90" s="62">
        <v>45832</v>
      </c>
      <c r="D90" s="62" t="s">
        <v>1628</v>
      </c>
      <c r="E90" s="62" t="s">
        <v>1937</v>
      </c>
      <c r="F90" s="65" t="s">
        <v>1607</v>
      </c>
      <c r="G90" s="65" t="s">
        <v>1598</v>
      </c>
      <c r="H90" s="65" t="str">
        <f>_xlfn.XLOOKUP(SINIESTROS[[#This Row],[ID PÓLIZA]],POLIZAS[ID PÓLIZA],POLIZAS[TIPO DE VEHICULO])</f>
        <v>SUV</v>
      </c>
      <c r="I90" s="70">
        <v>18930671.8470411</v>
      </c>
      <c r="J90" s="70">
        <v>18029784.263101052</v>
      </c>
      <c r="K90" s="65" t="s">
        <v>1618</v>
      </c>
      <c r="L90" s="52" t="s">
        <v>1941</v>
      </c>
      <c r="M90" s="65" t="s">
        <v>1957</v>
      </c>
      <c r="N90" s="72">
        <v>32</v>
      </c>
      <c r="O90" s="74" t="s">
        <v>1956</v>
      </c>
    </row>
    <row r="91" spans="1:15" x14ac:dyDescent="0.3">
      <c r="A91" s="64" t="s">
        <v>1722</v>
      </c>
      <c r="B91" s="65" t="s">
        <v>1216</v>
      </c>
      <c r="C91" s="62">
        <v>46167</v>
      </c>
      <c r="D91" s="62" t="s">
        <v>1630</v>
      </c>
      <c r="E91" s="62" t="s">
        <v>1937</v>
      </c>
      <c r="F91" s="65" t="s">
        <v>1602</v>
      </c>
      <c r="G91" s="65" t="s">
        <v>1596</v>
      </c>
      <c r="H91" s="65" t="str">
        <f>_xlfn.XLOOKUP(SINIESTROS[[#This Row],[ID PÓLIZA]],POLIZAS[ID PÓLIZA],POLIZAS[TIPO DE VEHICULO])</f>
        <v>Auto</v>
      </c>
      <c r="I91" s="70">
        <v>12370481.168526325</v>
      </c>
      <c r="J91" s="70">
        <v>0</v>
      </c>
      <c r="K91" s="65" t="s">
        <v>1619</v>
      </c>
      <c r="L91" s="52" t="s">
        <v>1943</v>
      </c>
      <c r="M91" s="65" t="s">
        <v>1955</v>
      </c>
      <c r="N91" s="72">
        <v>29</v>
      </c>
      <c r="O91" s="74" t="s">
        <v>1956</v>
      </c>
    </row>
    <row r="92" spans="1:15" x14ac:dyDescent="0.3">
      <c r="A92" s="64" t="s">
        <v>1723</v>
      </c>
      <c r="B92" s="65" t="s">
        <v>773</v>
      </c>
      <c r="C92" s="62">
        <v>46133</v>
      </c>
      <c r="D92" s="62" t="s">
        <v>1629</v>
      </c>
      <c r="E92" s="62" t="s">
        <v>1936</v>
      </c>
      <c r="F92" s="65" t="s">
        <v>1602</v>
      </c>
      <c r="G92" s="65" t="s">
        <v>1597</v>
      </c>
      <c r="H92" s="65" t="str">
        <f>_xlfn.XLOOKUP(SINIESTROS[[#This Row],[ID PÓLIZA]],POLIZAS[ID PÓLIZA],POLIZAS[TIPO DE VEHICULO])</f>
        <v>SUV</v>
      </c>
      <c r="I92" s="70">
        <v>7759483.5483597619</v>
      </c>
      <c r="J92" s="70">
        <v>6984882.3820812535</v>
      </c>
      <c r="K92" s="65" t="s">
        <v>1618</v>
      </c>
      <c r="L92" s="52" t="s">
        <v>1941</v>
      </c>
      <c r="M92" s="65" t="s">
        <v>1957</v>
      </c>
      <c r="N92" s="72">
        <v>5</v>
      </c>
      <c r="O92" s="74" t="s">
        <v>1956</v>
      </c>
    </row>
    <row r="93" spans="1:15" x14ac:dyDescent="0.3">
      <c r="A93" s="64" t="s">
        <v>1724</v>
      </c>
      <c r="B93" s="65" t="s">
        <v>897</v>
      </c>
      <c r="C93" s="62">
        <v>45355</v>
      </c>
      <c r="D93" s="62" t="s">
        <v>1632</v>
      </c>
      <c r="E93" s="62" t="s">
        <v>1935</v>
      </c>
      <c r="F93" s="65" t="s">
        <v>1602</v>
      </c>
      <c r="G93" s="65" t="s">
        <v>1597</v>
      </c>
      <c r="H93" s="65" t="str">
        <f>_xlfn.XLOOKUP(SINIESTROS[[#This Row],[ID PÓLIZA]],POLIZAS[ID PÓLIZA],POLIZAS[TIPO DE VEHICULO])</f>
        <v>Pickup</v>
      </c>
      <c r="I93" s="70">
        <v>1602952.9070629857</v>
      </c>
      <c r="J93" s="70">
        <v>1588009.2379766426</v>
      </c>
      <c r="K93" s="65" t="s">
        <v>1618</v>
      </c>
      <c r="L93" s="52" t="s">
        <v>1941</v>
      </c>
      <c r="M93" s="65" t="s">
        <v>1957</v>
      </c>
      <c r="N93" s="72">
        <v>36</v>
      </c>
      <c r="O93" s="74" t="s">
        <v>1956</v>
      </c>
    </row>
    <row r="94" spans="1:15" x14ac:dyDescent="0.3">
      <c r="A94" s="64" t="s">
        <v>1725</v>
      </c>
      <c r="B94" s="65" t="s">
        <v>1031</v>
      </c>
      <c r="C94" s="62">
        <v>46149</v>
      </c>
      <c r="D94" s="62" t="s">
        <v>1628</v>
      </c>
      <c r="E94" s="62" t="s">
        <v>1935</v>
      </c>
      <c r="F94" s="65" t="s">
        <v>1603</v>
      </c>
      <c r="G94" s="65" t="s">
        <v>1596</v>
      </c>
      <c r="H94" s="65" t="str">
        <f>_xlfn.XLOOKUP(SINIESTROS[[#This Row],[ID PÓLIZA]],POLIZAS[ID PÓLIZA],POLIZAS[TIPO DE VEHICULO])</f>
        <v>SUV</v>
      </c>
      <c r="I94" s="70">
        <v>1683634.9299147497</v>
      </c>
      <c r="J94" s="70">
        <v>0</v>
      </c>
      <c r="K94" s="65" t="s">
        <v>1619</v>
      </c>
      <c r="L94" s="52" t="s">
        <v>1943</v>
      </c>
      <c r="M94" s="65" t="s">
        <v>1955</v>
      </c>
      <c r="N94" s="72">
        <v>12</v>
      </c>
      <c r="O94" s="74" t="s">
        <v>1956</v>
      </c>
    </row>
    <row r="95" spans="1:15" x14ac:dyDescent="0.3">
      <c r="A95" s="64" t="s">
        <v>1726</v>
      </c>
      <c r="B95" s="65" t="s">
        <v>646</v>
      </c>
      <c r="C95" s="62">
        <v>45659</v>
      </c>
      <c r="D95" s="62" t="s">
        <v>1632</v>
      </c>
      <c r="E95" s="62" t="s">
        <v>1936</v>
      </c>
      <c r="F95" s="65" t="s">
        <v>1599</v>
      </c>
      <c r="G95" s="65" t="s">
        <v>1597</v>
      </c>
      <c r="H95" s="65" t="str">
        <f>_xlfn.XLOOKUP(SINIESTROS[[#This Row],[ID PÓLIZA]],POLIZAS[ID PÓLIZA],POLIZAS[TIPO DE VEHICULO])</f>
        <v>Pickup</v>
      </c>
      <c r="I95" s="70">
        <v>12570448.447623614</v>
      </c>
      <c r="J95" s="70">
        <v>0</v>
      </c>
      <c r="K95" s="65" t="s">
        <v>1619</v>
      </c>
      <c r="L95" s="52" t="s">
        <v>1943</v>
      </c>
      <c r="M95" s="65" t="s">
        <v>1955</v>
      </c>
      <c r="N95" s="72">
        <v>12</v>
      </c>
      <c r="O95" s="74" t="s">
        <v>1959</v>
      </c>
    </row>
    <row r="96" spans="1:15" x14ac:dyDescent="0.3">
      <c r="A96" s="64" t="s">
        <v>1727</v>
      </c>
      <c r="B96" s="65" t="s">
        <v>821</v>
      </c>
      <c r="C96" s="62">
        <v>45120</v>
      </c>
      <c r="D96" s="62" t="s">
        <v>1632</v>
      </c>
      <c r="E96" s="62" t="s">
        <v>1935</v>
      </c>
      <c r="F96" s="65" t="s">
        <v>1608</v>
      </c>
      <c r="G96" s="65" t="s">
        <v>1598</v>
      </c>
      <c r="H96" s="65" t="str">
        <f>_xlfn.XLOOKUP(SINIESTROS[[#This Row],[ID PÓLIZA]],POLIZAS[ID PÓLIZA],POLIZAS[TIPO DE VEHICULO])</f>
        <v>Utilitario</v>
      </c>
      <c r="I96" s="70">
        <v>715468.49028492067</v>
      </c>
      <c r="J96" s="70">
        <v>592947.87421875144</v>
      </c>
      <c r="K96" s="65" t="s">
        <v>1618</v>
      </c>
      <c r="L96" s="52" t="s">
        <v>1941</v>
      </c>
      <c r="M96" s="65" t="s">
        <v>1957</v>
      </c>
      <c r="N96" s="72">
        <v>12</v>
      </c>
      <c r="O96" s="74" t="s">
        <v>1956</v>
      </c>
    </row>
    <row r="97" spans="1:15" x14ac:dyDescent="0.3">
      <c r="A97" s="64" t="s">
        <v>1728</v>
      </c>
      <c r="B97" s="65" t="s">
        <v>451</v>
      </c>
      <c r="C97" s="62">
        <v>46234</v>
      </c>
      <c r="D97" s="62" t="s">
        <v>1631</v>
      </c>
      <c r="E97" s="62" t="s">
        <v>1935</v>
      </c>
      <c r="F97" s="65" t="s">
        <v>1608</v>
      </c>
      <c r="G97" s="65" t="s">
        <v>1595</v>
      </c>
      <c r="H97" s="65" t="str">
        <f>_xlfn.XLOOKUP(SINIESTROS[[#This Row],[ID PÓLIZA]],POLIZAS[ID PÓLIZA],POLIZAS[TIPO DE VEHICULO])</f>
        <v>Pickup</v>
      </c>
      <c r="I97" s="70">
        <v>4269580.099089982</v>
      </c>
      <c r="J97" s="70">
        <v>0</v>
      </c>
      <c r="K97" s="65" t="s">
        <v>1618</v>
      </c>
      <c r="L97" s="52" t="s">
        <v>1943</v>
      </c>
      <c r="M97" s="65" t="s">
        <v>1958</v>
      </c>
      <c r="N97" s="72">
        <v>9</v>
      </c>
      <c r="O97" s="74" t="s">
        <v>1956</v>
      </c>
    </row>
    <row r="98" spans="1:15" x14ac:dyDescent="0.3">
      <c r="A98" s="64" t="s">
        <v>1729</v>
      </c>
      <c r="B98" s="65" t="s">
        <v>1189</v>
      </c>
      <c r="C98" s="62">
        <v>44977</v>
      </c>
      <c r="D98" s="62" t="s">
        <v>1628</v>
      </c>
      <c r="E98" s="62" t="s">
        <v>1936</v>
      </c>
      <c r="F98" s="65" t="s">
        <v>1607</v>
      </c>
      <c r="G98" s="65" t="s">
        <v>1597</v>
      </c>
      <c r="H98" s="65" t="str">
        <f>_xlfn.XLOOKUP(SINIESTROS[[#This Row],[ID PÓLIZA]],POLIZAS[ID PÓLIZA],POLIZAS[TIPO DE VEHICULO])</f>
        <v>Auto</v>
      </c>
      <c r="I98" s="70">
        <v>2952253.0401619431</v>
      </c>
      <c r="J98" s="70">
        <v>2679921.8088830342</v>
      </c>
      <c r="K98" s="65" t="s">
        <v>1618</v>
      </c>
      <c r="L98" s="52" t="s">
        <v>1941</v>
      </c>
      <c r="M98" s="65" t="s">
        <v>1957</v>
      </c>
      <c r="N98" s="72">
        <v>44</v>
      </c>
      <c r="O98" s="74" t="s">
        <v>1956</v>
      </c>
    </row>
    <row r="99" spans="1:15" x14ac:dyDescent="0.3">
      <c r="A99" s="64" t="s">
        <v>1730</v>
      </c>
      <c r="B99" s="65" t="s">
        <v>653</v>
      </c>
      <c r="C99" s="62">
        <v>45721</v>
      </c>
      <c r="D99" s="62" t="s">
        <v>1628</v>
      </c>
      <c r="E99" s="62" t="s">
        <v>1937</v>
      </c>
      <c r="F99" s="65" t="s">
        <v>1600</v>
      </c>
      <c r="G99" s="65" t="s">
        <v>1595</v>
      </c>
      <c r="H99" s="65" t="str">
        <f>_xlfn.XLOOKUP(SINIESTROS[[#This Row],[ID PÓLIZA]],POLIZAS[ID PÓLIZA],POLIZAS[TIPO DE VEHICULO])</f>
        <v>Auto</v>
      </c>
      <c r="I99" s="70">
        <v>6350994.7281408114</v>
      </c>
      <c r="J99" s="70">
        <v>0</v>
      </c>
      <c r="K99" s="65" t="s">
        <v>1619</v>
      </c>
      <c r="L99" s="52" t="s">
        <v>1943</v>
      </c>
      <c r="M99" s="65" t="s">
        <v>1955</v>
      </c>
      <c r="N99" s="72">
        <v>23</v>
      </c>
      <c r="O99" s="74" t="s">
        <v>1956</v>
      </c>
    </row>
    <row r="100" spans="1:15" x14ac:dyDescent="0.3">
      <c r="A100" s="64" t="s">
        <v>1731</v>
      </c>
      <c r="B100" s="65" t="s">
        <v>1114</v>
      </c>
      <c r="C100" s="62">
        <v>45473</v>
      </c>
      <c r="D100" s="62" t="s">
        <v>1630</v>
      </c>
      <c r="E100" s="62" t="s">
        <v>1935</v>
      </c>
      <c r="F100" s="65" t="s">
        <v>1600</v>
      </c>
      <c r="G100" s="65" t="s">
        <v>1597</v>
      </c>
      <c r="H100" s="65" t="str">
        <f>_xlfn.XLOOKUP(SINIESTROS[[#This Row],[ID PÓLIZA]],POLIZAS[ID PÓLIZA],POLIZAS[TIPO DE VEHICULO])</f>
        <v>Utilitario</v>
      </c>
      <c r="I100" s="70">
        <v>710263.82343811146</v>
      </c>
      <c r="J100" s="70">
        <v>0</v>
      </c>
      <c r="K100" s="65" t="s">
        <v>1619</v>
      </c>
      <c r="L100" s="52" t="s">
        <v>1943</v>
      </c>
      <c r="M100" s="65" t="s">
        <v>1955</v>
      </c>
      <c r="N100" s="72">
        <v>28</v>
      </c>
      <c r="O100" s="74" t="s">
        <v>1956</v>
      </c>
    </row>
    <row r="101" spans="1:15" x14ac:dyDescent="0.3">
      <c r="A101" s="64" t="s">
        <v>1732</v>
      </c>
      <c r="B101" s="65" t="s">
        <v>1238</v>
      </c>
      <c r="C101" s="62">
        <v>46137</v>
      </c>
      <c r="D101" s="62" t="s">
        <v>1628</v>
      </c>
      <c r="E101" s="62" t="s">
        <v>1937</v>
      </c>
      <c r="F101" s="65" t="s">
        <v>1599</v>
      </c>
      <c r="G101" s="65" t="s">
        <v>1595</v>
      </c>
      <c r="H101" s="65" t="str">
        <f>_xlfn.XLOOKUP(SINIESTROS[[#This Row],[ID PÓLIZA]],POLIZAS[ID PÓLIZA],POLIZAS[TIPO DE VEHICULO])</f>
        <v>Pickup</v>
      </c>
      <c r="I101" s="70">
        <v>18548546.072838586</v>
      </c>
      <c r="J101" s="70">
        <v>0</v>
      </c>
      <c r="K101" s="65" t="s">
        <v>1618</v>
      </c>
      <c r="L101" s="52" t="s">
        <v>1943</v>
      </c>
      <c r="M101" s="65" t="s">
        <v>1958</v>
      </c>
      <c r="N101" s="72">
        <v>25</v>
      </c>
      <c r="O101" s="74" t="s">
        <v>1956</v>
      </c>
    </row>
    <row r="102" spans="1:15" x14ac:dyDescent="0.3">
      <c r="A102" s="64" t="s">
        <v>1733</v>
      </c>
      <c r="B102" s="65" t="s">
        <v>1215</v>
      </c>
      <c r="C102" s="62">
        <v>45960</v>
      </c>
      <c r="D102" s="62" t="s">
        <v>1629</v>
      </c>
      <c r="E102" s="62" t="s">
        <v>1936</v>
      </c>
      <c r="F102" s="65" t="s">
        <v>1599</v>
      </c>
      <c r="G102" s="65" t="s">
        <v>1596</v>
      </c>
      <c r="H102" s="65" t="str">
        <f>_xlfn.XLOOKUP(SINIESTROS[[#This Row],[ID PÓLIZA]],POLIZAS[ID PÓLIZA],POLIZAS[TIPO DE VEHICULO])</f>
        <v>Auto</v>
      </c>
      <c r="I102" s="70">
        <v>6041310.1900057159</v>
      </c>
      <c r="J102" s="70">
        <v>5671285.8606726769</v>
      </c>
      <c r="K102" s="65" t="s">
        <v>1618</v>
      </c>
      <c r="L102" s="52" t="s">
        <v>1941</v>
      </c>
      <c r="M102" s="65" t="s">
        <v>1957</v>
      </c>
      <c r="N102" s="72">
        <v>29</v>
      </c>
      <c r="O102" s="74" t="s">
        <v>1956</v>
      </c>
    </row>
    <row r="103" spans="1:15" x14ac:dyDescent="0.3">
      <c r="A103" s="64" t="s">
        <v>1734</v>
      </c>
      <c r="B103" s="65" t="s">
        <v>1195</v>
      </c>
      <c r="C103" s="62">
        <v>46001</v>
      </c>
      <c r="D103" s="62" t="s">
        <v>1628</v>
      </c>
      <c r="E103" s="62" t="s">
        <v>1937</v>
      </c>
      <c r="F103" s="65" t="s">
        <v>1599</v>
      </c>
      <c r="G103" s="65" t="s">
        <v>1597</v>
      </c>
      <c r="H103" s="65" t="str">
        <f>_xlfn.XLOOKUP(SINIESTROS[[#This Row],[ID PÓLIZA]],POLIZAS[ID PÓLIZA],POLIZAS[TIPO DE VEHICULO])</f>
        <v>Utilitario</v>
      </c>
      <c r="I103" s="70">
        <v>12164785.247554757</v>
      </c>
      <c r="J103" s="70">
        <v>0</v>
      </c>
      <c r="K103" s="65" t="s">
        <v>1619</v>
      </c>
      <c r="L103" s="52" t="s">
        <v>1943</v>
      </c>
      <c r="M103" s="65" t="s">
        <v>1955</v>
      </c>
      <c r="N103" s="72">
        <v>4</v>
      </c>
      <c r="O103" s="74" t="s">
        <v>1956</v>
      </c>
    </row>
    <row r="104" spans="1:15" x14ac:dyDescent="0.3">
      <c r="A104" s="64" t="s">
        <v>1735</v>
      </c>
      <c r="B104" s="65" t="s">
        <v>1079</v>
      </c>
      <c r="C104" s="62">
        <v>45923</v>
      </c>
      <c r="D104" s="62" t="s">
        <v>1629</v>
      </c>
      <c r="E104" s="62" t="s">
        <v>1935</v>
      </c>
      <c r="F104" s="65" t="s">
        <v>1600</v>
      </c>
      <c r="G104" s="65" t="s">
        <v>1598</v>
      </c>
      <c r="H104" s="65" t="str">
        <f>_xlfn.XLOOKUP(SINIESTROS[[#This Row],[ID PÓLIZA]],POLIZAS[ID PÓLIZA],POLIZAS[TIPO DE VEHICULO])</f>
        <v>Utilitario</v>
      </c>
      <c r="I104" s="70">
        <v>1029944.0331968864</v>
      </c>
      <c r="J104" s="70">
        <v>954954.14627022983</v>
      </c>
      <c r="K104" s="65" t="s">
        <v>1618</v>
      </c>
      <c r="L104" s="52" t="s">
        <v>1941</v>
      </c>
      <c r="M104" s="65" t="s">
        <v>1957</v>
      </c>
      <c r="N104" s="72">
        <v>11</v>
      </c>
      <c r="O104" s="74" t="s">
        <v>1956</v>
      </c>
    </row>
    <row r="105" spans="1:15" x14ac:dyDescent="0.3">
      <c r="A105" s="64" t="s">
        <v>1736</v>
      </c>
      <c r="B105" s="65" t="s">
        <v>629</v>
      </c>
      <c r="C105" s="62">
        <v>45296</v>
      </c>
      <c r="D105" s="62" t="s">
        <v>1628</v>
      </c>
      <c r="E105" s="62" t="s">
        <v>1936</v>
      </c>
      <c r="F105" s="65" t="s">
        <v>1602</v>
      </c>
      <c r="G105" s="65" t="s">
        <v>1595</v>
      </c>
      <c r="H105" s="65" t="str">
        <f>_xlfn.XLOOKUP(SINIESTROS[[#This Row],[ID PÓLIZA]],POLIZAS[ID PÓLIZA],POLIZAS[TIPO DE VEHICULO])</f>
        <v>SUV</v>
      </c>
      <c r="I105" s="70">
        <v>7349325.3153409632</v>
      </c>
      <c r="J105" s="70">
        <v>0</v>
      </c>
      <c r="K105" s="65" t="s">
        <v>1619</v>
      </c>
      <c r="L105" s="52" t="s">
        <v>1943</v>
      </c>
      <c r="M105" s="65" t="s">
        <v>1955</v>
      </c>
      <c r="N105" s="72">
        <v>23</v>
      </c>
      <c r="O105" s="74" t="s">
        <v>1956</v>
      </c>
    </row>
    <row r="106" spans="1:15" x14ac:dyDescent="0.3">
      <c r="A106" s="64" t="s">
        <v>1737</v>
      </c>
      <c r="B106" s="65" t="s">
        <v>661</v>
      </c>
      <c r="C106" s="62">
        <v>45126</v>
      </c>
      <c r="D106" s="62" t="s">
        <v>1632</v>
      </c>
      <c r="E106" s="62" t="s">
        <v>1936</v>
      </c>
      <c r="F106" s="65" t="s">
        <v>1602</v>
      </c>
      <c r="G106" s="65" t="s">
        <v>1598</v>
      </c>
      <c r="H106" s="65" t="str">
        <f>_xlfn.XLOOKUP(SINIESTROS[[#This Row],[ID PÓLIZA]],POLIZAS[ID PÓLIZA],POLIZAS[TIPO DE VEHICULO])</f>
        <v>Utilitario</v>
      </c>
      <c r="I106" s="70">
        <v>9125885.1585021522</v>
      </c>
      <c r="J106" s="70">
        <v>0</v>
      </c>
      <c r="K106" s="65" t="s">
        <v>1619</v>
      </c>
      <c r="L106" s="52" t="s">
        <v>1943</v>
      </c>
      <c r="M106" s="65" t="s">
        <v>1955</v>
      </c>
      <c r="N106" s="72">
        <v>4</v>
      </c>
      <c r="O106" s="74" t="s">
        <v>1956</v>
      </c>
    </row>
    <row r="107" spans="1:15" x14ac:dyDescent="0.3">
      <c r="A107" s="64" t="s">
        <v>1738</v>
      </c>
      <c r="B107" s="65" t="s">
        <v>1107</v>
      </c>
      <c r="C107" s="62">
        <v>45965</v>
      </c>
      <c r="D107" s="62" t="s">
        <v>1629</v>
      </c>
      <c r="E107" s="62" t="s">
        <v>1935</v>
      </c>
      <c r="F107" s="65" t="s">
        <v>1605</v>
      </c>
      <c r="G107" s="65" t="s">
        <v>1596</v>
      </c>
      <c r="H107" s="65" t="str">
        <f>_xlfn.XLOOKUP(SINIESTROS[[#This Row],[ID PÓLIZA]],POLIZAS[ID PÓLIZA],POLIZAS[TIPO DE VEHICULO])</f>
        <v>Auto</v>
      </c>
      <c r="I107" s="70">
        <v>2682644.7473858688</v>
      </c>
      <c r="J107" s="70">
        <v>2280206.640641347</v>
      </c>
      <c r="K107" s="65" t="s">
        <v>1618</v>
      </c>
      <c r="L107" s="52" t="s">
        <v>1941</v>
      </c>
      <c r="M107" s="65" t="s">
        <v>1957</v>
      </c>
      <c r="N107" s="72">
        <v>25</v>
      </c>
      <c r="O107" s="74" t="s">
        <v>1956</v>
      </c>
    </row>
    <row r="108" spans="1:15" x14ac:dyDescent="0.3">
      <c r="A108" s="64" t="s">
        <v>1739</v>
      </c>
      <c r="B108" s="65" t="s">
        <v>454</v>
      </c>
      <c r="C108" s="62">
        <v>46090</v>
      </c>
      <c r="D108" s="62" t="s">
        <v>1628</v>
      </c>
      <c r="E108" s="62" t="s">
        <v>1937</v>
      </c>
      <c r="F108" s="65" t="s">
        <v>1603</v>
      </c>
      <c r="G108" s="65" t="s">
        <v>1598</v>
      </c>
      <c r="H108" s="65" t="str">
        <f>_xlfn.XLOOKUP(SINIESTROS[[#This Row],[ID PÓLIZA]],POLIZAS[ID PÓLIZA],POLIZAS[TIPO DE VEHICULO])</f>
        <v>Utilitario</v>
      </c>
      <c r="I108" s="70">
        <v>15352094.636066861</v>
      </c>
      <c r="J108" s="70">
        <v>0</v>
      </c>
      <c r="K108" s="65" t="s">
        <v>1619</v>
      </c>
      <c r="L108" s="52" t="s">
        <v>1943</v>
      </c>
      <c r="M108" s="65" t="s">
        <v>1955</v>
      </c>
      <c r="N108" s="72">
        <v>3</v>
      </c>
      <c r="O108" s="74" t="s">
        <v>1956</v>
      </c>
    </row>
    <row r="109" spans="1:15" x14ac:dyDescent="0.3">
      <c r="A109" s="64" t="s">
        <v>1740</v>
      </c>
      <c r="B109" s="65" t="s">
        <v>550</v>
      </c>
      <c r="C109" s="62">
        <v>45966</v>
      </c>
      <c r="D109" s="62" t="s">
        <v>1628</v>
      </c>
      <c r="E109" s="62" t="s">
        <v>1935</v>
      </c>
      <c r="F109" s="65" t="s">
        <v>1606</v>
      </c>
      <c r="G109" s="65" t="s">
        <v>1597</v>
      </c>
      <c r="H109" s="65" t="str">
        <f>_xlfn.XLOOKUP(SINIESTROS[[#This Row],[ID PÓLIZA]],POLIZAS[ID PÓLIZA],POLIZAS[TIPO DE VEHICULO])</f>
        <v>SUV</v>
      </c>
      <c r="I109" s="70">
        <v>1110686.3733367829</v>
      </c>
      <c r="J109" s="70">
        <v>0</v>
      </c>
      <c r="K109" s="65" t="s">
        <v>1619</v>
      </c>
      <c r="L109" s="52" t="s">
        <v>1943</v>
      </c>
      <c r="M109" s="65" t="s">
        <v>1955</v>
      </c>
      <c r="N109" s="72">
        <v>29</v>
      </c>
      <c r="O109" s="74" t="s">
        <v>1956</v>
      </c>
    </row>
    <row r="110" spans="1:15" x14ac:dyDescent="0.3">
      <c r="A110" s="64" t="s">
        <v>1741</v>
      </c>
      <c r="B110" s="65" t="s">
        <v>627</v>
      </c>
      <c r="C110" s="62">
        <v>45530</v>
      </c>
      <c r="D110" s="62" t="s">
        <v>1628</v>
      </c>
      <c r="E110" s="62" t="s">
        <v>1936</v>
      </c>
      <c r="F110" s="65" t="s">
        <v>1603</v>
      </c>
      <c r="G110" s="65" t="s">
        <v>1596</v>
      </c>
      <c r="H110" s="65" t="str">
        <f>_xlfn.XLOOKUP(SINIESTROS[[#This Row],[ID PÓLIZA]],POLIZAS[ID PÓLIZA],POLIZAS[TIPO DE VEHICULO])</f>
        <v>Pickup</v>
      </c>
      <c r="I110" s="70">
        <v>15213287.056353446</v>
      </c>
      <c r="J110" s="70">
        <v>0</v>
      </c>
      <c r="K110" s="65" t="s">
        <v>1619</v>
      </c>
      <c r="L110" s="52" t="s">
        <v>1943</v>
      </c>
      <c r="M110" s="65" t="s">
        <v>1955</v>
      </c>
      <c r="N110" s="72">
        <v>9</v>
      </c>
      <c r="O110" s="74" t="s">
        <v>1956</v>
      </c>
    </row>
    <row r="111" spans="1:15" x14ac:dyDescent="0.3">
      <c r="A111" s="64" t="s">
        <v>1742</v>
      </c>
      <c r="B111" s="65" t="s">
        <v>982</v>
      </c>
      <c r="C111" s="62">
        <v>45690</v>
      </c>
      <c r="D111" s="62" t="s">
        <v>1630</v>
      </c>
      <c r="E111" s="62" t="s">
        <v>1937</v>
      </c>
      <c r="F111" s="65" t="s">
        <v>1602</v>
      </c>
      <c r="G111" s="65" t="s">
        <v>1597</v>
      </c>
      <c r="H111" s="65" t="str">
        <f>_xlfn.XLOOKUP(SINIESTROS[[#This Row],[ID PÓLIZA]],POLIZAS[ID PÓLIZA],POLIZAS[TIPO DE VEHICULO])</f>
        <v>Pickup</v>
      </c>
      <c r="I111" s="70">
        <v>15800325.203701617</v>
      </c>
      <c r="J111" s="70">
        <v>0</v>
      </c>
      <c r="K111" s="65" t="s">
        <v>1619</v>
      </c>
      <c r="L111" s="52" t="s">
        <v>1943</v>
      </c>
      <c r="M111" s="65" t="s">
        <v>1955</v>
      </c>
      <c r="N111" s="72">
        <v>20</v>
      </c>
      <c r="O111" s="74" t="s">
        <v>1959</v>
      </c>
    </row>
    <row r="112" spans="1:15" x14ac:dyDescent="0.3">
      <c r="A112" s="64" t="s">
        <v>1743</v>
      </c>
      <c r="B112" s="65" t="s">
        <v>950</v>
      </c>
      <c r="C112" s="62">
        <v>46200</v>
      </c>
      <c r="D112" s="62" t="s">
        <v>1632</v>
      </c>
      <c r="E112" s="62" t="s">
        <v>1935</v>
      </c>
      <c r="F112" s="65" t="s">
        <v>1599</v>
      </c>
      <c r="G112" s="65" t="s">
        <v>1597</v>
      </c>
      <c r="H112" s="65" t="str">
        <f>_xlfn.XLOOKUP(SINIESTROS[[#This Row],[ID PÓLIZA]],POLIZAS[ID PÓLIZA],POLIZAS[TIPO DE VEHICULO])</f>
        <v>Pickup</v>
      </c>
      <c r="I112" s="70">
        <v>1027901.8394965471</v>
      </c>
      <c r="J112" s="70">
        <v>970542.12493581488</v>
      </c>
      <c r="K112" s="65" t="s">
        <v>1618</v>
      </c>
      <c r="L112" s="52" t="s">
        <v>1941</v>
      </c>
      <c r="M112" s="65" t="s">
        <v>1957</v>
      </c>
      <c r="N112" s="72">
        <v>22</v>
      </c>
      <c r="O112" s="74" t="s">
        <v>1956</v>
      </c>
    </row>
    <row r="113" spans="1:15" x14ac:dyDescent="0.3">
      <c r="A113" s="64" t="s">
        <v>1744</v>
      </c>
      <c r="B113" s="65" t="s">
        <v>688</v>
      </c>
      <c r="C113" s="62">
        <v>46219</v>
      </c>
      <c r="D113" s="62" t="s">
        <v>1628</v>
      </c>
      <c r="E113" s="62" t="s">
        <v>1936</v>
      </c>
      <c r="F113" s="65" t="s">
        <v>1604</v>
      </c>
      <c r="G113" s="65" t="s">
        <v>1597</v>
      </c>
      <c r="H113" s="65" t="str">
        <f>_xlfn.XLOOKUP(SINIESTROS[[#This Row],[ID PÓLIZA]],POLIZAS[ID PÓLIZA],POLIZAS[TIPO DE VEHICULO])</f>
        <v>SUV</v>
      </c>
      <c r="I113" s="70">
        <v>7216428.3430568203</v>
      </c>
      <c r="J113" s="70">
        <v>6347342.3206012323</v>
      </c>
      <c r="K113" s="65" t="s">
        <v>1618</v>
      </c>
      <c r="L113" s="52" t="s">
        <v>1941</v>
      </c>
      <c r="M113" s="65" t="s">
        <v>1957</v>
      </c>
      <c r="N113" s="72">
        <v>36</v>
      </c>
      <c r="O113" s="74" t="s">
        <v>1956</v>
      </c>
    </row>
    <row r="114" spans="1:15" x14ac:dyDescent="0.3">
      <c r="A114" s="64" t="s">
        <v>1745</v>
      </c>
      <c r="B114" s="65" t="s">
        <v>1131</v>
      </c>
      <c r="C114" s="62">
        <v>45704</v>
      </c>
      <c r="D114" s="62" t="s">
        <v>1628</v>
      </c>
      <c r="E114" s="62" t="s">
        <v>1937</v>
      </c>
      <c r="F114" s="65" t="s">
        <v>1602</v>
      </c>
      <c r="G114" s="65" t="s">
        <v>1596</v>
      </c>
      <c r="H114" s="65" t="str">
        <f>_xlfn.XLOOKUP(SINIESTROS[[#This Row],[ID PÓLIZA]],POLIZAS[ID PÓLIZA],POLIZAS[TIPO DE VEHICULO])</f>
        <v>Auto</v>
      </c>
      <c r="I114" s="70">
        <v>2220294.1723775677</v>
      </c>
      <c r="J114" s="70">
        <v>0</v>
      </c>
      <c r="K114" s="65" t="s">
        <v>1619</v>
      </c>
      <c r="L114" s="52" t="s">
        <v>1943</v>
      </c>
      <c r="M114" s="65" t="s">
        <v>1955</v>
      </c>
      <c r="N114" s="72">
        <v>11</v>
      </c>
      <c r="O114" s="74" t="s">
        <v>1956</v>
      </c>
    </row>
    <row r="115" spans="1:15" x14ac:dyDescent="0.3">
      <c r="A115" s="64" t="s">
        <v>1746</v>
      </c>
      <c r="B115" s="65" t="s">
        <v>335</v>
      </c>
      <c r="C115" s="62">
        <v>45982</v>
      </c>
      <c r="D115" s="62" t="s">
        <v>1629</v>
      </c>
      <c r="E115" s="62" t="s">
        <v>1935</v>
      </c>
      <c r="F115" s="65" t="s">
        <v>1603</v>
      </c>
      <c r="G115" s="65" t="s">
        <v>1596</v>
      </c>
      <c r="H115" s="65" t="str">
        <f>_xlfn.XLOOKUP(SINIESTROS[[#This Row],[ID PÓLIZA]],POLIZAS[ID PÓLIZA],POLIZAS[TIPO DE VEHICULO])</f>
        <v>SUV</v>
      </c>
      <c r="I115" s="70">
        <v>1022626.9113091019</v>
      </c>
      <c r="J115" s="70">
        <v>0</v>
      </c>
      <c r="K115" s="65" t="s">
        <v>1619</v>
      </c>
      <c r="L115" s="52" t="s">
        <v>1943</v>
      </c>
      <c r="M115" s="65" t="s">
        <v>1955</v>
      </c>
      <c r="N115" s="72">
        <v>27</v>
      </c>
      <c r="O115" s="74" t="s">
        <v>1956</v>
      </c>
    </row>
    <row r="116" spans="1:15" x14ac:dyDescent="0.3">
      <c r="A116" s="64" t="s">
        <v>1747</v>
      </c>
      <c r="B116" s="65" t="s">
        <v>971</v>
      </c>
      <c r="C116" s="62">
        <v>45948</v>
      </c>
      <c r="D116" s="62" t="s">
        <v>1630</v>
      </c>
      <c r="E116" s="62" t="s">
        <v>1936</v>
      </c>
      <c r="F116" s="65" t="s">
        <v>1599</v>
      </c>
      <c r="G116" s="65" t="s">
        <v>1595</v>
      </c>
      <c r="H116" s="65" t="str">
        <f>_xlfn.XLOOKUP(SINIESTROS[[#This Row],[ID PÓLIZA]],POLIZAS[ID PÓLIZA],POLIZAS[TIPO DE VEHICULO])</f>
        <v>Pickup</v>
      </c>
      <c r="I116" s="70">
        <v>4557524.5587241519</v>
      </c>
      <c r="J116" s="70">
        <v>0</v>
      </c>
      <c r="K116" s="65" t="s">
        <v>1618</v>
      </c>
      <c r="L116" s="52" t="s">
        <v>1943</v>
      </c>
      <c r="M116" s="65" t="s">
        <v>1958</v>
      </c>
      <c r="N116" s="72">
        <v>26</v>
      </c>
      <c r="O116" s="74" t="s">
        <v>1956</v>
      </c>
    </row>
    <row r="117" spans="1:15" x14ac:dyDescent="0.3">
      <c r="A117" s="64" t="s">
        <v>1748</v>
      </c>
      <c r="B117" s="65" t="s">
        <v>542</v>
      </c>
      <c r="C117" s="62">
        <v>46177</v>
      </c>
      <c r="D117" s="62" t="s">
        <v>1632</v>
      </c>
      <c r="E117" s="62" t="s">
        <v>1936</v>
      </c>
      <c r="F117" s="65" t="s">
        <v>1602</v>
      </c>
      <c r="G117" s="65" t="s">
        <v>1596</v>
      </c>
      <c r="H117" s="65" t="str">
        <f>_xlfn.XLOOKUP(SINIESTROS[[#This Row],[ID PÓLIZA]],POLIZAS[ID PÓLIZA],POLIZAS[TIPO DE VEHICULO])</f>
        <v>Auto</v>
      </c>
      <c r="I117" s="70">
        <v>5203689.6777685201</v>
      </c>
      <c r="J117" s="70">
        <v>4787306.1893731607</v>
      </c>
      <c r="K117" s="65" t="s">
        <v>1618</v>
      </c>
      <c r="L117" s="52" t="s">
        <v>1941</v>
      </c>
      <c r="M117" s="65" t="s">
        <v>1957</v>
      </c>
      <c r="N117" s="72">
        <v>24</v>
      </c>
      <c r="O117" s="74" t="s">
        <v>1956</v>
      </c>
    </row>
    <row r="118" spans="1:15" x14ac:dyDescent="0.3">
      <c r="A118" s="64" t="s">
        <v>1749</v>
      </c>
      <c r="B118" s="65" t="s">
        <v>353</v>
      </c>
      <c r="C118" s="62">
        <v>45835</v>
      </c>
      <c r="D118" s="62" t="s">
        <v>1628</v>
      </c>
      <c r="E118" s="62" t="s">
        <v>1937</v>
      </c>
      <c r="F118" s="65" t="s">
        <v>1607</v>
      </c>
      <c r="G118" s="65" t="s">
        <v>1595</v>
      </c>
      <c r="H118" s="65" t="str">
        <f>_xlfn.XLOOKUP(SINIESTROS[[#This Row],[ID PÓLIZA]],POLIZAS[ID PÓLIZA],POLIZAS[TIPO DE VEHICULO])</f>
        <v>SUV</v>
      </c>
      <c r="I118" s="70">
        <v>11559752.493036585</v>
      </c>
      <c r="J118" s="70">
        <v>0</v>
      </c>
      <c r="K118" s="65" t="s">
        <v>1619</v>
      </c>
      <c r="L118" s="52" t="s">
        <v>1943</v>
      </c>
      <c r="M118" s="65" t="s">
        <v>1955</v>
      </c>
      <c r="N118" s="72">
        <v>21</v>
      </c>
      <c r="O118" s="74" t="s">
        <v>1956</v>
      </c>
    </row>
    <row r="119" spans="1:15" x14ac:dyDescent="0.3">
      <c r="A119" s="64" t="s">
        <v>1750</v>
      </c>
      <c r="B119" s="65" t="s">
        <v>1228</v>
      </c>
      <c r="C119" s="62">
        <v>45772</v>
      </c>
      <c r="D119" s="62" t="s">
        <v>1630</v>
      </c>
      <c r="E119" s="62" t="s">
        <v>1937</v>
      </c>
      <c r="F119" s="65" t="s">
        <v>1601</v>
      </c>
      <c r="G119" s="65" t="s">
        <v>1596</v>
      </c>
      <c r="H119" s="65" t="str">
        <f>_xlfn.XLOOKUP(SINIESTROS[[#This Row],[ID PÓLIZA]],POLIZAS[ID PÓLIZA],POLIZAS[TIPO DE VEHICULO])</f>
        <v>Pickup</v>
      </c>
      <c r="I119" s="70">
        <v>20204042.317165818</v>
      </c>
      <c r="J119" s="70">
        <v>0</v>
      </c>
      <c r="K119" s="65" t="s">
        <v>1619</v>
      </c>
      <c r="L119" s="52" t="s">
        <v>1943</v>
      </c>
      <c r="M119" s="65" t="s">
        <v>1955</v>
      </c>
      <c r="N119" s="72">
        <v>29</v>
      </c>
      <c r="O119" s="74" t="s">
        <v>1956</v>
      </c>
    </row>
    <row r="120" spans="1:15" x14ac:dyDescent="0.3">
      <c r="A120" s="64" t="s">
        <v>1751</v>
      </c>
      <c r="B120" s="65" t="s">
        <v>611</v>
      </c>
      <c r="C120" s="62">
        <v>44942</v>
      </c>
      <c r="D120" s="62" t="s">
        <v>1632</v>
      </c>
      <c r="E120" s="62" t="s">
        <v>1936</v>
      </c>
      <c r="F120" s="65" t="s">
        <v>1601</v>
      </c>
      <c r="G120" s="65" t="s">
        <v>1597</v>
      </c>
      <c r="H120" s="65" t="str">
        <f>_xlfn.XLOOKUP(SINIESTROS[[#This Row],[ID PÓLIZA]],POLIZAS[ID PÓLIZA],POLIZAS[TIPO DE VEHICULO])</f>
        <v>SUV</v>
      </c>
      <c r="I120" s="70">
        <v>15903210.107461568</v>
      </c>
      <c r="J120" s="70">
        <v>15136378.686756501</v>
      </c>
      <c r="K120" s="65" t="s">
        <v>1618</v>
      </c>
      <c r="L120" s="52" t="s">
        <v>1941</v>
      </c>
      <c r="M120" s="65" t="s">
        <v>1957</v>
      </c>
      <c r="N120" s="72">
        <v>26</v>
      </c>
      <c r="O120" s="74" t="s">
        <v>1956</v>
      </c>
    </row>
    <row r="121" spans="1:15" x14ac:dyDescent="0.3">
      <c r="A121" s="64" t="s">
        <v>1752</v>
      </c>
      <c r="B121" s="65" t="s">
        <v>1005</v>
      </c>
      <c r="C121" s="62">
        <v>45464</v>
      </c>
      <c r="D121" s="62" t="s">
        <v>1628</v>
      </c>
      <c r="E121" s="62" t="s">
        <v>1935</v>
      </c>
      <c r="F121" s="65" t="s">
        <v>1602</v>
      </c>
      <c r="G121" s="65" t="s">
        <v>1598</v>
      </c>
      <c r="H121" s="65" t="str">
        <f>_xlfn.XLOOKUP(SINIESTROS[[#This Row],[ID PÓLIZA]],POLIZAS[ID PÓLIZA],POLIZAS[TIPO DE VEHICULO])</f>
        <v>Utilitario</v>
      </c>
      <c r="I121" s="70">
        <v>962321.03990786674</v>
      </c>
      <c r="J121" s="70">
        <v>855819.44741897262</v>
      </c>
      <c r="K121" s="65" t="s">
        <v>1618</v>
      </c>
      <c r="L121" s="52" t="s">
        <v>1941</v>
      </c>
      <c r="M121" s="65" t="s">
        <v>1957</v>
      </c>
      <c r="N121" s="72">
        <v>25</v>
      </c>
      <c r="O121" s="74" t="s">
        <v>1956</v>
      </c>
    </row>
    <row r="122" spans="1:15" x14ac:dyDescent="0.3">
      <c r="A122" s="64" t="s">
        <v>1753</v>
      </c>
      <c r="B122" s="65" t="s">
        <v>800</v>
      </c>
      <c r="C122" s="62">
        <v>46224</v>
      </c>
      <c r="D122" s="62" t="s">
        <v>1628</v>
      </c>
      <c r="E122" s="62" t="s">
        <v>1936</v>
      </c>
      <c r="F122" s="65" t="s">
        <v>1599</v>
      </c>
      <c r="G122" s="65" t="s">
        <v>1598</v>
      </c>
      <c r="H122" s="65" t="str">
        <f>_xlfn.XLOOKUP(SINIESTROS[[#This Row],[ID PÓLIZA]],POLIZAS[ID PÓLIZA],POLIZAS[TIPO DE VEHICULO])</f>
        <v>Utilitario</v>
      </c>
      <c r="I122" s="70">
        <v>10892205.675262704</v>
      </c>
      <c r="J122" s="70">
        <v>10206744.740237242</v>
      </c>
      <c r="K122" s="65" t="s">
        <v>1618</v>
      </c>
      <c r="L122" s="52" t="s">
        <v>1941</v>
      </c>
      <c r="M122" s="65" t="s">
        <v>1957</v>
      </c>
      <c r="N122" s="72">
        <v>19</v>
      </c>
      <c r="O122" s="74" t="s">
        <v>1956</v>
      </c>
    </row>
    <row r="123" spans="1:15" x14ac:dyDescent="0.3">
      <c r="A123" s="64" t="s">
        <v>1754</v>
      </c>
      <c r="B123" s="65" t="s">
        <v>985</v>
      </c>
      <c r="C123" s="62">
        <v>46222</v>
      </c>
      <c r="D123" s="62" t="s">
        <v>1628</v>
      </c>
      <c r="E123" s="62" t="s">
        <v>1937</v>
      </c>
      <c r="F123" s="65" t="s">
        <v>1599</v>
      </c>
      <c r="G123" s="65" t="s">
        <v>1595</v>
      </c>
      <c r="H123" s="65" t="str">
        <f>_xlfn.XLOOKUP(SINIESTROS[[#This Row],[ID PÓLIZA]],POLIZAS[ID PÓLIZA],POLIZAS[TIPO DE VEHICULO])</f>
        <v>SUV</v>
      </c>
      <c r="I123" s="70">
        <v>14205704.390852129</v>
      </c>
      <c r="J123" s="70">
        <v>0</v>
      </c>
      <c r="K123" s="65" t="s">
        <v>1618</v>
      </c>
      <c r="L123" s="52" t="s">
        <v>1943</v>
      </c>
      <c r="M123" s="65" t="s">
        <v>1958</v>
      </c>
      <c r="N123" s="72">
        <v>25</v>
      </c>
      <c r="O123" s="74" t="s">
        <v>1956</v>
      </c>
    </row>
    <row r="124" spans="1:15" x14ac:dyDescent="0.3">
      <c r="A124" s="64" t="s">
        <v>1755</v>
      </c>
      <c r="B124" s="65" t="s">
        <v>691</v>
      </c>
      <c r="C124" s="62">
        <v>45954</v>
      </c>
      <c r="D124" s="62" t="s">
        <v>1629</v>
      </c>
      <c r="E124" s="62" t="s">
        <v>1936</v>
      </c>
      <c r="F124" s="65" t="s">
        <v>1599</v>
      </c>
      <c r="G124" s="65" t="s">
        <v>1596</v>
      </c>
      <c r="H124" s="65" t="str">
        <f>_xlfn.XLOOKUP(SINIESTROS[[#This Row],[ID PÓLIZA]],POLIZAS[ID PÓLIZA],POLIZAS[TIPO DE VEHICULO])</f>
        <v>Utilitario</v>
      </c>
      <c r="I124" s="70">
        <v>5381081.2727360958</v>
      </c>
      <c r="J124" s="70">
        <v>0</v>
      </c>
      <c r="K124" s="65" t="s">
        <v>1619</v>
      </c>
      <c r="L124" s="52" t="s">
        <v>1943</v>
      </c>
      <c r="M124" s="65" t="s">
        <v>1955</v>
      </c>
      <c r="N124" s="72">
        <v>6</v>
      </c>
      <c r="O124" s="74" t="s">
        <v>1956</v>
      </c>
    </row>
    <row r="125" spans="1:15" x14ac:dyDescent="0.3">
      <c r="A125" s="64" t="s">
        <v>1756</v>
      </c>
      <c r="B125" s="65" t="s">
        <v>1242</v>
      </c>
      <c r="C125" s="62">
        <v>45324</v>
      </c>
      <c r="D125" s="62" t="s">
        <v>1628</v>
      </c>
      <c r="E125" s="62" t="s">
        <v>1935</v>
      </c>
      <c r="F125" s="65" t="s">
        <v>1599</v>
      </c>
      <c r="G125" s="65" t="s">
        <v>1598</v>
      </c>
      <c r="H125" s="65" t="str">
        <f>_xlfn.XLOOKUP(SINIESTROS[[#This Row],[ID PÓLIZA]],POLIZAS[ID PÓLIZA],POLIZAS[TIPO DE VEHICULO])</f>
        <v>SUV</v>
      </c>
      <c r="I125" s="70">
        <v>1224669.4873452298</v>
      </c>
      <c r="J125" s="70">
        <v>0</v>
      </c>
      <c r="K125" s="65" t="s">
        <v>1619</v>
      </c>
      <c r="L125" s="52" t="s">
        <v>1943</v>
      </c>
      <c r="M125" s="65" t="s">
        <v>1955</v>
      </c>
      <c r="N125" s="72">
        <v>6</v>
      </c>
      <c r="O125" s="74" t="s">
        <v>1956</v>
      </c>
    </row>
    <row r="126" spans="1:15" x14ac:dyDescent="0.3">
      <c r="A126" s="64" t="s">
        <v>1757</v>
      </c>
      <c r="B126" s="65" t="s">
        <v>1034</v>
      </c>
      <c r="C126" s="62">
        <v>45954</v>
      </c>
      <c r="D126" s="62" t="s">
        <v>1629</v>
      </c>
      <c r="E126" s="62" t="s">
        <v>1935</v>
      </c>
      <c r="F126" s="65" t="s">
        <v>1599</v>
      </c>
      <c r="G126" s="65" t="s">
        <v>1597</v>
      </c>
      <c r="H126" s="65" t="str">
        <f>_xlfn.XLOOKUP(SINIESTROS[[#This Row],[ID PÓLIZA]],POLIZAS[ID PÓLIZA],POLIZAS[TIPO DE VEHICULO])</f>
        <v>Auto</v>
      </c>
      <c r="I126" s="70">
        <v>476830.02281053778</v>
      </c>
      <c r="J126" s="70">
        <v>0</v>
      </c>
      <c r="K126" s="65" t="s">
        <v>1619</v>
      </c>
      <c r="L126" s="52" t="s">
        <v>1943</v>
      </c>
      <c r="M126" s="65" t="s">
        <v>1955</v>
      </c>
      <c r="N126" s="72">
        <v>25</v>
      </c>
      <c r="O126" s="74" t="s">
        <v>1956</v>
      </c>
    </row>
    <row r="127" spans="1:15" x14ac:dyDescent="0.3">
      <c r="A127" s="64" t="s">
        <v>1758</v>
      </c>
      <c r="B127" s="65" t="s">
        <v>961</v>
      </c>
      <c r="C127" s="62">
        <v>45850</v>
      </c>
      <c r="D127" s="62" t="s">
        <v>1628</v>
      </c>
      <c r="E127" s="62" t="s">
        <v>1937</v>
      </c>
      <c r="F127" s="65" t="s">
        <v>1607</v>
      </c>
      <c r="G127" s="65" t="s">
        <v>1598</v>
      </c>
      <c r="H127" s="65" t="str">
        <f>_xlfn.XLOOKUP(SINIESTROS[[#This Row],[ID PÓLIZA]],POLIZAS[ID PÓLIZA],POLIZAS[TIPO DE VEHICULO])</f>
        <v>Auto</v>
      </c>
      <c r="I127" s="70">
        <v>7447544.5418108292</v>
      </c>
      <c r="J127" s="70">
        <v>0</v>
      </c>
      <c r="K127" s="65" t="s">
        <v>1619</v>
      </c>
      <c r="L127" s="52" t="s">
        <v>1943</v>
      </c>
      <c r="M127" s="65" t="s">
        <v>1955</v>
      </c>
      <c r="N127" s="72">
        <v>4</v>
      </c>
      <c r="O127" s="74" t="s">
        <v>1956</v>
      </c>
    </row>
    <row r="128" spans="1:15" x14ac:dyDescent="0.3">
      <c r="A128" s="64" t="s">
        <v>1759</v>
      </c>
      <c r="B128" s="65" t="s">
        <v>693</v>
      </c>
      <c r="C128" s="62">
        <v>45949</v>
      </c>
      <c r="D128" s="62" t="s">
        <v>1628</v>
      </c>
      <c r="E128" s="62" t="s">
        <v>1935</v>
      </c>
      <c r="F128" s="65" t="s">
        <v>1605</v>
      </c>
      <c r="G128" s="65" t="s">
        <v>1597</v>
      </c>
      <c r="H128" s="65" t="str">
        <f>_xlfn.XLOOKUP(SINIESTROS[[#This Row],[ID PÓLIZA]],POLIZAS[ID PÓLIZA],POLIZAS[TIPO DE VEHICULO])</f>
        <v>Pickup</v>
      </c>
      <c r="I128" s="70">
        <v>4984641.0131526049</v>
      </c>
      <c r="J128" s="70">
        <v>4769139.5847112034</v>
      </c>
      <c r="K128" s="65" t="s">
        <v>1618</v>
      </c>
      <c r="L128" s="52" t="s">
        <v>1941</v>
      </c>
      <c r="M128" s="65" t="s">
        <v>1957</v>
      </c>
      <c r="N128" s="72">
        <v>24</v>
      </c>
      <c r="O128" s="74" t="s">
        <v>1956</v>
      </c>
    </row>
    <row r="129" spans="1:15" x14ac:dyDescent="0.3">
      <c r="A129" s="64" t="s">
        <v>1760</v>
      </c>
      <c r="B129" s="65" t="s">
        <v>345</v>
      </c>
      <c r="C129" s="62">
        <v>45518</v>
      </c>
      <c r="D129" s="62" t="s">
        <v>1628</v>
      </c>
      <c r="E129" s="62" t="s">
        <v>1935</v>
      </c>
      <c r="F129" s="65" t="s">
        <v>1600</v>
      </c>
      <c r="G129" s="65" t="s">
        <v>1596</v>
      </c>
      <c r="H129" s="65" t="str">
        <f>_xlfn.XLOOKUP(SINIESTROS[[#This Row],[ID PÓLIZA]],POLIZAS[ID PÓLIZA],POLIZAS[TIPO DE VEHICULO])</f>
        <v>Pickup</v>
      </c>
      <c r="I129" s="70">
        <v>648451.97528202401</v>
      </c>
      <c r="J129" s="70">
        <v>0</v>
      </c>
      <c r="K129" s="65" t="s">
        <v>1619</v>
      </c>
      <c r="L129" s="52" t="s">
        <v>1943</v>
      </c>
      <c r="M129" s="65" t="s">
        <v>1955</v>
      </c>
      <c r="N129" s="72">
        <v>7</v>
      </c>
      <c r="O129" s="74" t="s">
        <v>1956</v>
      </c>
    </row>
    <row r="130" spans="1:15" x14ac:dyDescent="0.3">
      <c r="A130" s="64" t="s">
        <v>1761</v>
      </c>
      <c r="B130" s="65" t="s">
        <v>665</v>
      </c>
      <c r="C130" s="62">
        <v>46202</v>
      </c>
      <c r="D130" s="62" t="s">
        <v>1629</v>
      </c>
      <c r="E130" s="62" t="s">
        <v>1935</v>
      </c>
      <c r="F130" s="65" t="s">
        <v>1599</v>
      </c>
      <c r="G130" s="65" t="s">
        <v>1596</v>
      </c>
      <c r="H130" s="65" t="str">
        <f>_xlfn.XLOOKUP(SINIESTROS[[#This Row],[ID PÓLIZA]],POLIZAS[ID PÓLIZA],POLIZAS[TIPO DE VEHICULO])</f>
        <v>Auto</v>
      </c>
      <c r="I130" s="70">
        <v>2226984.7915866626</v>
      </c>
      <c r="J130" s="70">
        <v>0</v>
      </c>
      <c r="K130" s="65" t="s">
        <v>1619</v>
      </c>
      <c r="L130" s="52" t="s">
        <v>1943</v>
      </c>
      <c r="M130" s="65" t="s">
        <v>1955</v>
      </c>
      <c r="N130" s="72">
        <v>9</v>
      </c>
      <c r="O130" s="74" t="s">
        <v>1956</v>
      </c>
    </row>
    <row r="131" spans="1:15" x14ac:dyDescent="0.3">
      <c r="A131" s="64" t="s">
        <v>1762</v>
      </c>
      <c r="B131" s="65" t="s">
        <v>1076</v>
      </c>
      <c r="C131" s="62">
        <v>45582</v>
      </c>
      <c r="D131" s="62" t="s">
        <v>1629</v>
      </c>
      <c r="E131" s="62" t="s">
        <v>1935</v>
      </c>
      <c r="F131" s="65" t="s">
        <v>1607</v>
      </c>
      <c r="G131" s="65" t="s">
        <v>1598</v>
      </c>
      <c r="H131" s="65" t="str">
        <f>_xlfn.XLOOKUP(SINIESTROS[[#This Row],[ID PÓLIZA]],POLIZAS[ID PÓLIZA],POLIZAS[TIPO DE VEHICULO])</f>
        <v>Utilitario</v>
      </c>
      <c r="I131" s="70">
        <v>3721785.7792716515</v>
      </c>
      <c r="J131" s="70">
        <v>0</v>
      </c>
      <c r="K131" s="65" t="s">
        <v>1618</v>
      </c>
      <c r="L131" s="52" t="s">
        <v>1621</v>
      </c>
      <c r="M131" s="65" t="s">
        <v>1957</v>
      </c>
      <c r="N131" s="72">
        <v>3</v>
      </c>
      <c r="O131" s="74" t="s">
        <v>1956</v>
      </c>
    </row>
    <row r="132" spans="1:15" x14ac:dyDescent="0.3">
      <c r="A132" s="64" t="s">
        <v>1763</v>
      </c>
      <c r="B132" s="65" t="s">
        <v>380</v>
      </c>
      <c r="C132" s="62">
        <v>46170</v>
      </c>
      <c r="D132" s="62" t="s">
        <v>1632</v>
      </c>
      <c r="E132" s="62" t="s">
        <v>1935</v>
      </c>
      <c r="F132" s="65" t="s">
        <v>1601</v>
      </c>
      <c r="G132" s="65" t="s">
        <v>1596</v>
      </c>
      <c r="H132" s="65" t="str">
        <f>_xlfn.XLOOKUP(SINIESTROS[[#This Row],[ID PÓLIZA]],POLIZAS[ID PÓLIZA],POLIZAS[TIPO DE VEHICULO])</f>
        <v>SUV</v>
      </c>
      <c r="I132" s="70">
        <v>1011551.0568068918</v>
      </c>
      <c r="J132" s="70">
        <v>0</v>
      </c>
      <c r="K132" s="65" t="s">
        <v>1619</v>
      </c>
      <c r="L132" s="52" t="s">
        <v>1943</v>
      </c>
      <c r="M132" s="65" t="s">
        <v>1955</v>
      </c>
      <c r="N132" s="72">
        <v>13</v>
      </c>
      <c r="O132" s="74" t="s">
        <v>1956</v>
      </c>
    </row>
    <row r="133" spans="1:15" x14ac:dyDescent="0.3">
      <c r="A133" s="64" t="s">
        <v>1764</v>
      </c>
      <c r="B133" s="65" t="s">
        <v>310</v>
      </c>
      <c r="C133" s="62">
        <v>45031</v>
      </c>
      <c r="D133" s="62" t="s">
        <v>1628</v>
      </c>
      <c r="E133" s="62" t="s">
        <v>1937</v>
      </c>
      <c r="F133" s="65" t="s">
        <v>1601</v>
      </c>
      <c r="G133" s="65" t="s">
        <v>1598</v>
      </c>
      <c r="H133" s="65" t="str">
        <f>_xlfn.XLOOKUP(SINIESTROS[[#This Row],[ID PÓLIZA]],POLIZAS[ID PÓLIZA],POLIZAS[TIPO DE VEHICULO])</f>
        <v>Auto</v>
      </c>
      <c r="I133" s="70">
        <v>9053702.4077769872</v>
      </c>
      <c r="J133" s="70">
        <v>0</v>
      </c>
      <c r="K133" s="65" t="s">
        <v>1619</v>
      </c>
      <c r="L133" s="52" t="s">
        <v>1943</v>
      </c>
      <c r="M133" s="65" t="s">
        <v>1955</v>
      </c>
      <c r="N133" s="72">
        <v>10</v>
      </c>
      <c r="O133" s="74" t="s">
        <v>1956</v>
      </c>
    </row>
    <row r="134" spans="1:15" x14ac:dyDescent="0.3">
      <c r="A134" s="64" t="s">
        <v>1765</v>
      </c>
      <c r="B134" s="65" t="s">
        <v>432</v>
      </c>
      <c r="C134" s="62">
        <v>45863</v>
      </c>
      <c r="D134" s="62" t="s">
        <v>1628</v>
      </c>
      <c r="E134" s="62" t="s">
        <v>1936</v>
      </c>
      <c r="F134" s="65" t="s">
        <v>1608</v>
      </c>
      <c r="G134" s="65" t="s">
        <v>1595</v>
      </c>
      <c r="H134" s="65" t="str">
        <f>_xlfn.XLOOKUP(SINIESTROS[[#This Row],[ID PÓLIZA]],POLIZAS[ID PÓLIZA],POLIZAS[TIPO DE VEHICULO])</f>
        <v>Utilitario</v>
      </c>
      <c r="I134" s="70">
        <v>4226672.9312343029</v>
      </c>
      <c r="J134" s="70">
        <v>0</v>
      </c>
      <c r="K134" s="65" t="s">
        <v>1619</v>
      </c>
      <c r="L134" s="52" t="s">
        <v>1943</v>
      </c>
      <c r="M134" s="65" t="s">
        <v>1955</v>
      </c>
      <c r="N134" s="72">
        <v>13</v>
      </c>
      <c r="O134" s="74" t="s">
        <v>1956</v>
      </c>
    </row>
    <row r="135" spans="1:15" x14ac:dyDescent="0.3">
      <c r="A135" s="64" t="s">
        <v>1766</v>
      </c>
      <c r="B135" s="65" t="s">
        <v>459</v>
      </c>
      <c r="C135" s="62">
        <v>46135</v>
      </c>
      <c r="D135" s="62" t="s">
        <v>1629</v>
      </c>
      <c r="E135" s="62" t="s">
        <v>1936</v>
      </c>
      <c r="F135" s="65" t="s">
        <v>1601</v>
      </c>
      <c r="G135" s="65" t="s">
        <v>1598</v>
      </c>
      <c r="H135" s="65" t="str">
        <f>_xlfn.XLOOKUP(SINIESTROS[[#This Row],[ID PÓLIZA]],POLIZAS[ID PÓLIZA],POLIZAS[TIPO DE VEHICULO])</f>
        <v>Pickup</v>
      </c>
      <c r="I135" s="70">
        <v>9616307.0797456466</v>
      </c>
      <c r="J135" s="70">
        <v>7864232.8039416876</v>
      </c>
      <c r="K135" s="65" t="s">
        <v>1618</v>
      </c>
      <c r="L135" s="52" t="s">
        <v>1941</v>
      </c>
      <c r="M135" s="65" t="s">
        <v>1957</v>
      </c>
      <c r="N135" s="72">
        <v>38</v>
      </c>
      <c r="O135" s="74" t="s">
        <v>1956</v>
      </c>
    </row>
    <row r="136" spans="1:15" x14ac:dyDescent="0.3">
      <c r="A136" s="64" t="s">
        <v>1767</v>
      </c>
      <c r="B136" s="65" t="s">
        <v>1142</v>
      </c>
      <c r="C136" s="62">
        <v>45820</v>
      </c>
      <c r="D136" s="62" t="s">
        <v>1628</v>
      </c>
      <c r="E136" s="62" t="s">
        <v>1936</v>
      </c>
      <c r="F136" s="65" t="s">
        <v>1599</v>
      </c>
      <c r="G136" s="65" t="s">
        <v>1598</v>
      </c>
      <c r="H136" s="65" t="str">
        <f>_xlfn.XLOOKUP(SINIESTROS[[#This Row],[ID PÓLIZA]],POLIZAS[ID PÓLIZA],POLIZAS[TIPO DE VEHICULO])</f>
        <v>SUV</v>
      </c>
      <c r="I136" s="70">
        <v>6847851.9870600784</v>
      </c>
      <c r="J136" s="70">
        <v>6121342.1791032217</v>
      </c>
      <c r="K136" s="65" t="s">
        <v>1618</v>
      </c>
      <c r="L136" s="52" t="s">
        <v>1941</v>
      </c>
      <c r="M136" s="65" t="s">
        <v>1957</v>
      </c>
      <c r="N136" s="72">
        <v>6</v>
      </c>
      <c r="O136" s="74" t="s">
        <v>1956</v>
      </c>
    </row>
    <row r="137" spans="1:15" x14ac:dyDescent="0.3">
      <c r="A137" s="64" t="s">
        <v>1768</v>
      </c>
      <c r="B137" s="65" t="s">
        <v>923</v>
      </c>
      <c r="C137" s="62">
        <v>46008</v>
      </c>
      <c r="D137" s="62" t="s">
        <v>1629</v>
      </c>
      <c r="E137" s="62" t="s">
        <v>1935</v>
      </c>
      <c r="F137" s="65" t="s">
        <v>1606</v>
      </c>
      <c r="G137" s="65" t="s">
        <v>1595</v>
      </c>
      <c r="H137" s="65" t="str">
        <f>_xlfn.XLOOKUP(SINIESTROS[[#This Row],[ID PÓLIZA]],POLIZAS[ID PÓLIZA],POLIZAS[TIPO DE VEHICULO])</f>
        <v>SUV</v>
      </c>
      <c r="I137" s="70">
        <v>3117305.974908167</v>
      </c>
      <c r="J137" s="70">
        <v>0</v>
      </c>
      <c r="K137" s="65" t="s">
        <v>1618</v>
      </c>
      <c r="L137" s="52" t="s">
        <v>1943</v>
      </c>
      <c r="M137" s="65" t="s">
        <v>1958</v>
      </c>
      <c r="N137" s="72">
        <v>7</v>
      </c>
      <c r="O137" s="74" t="s">
        <v>1956</v>
      </c>
    </row>
    <row r="138" spans="1:15" x14ac:dyDescent="0.3">
      <c r="A138" s="64" t="s">
        <v>1769</v>
      </c>
      <c r="B138" s="65" t="s">
        <v>468</v>
      </c>
      <c r="C138" s="62">
        <v>44986</v>
      </c>
      <c r="D138" s="62" t="s">
        <v>1628</v>
      </c>
      <c r="E138" s="62" t="s">
        <v>1935</v>
      </c>
      <c r="F138" s="65" t="s">
        <v>1600</v>
      </c>
      <c r="G138" s="65" t="s">
        <v>1598</v>
      </c>
      <c r="H138" s="65" t="str">
        <f>_xlfn.XLOOKUP(SINIESTROS[[#This Row],[ID PÓLIZA]],POLIZAS[ID PÓLIZA],POLIZAS[TIPO DE VEHICULO])</f>
        <v>Pickup</v>
      </c>
      <c r="I138" s="70">
        <v>962445.71624088008</v>
      </c>
      <c r="J138" s="70">
        <v>879274.37712747022</v>
      </c>
      <c r="K138" s="65" t="s">
        <v>1618</v>
      </c>
      <c r="L138" s="52" t="s">
        <v>1941</v>
      </c>
      <c r="M138" s="65" t="s">
        <v>1957</v>
      </c>
      <c r="N138" s="72">
        <v>43</v>
      </c>
      <c r="O138" s="74" t="s">
        <v>1956</v>
      </c>
    </row>
    <row r="139" spans="1:15" x14ac:dyDescent="0.3">
      <c r="A139" s="64" t="s">
        <v>1770</v>
      </c>
      <c r="B139" s="65" t="s">
        <v>670</v>
      </c>
      <c r="C139" s="62">
        <v>46119</v>
      </c>
      <c r="D139" s="62" t="s">
        <v>1628</v>
      </c>
      <c r="E139" s="62" t="s">
        <v>1935</v>
      </c>
      <c r="F139" s="65" t="s">
        <v>1605</v>
      </c>
      <c r="G139" s="65" t="s">
        <v>1597</v>
      </c>
      <c r="H139" s="65" t="str">
        <f>_xlfn.XLOOKUP(SINIESTROS[[#This Row],[ID PÓLIZA]],POLIZAS[ID PÓLIZA],POLIZAS[TIPO DE VEHICULO])</f>
        <v>Auto</v>
      </c>
      <c r="I139" s="70">
        <v>375419.00944891514</v>
      </c>
      <c r="J139" s="70">
        <v>0</v>
      </c>
      <c r="K139" s="65" t="s">
        <v>1619</v>
      </c>
      <c r="L139" s="52" t="s">
        <v>1943</v>
      </c>
      <c r="M139" s="65" t="s">
        <v>1955</v>
      </c>
      <c r="N139" s="72">
        <v>26</v>
      </c>
      <c r="O139" s="74" t="s">
        <v>1956</v>
      </c>
    </row>
    <row r="140" spans="1:15" x14ac:dyDescent="0.3">
      <c r="A140" s="64" t="s">
        <v>1771</v>
      </c>
      <c r="B140" s="65" t="s">
        <v>1010</v>
      </c>
      <c r="C140" s="62">
        <v>46251</v>
      </c>
      <c r="D140" s="62" t="s">
        <v>1632</v>
      </c>
      <c r="E140" s="62" t="s">
        <v>1935</v>
      </c>
      <c r="F140" s="65" t="s">
        <v>1599</v>
      </c>
      <c r="G140" s="65" t="s">
        <v>1595</v>
      </c>
      <c r="H140" s="65" t="str">
        <f>_xlfn.XLOOKUP(SINIESTROS[[#This Row],[ID PÓLIZA]],POLIZAS[ID PÓLIZA],POLIZAS[TIPO DE VEHICULO])</f>
        <v>Auto</v>
      </c>
      <c r="I140" s="70">
        <v>1699636.3236457959</v>
      </c>
      <c r="J140" s="70">
        <v>0</v>
      </c>
      <c r="K140" s="65" t="s">
        <v>1618</v>
      </c>
      <c r="L140" s="52" t="s">
        <v>1943</v>
      </c>
      <c r="M140" s="65" t="s">
        <v>1958</v>
      </c>
      <c r="N140" s="72">
        <v>4</v>
      </c>
      <c r="O140" s="74" t="s">
        <v>1956</v>
      </c>
    </row>
    <row r="141" spans="1:15" x14ac:dyDescent="0.3">
      <c r="A141" s="64" t="s">
        <v>1772</v>
      </c>
      <c r="B141" s="65" t="s">
        <v>794</v>
      </c>
      <c r="C141" s="62">
        <v>45463</v>
      </c>
      <c r="D141" s="62" t="s">
        <v>1632</v>
      </c>
      <c r="E141" s="62" t="s">
        <v>1935</v>
      </c>
      <c r="F141" s="65" t="s">
        <v>1603</v>
      </c>
      <c r="G141" s="65" t="s">
        <v>1597</v>
      </c>
      <c r="H141" s="65" t="str">
        <f>_xlfn.XLOOKUP(SINIESTROS[[#This Row],[ID PÓLIZA]],POLIZAS[ID PÓLIZA],POLIZAS[TIPO DE VEHICULO])</f>
        <v>SUV</v>
      </c>
      <c r="I141" s="70">
        <v>1840270.3613460942</v>
      </c>
      <c r="J141" s="70">
        <v>1678638.0550994223</v>
      </c>
      <c r="K141" s="65" t="s">
        <v>1618</v>
      </c>
      <c r="L141" s="52" t="s">
        <v>1941</v>
      </c>
      <c r="M141" s="65" t="s">
        <v>1957</v>
      </c>
      <c r="N141" s="72">
        <v>23</v>
      </c>
      <c r="O141" s="74" t="s">
        <v>1956</v>
      </c>
    </row>
    <row r="142" spans="1:15" x14ac:dyDescent="0.3">
      <c r="A142" s="64" t="s">
        <v>1773</v>
      </c>
      <c r="B142" s="65" t="s">
        <v>581</v>
      </c>
      <c r="C142" s="62">
        <v>46214</v>
      </c>
      <c r="D142" s="62" t="s">
        <v>1628</v>
      </c>
      <c r="E142" s="62" t="s">
        <v>1937</v>
      </c>
      <c r="F142" s="65" t="s">
        <v>1607</v>
      </c>
      <c r="G142" s="65" t="s">
        <v>1597</v>
      </c>
      <c r="H142" s="65" t="str">
        <f>_xlfn.XLOOKUP(SINIESTROS[[#This Row],[ID PÓLIZA]],POLIZAS[ID PÓLIZA],POLIZAS[TIPO DE VEHICULO])</f>
        <v>Pickup</v>
      </c>
      <c r="I142" s="70">
        <v>24208913.862990826</v>
      </c>
      <c r="J142" s="70">
        <v>21234334.497532982</v>
      </c>
      <c r="K142" s="65" t="s">
        <v>1618</v>
      </c>
      <c r="L142" s="52" t="s">
        <v>1941</v>
      </c>
      <c r="M142" s="65" t="s">
        <v>1957</v>
      </c>
      <c r="N142" s="72">
        <v>6</v>
      </c>
      <c r="O142" s="74" t="s">
        <v>1956</v>
      </c>
    </row>
    <row r="143" spans="1:15" x14ac:dyDescent="0.3">
      <c r="A143" s="64" t="s">
        <v>1774</v>
      </c>
      <c r="B143" s="65" t="s">
        <v>848</v>
      </c>
      <c r="C143" s="62">
        <v>45655</v>
      </c>
      <c r="D143" s="62" t="s">
        <v>1631</v>
      </c>
      <c r="E143" s="62" t="s">
        <v>1936</v>
      </c>
      <c r="F143" s="65" t="s">
        <v>1599</v>
      </c>
      <c r="G143" s="65" t="s">
        <v>1597</v>
      </c>
      <c r="H143" s="65" t="str">
        <f>_xlfn.XLOOKUP(SINIESTROS[[#This Row],[ID PÓLIZA]],POLIZAS[ID PÓLIZA],POLIZAS[TIPO DE VEHICULO])</f>
        <v>Auto</v>
      </c>
      <c r="I143" s="70">
        <v>6444185.9030808676</v>
      </c>
      <c r="J143" s="70">
        <v>5593875.271713879</v>
      </c>
      <c r="K143" s="65" t="s">
        <v>1618</v>
      </c>
      <c r="L143" s="52" t="s">
        <v>1941</v>
      </c>
      <c r="M143" s="65" t="s">
        <v>1957</v>
      </c>
      <c r="N143" s="72">
        <v>27</v>
      </c>
      <c r="O143" s="74" t="s">
        <v>1956</v>
      </c>
    </row>
    <row r="144" spans="1:15" x14ac:dyDescent="0.3">
      <c r="A144" s="64" t="s">
        <v>1775</v>
      </c>
      <c r="B144" s="65" t="s">
        <v>733</v>
      </c>
      <c r="C144" s="62">
        <v>46107</v>
      </c>
      <c r="D144" s="62" t="s">
        <v>1628</v>
      </c>
      <c r="E144" s="62" t="s">
        <v>1935</v>
      </c>
      <c r="F144" s="65" t="s">
        <v>1599</v>
      </c>
      <c r="G144" s="65" t="s">
        <v>1595</v>
      </c>
      <c r="H144" s="65" t="str">
        <f>_xlfn.XLOOKUP(SINIESTROS[[#This Row],[ID PÓLIZA]],POLIZAS[ID PÓLIZA],POLIZAS[TIPO DE VEHICULO])</f>
        <v>Auto</v>
      </c>
      <c r="I144" s="70">
        <v>1485395.5746803549</v>
      </c>
      <c r="J144" s="70">
        <v>0</v>
      </c>
      <c r="K144" s="65" t="s">
        <v>1619</v>
      </c>
      <c r="L144" s="52" t="s">
        <v>1943</v>
      </c>
      <c r="M144" s="65" t="s">
        <v>1955</v>
      </c>
      <c r="N144" s="72">
        <v>23</v>
      </c>
      <c r="O144" s="74" t="s">
        <v>1956</v>
      </c>
    </row>
    <row r="145" spans="1:15" x14ac:dyDescent="0.3">
      <c r="A145" s="64" t="s">
        <v>1776</v>
      </c>
      <c r="B145" s="65" t="s">
        <v>1025</v>
      </c>
      <c r="C145" s="62">
        <v>45952</v>
      </c>
      <c r="D145" s="62" t="s">
        <v>1632</v>
      </c>
      <c r="E145" s="62" t="s">
        <v>1935</v>
      </c>
      <c r="F145" s="65" t="s">
        <v>1603</v>
      </c>
      <c r="G145" s="65" t="s">
        <v>1597</v>
      </c>
      <c r="H145" s="65" t="str">
        <f>_xlfn.XLOOKUP(SINIESTROS[[#This Row],[ID PÓLIZA]],POLIZAS[ID PÓLIZA],POLIZAS[TIPO DE VEHICULO])</f>
        <v>Pickup</v>
      </c>
      <c r="I145" s="70">
        <v>3767762.6739598764</v>
      </c>
      <c r="J145" s="70">
        <v>0</v>
      </c>
      <c r="K145" s="65" t="s">
        <v>1619</v>
      </c>
      <c r="L145" s="52" t="s">
        <v>1943</v>
      </c>
      <c r="M145" s="65" t="s">
        <v>1955</v>
      </c>
      <c r="N145" s="72">
        <v>14</v>
      </c>
      <c r="O145" s="74" t="s">
        <v>1956</v>
      </c>
    </row>
    <row r="146" spans="1:15" x14ac:dyDescent="0.3">
      <c r="A146" s="64" t="s">
        <v>1777</v>
      </c>
      <c r="B146" s="65" t="s">
        <v>781</v>
      </c>
      <c r="C146" s="62">
        <v>45127</v>
      </c>
      <c r="D146" s="62" t="s">
        <v>1629</v>
      </c>
      <c r="E146" s="62" t="s">
        <v>1935</v>
      </c>
      <c r="F146" s="65" t="s">
        <v>1602</v>
      </c>
      <c r="G146" s="65" t="s">
        <v>1597</v>
      </c>
      <c r="H146" s="65" t="str">
        <f>_xlfn.XLOOKUP(SINIESTROS[[#This Row],[ID PÓLIZA]],POLIZAS[ID PÓLIZA],POLIZAS[TIPO DE VEHICULO])</f>
        <v>Pickup</v>
      </c>
      <c r="I146" s="70">
        <v>1504704.7932508064</v>
      </c>
      <c r="J146" s="70">
        <v>1206896.361460164</v>
      </c>
      <c r="K146" s="65" t="s">
        <v>1618</v>
      </c>
      <c r="L146" s="52" t="s">
        <v>1941</v>
      </c>
      <c r="M146" s="65" t="s">
        <v>1957</v>
      </c>
      <c r="N146" s="72">
        <v>6</v>
      </c>
      <c r="O146" s="74" t="s">
        <v>1956</v>
      </c>
    </row>
    <row r="147" spans="1:15" x14ac:dyDescent="0.3">
      <c r="A147" s="64" t="s">
        <v>1778</v>
      </c>
      <c r="B147" s="65" t="s">
        <v>1106</v>
      </c>
      <c r="C147" s="62">
        <v>46198</v>
      </c>
      <c r="D147" s="62" t="s">
        <v>1629</v>
      </c>
      <c r="E147" s="62" t="s">
        <v>1935</v>
      </c>
      <c r="F147" s="65" t="s">
        <v>1601</v>
      </c>
      <c r="G147" s="65" t="s">
        <v>1596</v>
      </c>
      <c r="H147" s="65" t="str">
        <f>_xlfn.XLOOKUP(SINIESTROS[[#This Row],[ID PÓLIZA]],POLIZAS[ID PÓLIZA],POLIZAS[TIPO DE VEHICULO])</f>
        <v>Utilitario</v>
      </c>
      <c r="I147" s="70">
        <v>3281709.0000019446</v>
      </c>
      <c r="J147" s="70">
        <v>2827956.8902708157</v>
      </c>
      <c r="K147" s="65" t="s">
        <v>1618</v>
      </c>
      <c r="L147" s="52" t="s">
        <v>1941</v>
      </c>
      <c r="M147" s="65" t="s">
        <v>1957</v>
      </c>
      <c r="N147" s="72">
        <v>32</v>
      </c>
      <c r="O147" s="74" t="s">
        <v>1956</v>
      </c>
    </row>
    <row r="148" spans="1:15" x14ac:dyDescent="0.3">
      <c r="A148" s="64" t="s">
        <v>1779</v>
      </c>
      <c r="B148" s="65" t="s">
        <v>1121</v>
      </c>
      <c r="C148" s="62">
        <v>46255</v>
      </c>
      <c r="D148" s="62" t="s">
        <v>1630</v>
      </c>
      <c r="E148" s="62" t="s">
        <v>1935</v>
      </c>
      <c r="F148" s="65" t="s">
        <v>1606</v>
      </c>
      <c r="G148" s="65" t="s">
        <v>1596</v>
      </c>
      <c r="H148" s="65" t="str">
        <f>_xlfn.XLOOKUP(SINIESTROS[[#This Row],[ID PÓLIZA]],POLIZAS[ID PÓLIZA],POLIZAS[TIPO DE VEHICULO])</f>
        <v>Pickup</v>
      </c>
      <c r="I148" s="70">
        <v>1524555.0063496798</v>
      </c>
      <c r="J148" s="70">
        <v>0</v>
      </c>
      <c r="K148" s="65" t="s">
        <v>1619</v>
      </c>
      <c r="L148" s="52" t="s">
        <v>1943</v>
      </c>
      <c r="M148" s="65" t="s">
        <v>1955</v>
      </c>
      <c r="N148" s="72">
        <v>3</v>
      </c>
      <c r="O148" s="74" t="s">
        <v>1956</v>
      </c>
    </row>
    <row r="149" spans="1:15" x14ac:dyDescent="0.3">
      <c r="A149" s="64" t="s">
        <v>1780</v>
      </c>
      <c r="B149" s="65" t="s">
        <v>776</v>
      </c>
      <c r="C149" s="62">
        <v>46145</v>
      </c>
      <c r="D149" s="62" t="s">
        <v>1628</v>
      </c>
      <c r="E149" s="62" t="s">
        <v>1935</v>
      </c>
      <c r="F149" s="65" t="s">
        <v>1600</v>
      </c>
      <c r="G149" s="65" t="s">
        <v>1596</v>
      </c>
      <c r="H149" s="65" t="str">
        <f>_xlfn.XLOOKUP(SINIESTROS[[#This Row],[ID PÓLIZA]],POLIZAS[ID PÓLIZA],POLIZAS[TIPO DE VEHICULO])</f>
        <v>Utilitario</v>
      </c>
      <c r="I149" s="70">
        <v>304298.91759440419</v>
      </c>
      <c r="J149" s="70">
        <v>0</v>
      </c>
      <c r="K149" s="65" t="s">
        <v>1618</v>
      </c>
      <c r="L149" s="52" t="s">
        <v>1943</v>
      </c>
      <c r="M149" s="65" t="s">
        <v>1958</v>
      </c>
      <c r="N149" s="72">
        <v>26</v>
      </c>
      <c r="O149" s="74" t="s">
        <v>1956</v>
      </c>
    </row>
    <row r="150" spans="1:15" x14ac:dyDescent="0.3">
      <c r="A150" s="64" t="s">
        <v>1781</v>
      </c>
      <c r="B150" s="65" t="s">
        <v>783</v>
      </c>
      <c r="C150" s="62">
        <v>45603</v>
      </c>
      <c r="D150" s="62" t="s">
        <v>1629</v>
      </c>
      <c r="E150" s="62" t="s">
        <v>1937</v>
      </c>
      <c r="F150" s="65" t="s">
        <v>1600</v>
      </c>
      <c r="G150" s="65" t="s">
        <v>1596</v>
      </c>
      <c r="H150" s="65" t="str">
        <f>_xlfn.XLOOKUP(SINIESTROS[[#This Row],[ID PÓLIZA]],POLIZAS[ID PÓLIZA],POLIZAS[TIPO DE VEHICULO])</f>
        <v>Utilitario</v>
      </c>
      <c r="I150" s="70">
        <v>9881429.8665855564</v>
      </c>
      <c r="J150" s="70">
        <v>0</v>
      </c>
      <c r="K150" s="65" t="s">
        <v>1619</v>
      </c>
      <c r="L150" s="52" t="s">
        <v>1943</v>
      </c>
      <c r="M150" s="65" t="s">
        <v>1955</v>
      </c>
      <c r="N150" s="72">
        <v>24</v>
      </c>
      <c r="O150" s="74" t="s">
        <v>1956</v>
      </c>
    </row>
    <row r="151" spans="1:15" x14ac:dyDescent="0.3">
      <c r="A151" s="64" t="s">
        <v>1782</v>
      </c>
      <c r="B151" s="65" t="s">
        <v>991</v>
      </c>
      <c r="C151" s="62">
        <v>46183</v>
      </c>
      <c r="D151" s="62" t="s">
        <v>1632</v>
      </c>
      <c r="E151" s="62" t="s">
        <v>1935</v>
      </c>
      <c r="F151" s="65" t="s">
        <v>1608</v>
      </c>
      <c r="G151" s="65" t="s">
        <v>1597</v>
      </c>
      <c r="H151" s="65" t="str">
        <f>_xlfn.XLOOKUP(SINIESTROS[[#This Row],[ID PÓLIZA]],POLIZAS[ID PÓLIZA],POLIZAS[TIPO DE VEHICULO])</f>
        <v>SUV</v>
      </c>
      <c r="I151" s="70">
        <v>1506590.42363552</v>
      </c>
      <c r="J151" s="70">
        <v>1250521.1709519518</v>
      </c>
      <c r="K151" s="65" t="s">
        <v>1618</v>
      </c>
      <c r="L151" s="52" t="s">
        <v>1941</v>
      </c>
      <c r="M151" s="65" t="s">
        <v>1957</v>
      </c>
      <c r="N151" s="72">
        <v>22</v>
      </c>
      <c r="O151" s="74" t="s">
        <v>1956</v>
      </c>
    </row>
    <row r="152" spans="1:15" x14ac:dyDescent="0.3">
      <c r="A152" s="64" t="s">
        <v>1783</v>
      </c>
      <c r="B152" s="65" t="s">
        <v>906</v>
      </c>
      <c r="C152" s="62">
        <v>46028</v>
      </c>
      <c r="D152" s="62" t="s">
        <v>1629</v>
      </c>
      <c r="E152" s="62" t="s">
        <v>1935</v>
      </c>
      <c r="F152" s="65" t="s">
        <v>1606</v>
      </c>
      <c r="G152" s="65" t="s">
        <v>1598</v>
      </c>
      <c r="H152" s="65" t="str">
        <f>_xlfn.XLOOKUP(SINIESTROS[[#This Row],[ID PÓLIZA]],POLIZAS[ID PÓLIZA],POLIZAS[TIPO DE VEHICULO])</f>
        <v>SUV</v>
      </c>
      <c r="I152" s="70">
        <v>1964708.0739317911</v>
      </c>
      <c r="J152" s="70">
        <v>0</v>
      </c>
      <c r="K152" s="65" t="s">
        <v>1619</v>
      </c>
      <c r="L152" s="52" t="s">
        <v>1943</v>
      </c>
      <c r="M152" s="65" t="s">
        <v>1955</v>
      </c>
      <c r="N152" s="72">
        <v>28</v>
      </c>
      <c r="O152" s="74" t="s">
        <v>1956</v>
      </c>
    </row>
    <row r="153" spans="1:15" x14ac:dyDescent="0.3">
      <c r="A153" s="64" t="s">
        <v>1784</v>
      </c>
      <c r="B153" s="65" t="s">
        <v>1258</v>
      </c>
      <c r="C153" s="62">
        <v>46236</v>
      </c>
      <c r="D153" s="62" t="s">
        <v>1628</v>
      </c>
      <c r="E153" s="62" t="s">
        <v>1935</v>
      </c>
      <c r="F153" s="65" t="s">
        <v>1602</v>
      </c>
      <c r="G153" s="65" t="s">
        <v>1596</v>
      </c>
      <c r="H153" s="65" t="str">
        <f>_xlfn.XLOOKUP(SINIESTROS[[#This Row],[ID PÓLIZA]],POLIZAS[ID PÓLIZA],POLIZAS[TIPO DE VEHICULO])</f>
        <v>Pickup</v>
      </c>
      <c r="I153" s="70">
        <v>2890497.9477402745</v>
      </c>
      <c r="J153" s="70">
        <v>0</v>
      </c>
      <c r="K153" s="65" t="s">
        <v>1619</v>
      </c>
      <c r="L153" s="52" t="s">
        <v>1943</v>
      </c>
      <c r="M153" s="65" t="s">
        <v>1955</v>
      </c>
      <c r="N153" s="72">
        <v>22</v>
      </c>
      <c r="O153" s="74" t="s">
        <v>1956</v>
      </c>
    </row>
    <row r="154" spans="1:15" x14ac:dyDescent="0.3">
      <c r="A154" s="64" t="s">
        <v>1785</v>
      </c>
      <c r="B154" s="65" t="s">
        <v>592</v>
      </c>
      <c r="C154" s="62">
        <v>46025</v>
      </c>
      <c r="D154" s="62" t="s">
        <v>1630</v>
      </c>
      <c r="E154" s="62" t="s">
        <v>1936</v>
      </c>
      <c r="F154" s="65" t="s">
        <v>1600</v>
      </c>
      <c r="G154" s="65" t="s">
        <v>1595</v>
      </c>
      <c r="H154" s="65" t="str">
        <f>_xlfn.XLOOKUP(SINIESTROS[[#This Row],[ID PÓLIZA]],POLIZAS[ID PÓLIZA],POLIZAS[TIPO DE VEHICULO])</f>
        <v>Pickup</v>
      </c>
      <c r="I154" s="70">
        <v>10259254.889001533</v>
      </c>
      <c r="J154" s="70">
        <v>0</v>
      </c>
      <c r="K154" s="65" t="s">
        <v>1619</v>
      </c>
      <c r="L154" s="52" t="s">
        <v>1943</v>
      </c>
      <c r="M154" s="65" t="s">
        <v>1955</v>
      </c>
      <c r="N154" s="72">
        <v>12</v>
      </c>
      <c r="O154" s="74" t="s">
        <v>1956</v>
      </c>
    </row>
    <row r="155" spans="1:15" x14ac:dyDescent="0.3">
      <c r="A155" s="64" t="s">
        <v>1786</v>
      </c>
      <c r="B155" s="65" t="s">
        <v>459</v>
      </c>
      <c r="C155" s="62">
        <v>46188</v>
      </c>
      <c r="D155" s="62" t="s">
        <v>1628</v>
      </c>
      <c r="E155" s="62" t="s">
        <v>1935</v>
      </c>
      <c r="F155" s="65" t="s">
        <v>1599</v>
      </c>
      <c r="G155" s="65" t="s">
        <v>1598</v>
      </c>
      <c r="H155" s="65" t="str">
        <f>_xlfn.XLOOKUP(SINIESTROS[[#This Row],[ID PÓLIZA]],POLIZAS[ID PÓLIZA],POLIZAS[TIPO DE VEHICULO])</f>
        <v>Pickup</v>
      </c>
      <c r="I155" s="70">
        <v>3353837.3088857867</v>
      </c>
      <c r="J155" s="70">
        <v>3216753.9261480039</v>
      </c>
      <c r="K155" s="65" t="s">
        <v>1618</v>
      </c>
      <c r="L155" s="52" t="s">
        <v>1941</v>
      </c>
      <c r="M155" s="65" t="s">
        <v>1957</v>
      </c>
      <c r="N155" s="72">
        <v>37</v>
      </c>
      <c r="O155" s="74" t="s">
        <v>1956</v>
      </c>
    </row>
    <row r="156" spans="1:15" x14ac:dyDescent="0.3">
      <c r="A156" s="64" t="s">
        <v>1787</v>
      </c>
      <c r="B156" s="65" t="s">
        <v>974</v>
      </c>
      <c r="C156" s="62">
        <v>46217</v>
      </c>
      <c r="D156" s="62" t="s">
        <v>1629</v>
      </c>
      <c r="E156" s="62" t="s">
        <v>1935</v>
      </c>
      <c r="F156" s="65" t="s">
        <v>1602</v>
      </c>
      <c r="G156" s="65" t="s">
        <v>1598</v>
      </c>
      <c r="H156" s="65" t="str">
        <f>_xlfn.XLOOKUP(SINIESTROS[[#This Row],[ID PÓLIZA]],POLIZAS[ID PÓLIZA],POLIZAS[TIPO DE VEHICULO])</f>
        <v>Pickup</v>
      </c>
      <c r="I156" s="70">
        <v>3696146.9667851562</v>
      </c>
      <c r="J156" s="70">
        <v>3628958.1317022336</v>
      </c>
      <c r="K156" s="65" t="s">
        <v>1618</v>
      </c>
      <c r="L156" s="52" t="s">
        <v>1941</v>
      </c>
      <c r="M156" s="65" t="s">
        <v>1957</v>
      </c>
      <c r="N156" s="72">
        <v>36</v>
      </c>
      <c r="O156" s="74" t="s">
        <v>1956</v>
      </c>
    </row>
    <row r="157" spans="1:15" x14ac:dyDescent="0.3">
      <c r="A157" s="64" t="s">
        <v>1788</v>
      </c>
      <c r="B157" s="65" t="s">
        <v>1112</v>
      </c>
      <c r="C157" s="62">
        <v>44598</v>
      </c>
      <c r="D157" s="62" t="s">
        <v>1629</v>
      </c>
      <c r="E157" s="62" t="s">
        <v>1935</v>
      </c>
      <c r="F157" s="65" t="s">
        <v>1601</v>
      </c>
      <c r="G157" s="65" t="s">
        <v>1596</v>
      </c>
      <c r="H157" s="65" t="str">
        <f>_xlfn.XLOOKUP(SINIESTROS[[#This Row],[ID PÓLIZA]],POLIZAS[ID PÓLIZA],POLIZAS[TIPO DE VEHICULO])</f>
        <v>Utilitario</v>
      </c>
      <c r="I157" s="70">
        <v>1025251.5881086123</v>
      </c>
      <c r="J157" s="70">
        <v>930654.58616940118</v>
      </c>
      <c r="K157" s="65" t="s">
        <v>1618</v>
      </c>
      <c r="L157" s="52" t="s">
        <v>1941</v>
      </c>
      <c r="M157" s="65" t="s">
        <v>1957</v>
      </c>
      <c r="N157" s="72">
        <v>44</v>
      </c>
      <c r="O157" s="74" t="s">
        <v>1956</v>
      </c>
    </row>
    <row r="158" spans="1:15" x14ac:dyDescent="0.3">
      <c r="A158" s="64" t="s">
        <v>1789</v>
      </c>
      <c r="B158" s="65" t="s">
        <v>669</v>
      </c>
      <c r="C158" s="62">
        <v>45215</v>
      </c>
      <c r="D158" s="62" t="s">
        <v>1628</v>
      </c>
      <c r="E158" s="62" t="s">
        <v>1935</v>
      </c>
      <c r="F158" s="65" t="s">
        <v>1599</v>
      </c>
      <c r="G158" s="65" t="s">
        <v>1595</v>
      </c>
      <c r="H158" s="65" t="str">
        <f>_xlfn.XLOOKUP(SINIESTROS[[#This Row],[ID PÓLIZA]],POLIZAS[ID PÓLIZA],POLIZAS[TIPO DE VEHICULO])</f>
        <v>Pickup</v>
      </c>
      <c r="I158" s="70">
        <v>3336615.0364377866</v>
      </c>
      <c r="J158" s="70">
        <v>0</v>
      </c>
      <c r="K158" s="65" t="s">
        <v>1618</v>
      </c>
      <c r="L158" s="52" t="s">
        <v>1943</v>
      </c>
      <c r="M158" s="65" t="s">
        <v>1958</v>
      </c>
      <c r="N158" s="72">
        <v>4</v>
      </c>
      <c r="O158" s="74" t="s">
        <v>1956</v>
      </c>
    </row>
    <row r="159" spans="1:15" x14ac:dyDescent="0.3">
      <c r="A159" s="64" t="s">
        <v>1790</v>
      </c>
      <c r="B159" s="65" t="s">
        <v>854</v>
      </c>
      <c r="C159" s="62">
        <v>45164</v>
      </c>
      <c r="D159" s="62" t="s">
        <v>1632</v>
      </c>
      <c r="E159" s="62" t="s">
        <v>1936</v>
      </c>
      <c r="F159" s="65" t="s">
        <v>1604</v>
      </c>
      <c r="G159" s="65" t="s">
        <v>1598</v>
      </c>
      <c r="H159" s="65" t="str">
        <f>_xlfn.XLOOKUP(SINIESTROS[[#This Row],[ID PÓLIZA]],POLIZAS[ID PÓLIZA],POLIZAS[TIPO DE VEHICULO])</f>
        <v>Utilitario</v>
      </c>
      <c r="I159" s="70">
        <v>7017246.7210111441</v>
      </c>
      <c r="J159" s="70">
        <v>6703292.2886621384</v>
      </c>
      <c r="K159" s="65" t="s">
        <v>1618</v>
      </c>
      <c r="L159" s="52" t="s">
        <v>1941</v>
      </c>
      <c r="M159" s="65" t="s">
        <v>1957</v>
      </c>
      <c r="N159" s="72">
        <v>17</v>
      </c>
      <c r="O159" s="74" t="s">
        <v>1956</v>
      </c>
    </row>
    <row r="160" spans="1:15" x14ac:dyDescent="0.3">
      <c r="A160" s="64" t="s">
        <v>1791</v>
      </c>
      <c r="B160" s="65" t="s">
        <v>939</v>
      </c>
      <c r="C160" s="62">
        <v>45549</v>
      </c>
      <c r="D160" s="62" t="s">
        <v>1628</v>
      </c>
      <c r="E160" s="62" t="s">
        <v>1935</v>
      </c>
      <c r="F160" s="65" t="s">
        <v>1601</v>
      </c>
      <c r="G160" s="65" t="s">
        <v>1596</v>
      </c>
      <c r="H160" s="65" t="str">
        <f>_xlfn.XLOOKUP(SINIESTROS[[#This Row],[ID PÓLIZA]],POLIZAS[ID PÓLIZA],POLIZAS[TIPO DE VEHICULO])</f>
        <v>Utilitario</v>
      </c>
      <c r="I160" s="70">
        <v>570518.57423723198</v>
      </c>
      <c r="J160" s="70">
        <v>0</v>
      </c>
      <c r="K160" s="65" t="s">
        <v>1618</v>
      </c>
      <c r="L160" s="52" t="s">
        <v>1943</v>
      </c>
      <c r="M160" s="65" t="s">
        <v>1958</v>
      </c>
      <c r="N160" s="72">
        <v>3</v>
      </c>
      <c r="O160" s="74" t="s">
        <v>1956</v>
      </c>
    </row>
    <row r="161" spans="1:15" x14ac:dyDescent="0.3">
      <c r="A161" s="64" t="s">
        <v>1792</v>
      </c>
      <c r="B161" s="65" t="s">
        <v>752</v>
      </c>
      <c r="C161" s="62">
        <v>46225</v>
      </c>
      <c r="D161" s="62" t="s">
        <v>1628</v>
      </c>
      <c r="E161" s="62" t="s">
        <v>1936</v>
      </c>
      <c r="F161" s="65" t="s">
        <v>1599</v>
      </c>
      <c r="G161" s="65" t="s">
        <v>1597</v>
      </c>
      <c r="H161" s="65" t="str">
        <f>_xlfn.XLOOKUP(SINIESTROS[[#This Row],[ID PÓLIZA]],POLIZAS[ID PÓLIZA],POLIZAS[TIPO DE VEHICULO])</f>
        <v>SUV</v>
      </c>
      <c r="I161" s="70">
        <v>9769249.6279070862</v>
      </c>
      <c r="J161" s="70">
        <v>0</v>
      </c>
      <c r="K161" s="65" t="s">
        <v>1619</v>
      </c>
      <c r="L161" s="52" t="s">
        <v>1943</v>
      </c>
      <c r="M161" s="65" t="s">
        <v>1955</v>
      </c>
      <c r="N161" s="72">
        <v>28</v>
      </c>
      <c r="O161" s="74" t="s">
        <v>1956</v>
      </c>
    </row>
    <row r="162" spans="1:15" x14ac:dyDescent="0.3">
      <c r="A162" s="64" t="s">
        <v>1793</v>
      </c>
      <c r="B162" s="65" t="s">
        <v>1095</v>
      </c>
      <c r="C162" s="62">
        <v>45825</v>
      </c>
      <c r="D162" s="62" t="s">
        <v>1628</v>
      </c>
      <c r="E162" s="62" t="s">
        <v>1935</v>
      </c>
      <c r="F162" s="65" t="s">
        <v>1601</v>
      </c>
      <c r="G162" s="65" t="s">
        <v>1597</v>
      </c>
      <c r="H162" s="65" t="str">
        <f>_xlfn.XLOOKUP(SINIESTROS[[#This Row],[ID PÓLIZA]],POLIZAS[ID PÓLIZA],POLIZAS[TIPO DE VEHICULO])</f>
        <v>Utilitario</v>
      </c>
      <c r="I162" s="70">
        <v>769436.10367940867</v>
      </c>
      <c r="J162" s="70">
        <v>0</v>
      </c>
      <c r="K162" s="65" t="s">
        <v>1619</v>
      </c>
      <c r="L162" s="52" t="s">
        <v>1943</v>
      </c>
      <c r="M162" s="65" t="s">
        <v>1955</v>
      </c>
      <c r="N162" s="72">
        <v>8</v>
      </c>
      <c r="O162" s="74" t="s">
        <v>1956</v>
      </c>
    </row>
    <row r="163" spans="1:15" x14ac:dyDescent="0.3">
      <c r="A163" s="64" t="s">
        <v>1794</v>
      </c>
      <c r="B163" s="65" t="s">
        <v>1115</v>
      </c>
      <c r="C163" s="62">
        <v>45048</v>
      </c>
      <c r="D163" s="62" t="s">
        <v>1629</v>
      </c>
      <c r="E163" s="62" t="s">
        <v>1936</v>
      </c>
      <c r="F163" s="65" t="s">
        <v>1605</v>
      </c>
      <c r="G163" s="65" t="s">
        <v>1596</v>
      </c>
      <c r="H163" s="65" t="str">
        <f>_xlfn.XLOOKUP(SINIESTROS[[#This Row],[ID PÓLIZA]],POLIZAS[ID PÓLIZA],POLIZAS[TIPO DE VEHICULO])</f>
        <v>Auto</v>
      </c>
      <c r="I163" s="70">
        <v>5107547.7540520206</v>
      </c>
      <c r="J163" s="70">
        <v>4209218.5882189181</v>
      </c>
      <c r="K163" s="65" t="s">
        <v>1618</v>
      </c>
      <c r="L163" s="52" t="s">
        <v>1941</v>
      </c>
      <c r="M163" s="65" t="s">
        <v>1957</v>
      </c>
      <c r="N163" s="72">
        <v>20</v>
      </c>
      <c r="O163" s="74" t="s">
        <v>1956</v>
      </c>
    </row>
    <row r="164" spans="1:15" x14ac:dyDescent="0.3">
      <c r="A164" s="64" t="s">
        <v>1795</v>
      </c>
      <c r="B164" s="65" t="s">
        <v>544</v>
      </c>
      <c r="C164" s="62">
        <v>46026</v>
      </c>
      <c r="D164" s="62" t="s">
        <v>1628</v>
      </c>
      <c r="E164" s="62" t="s">
        <v>1935</v>
      </c>
      <c r="F164" s="65" t="s">
        <v>1602</v>
      </c>
      <c r="G164" s="65" t="s">
        <v>1595</v>
      </c>
      <c r="H164" s="65" t="str">
        <f>_xlfn.XLOOKUP(SINIESTROS[[#This Row],[ID PÓLIZA]],POLIZAS[ID PÓLIZA],POLIZAS[TIPO DE VEHICULO])</f>
        <v>SUV</v>
      </c>
      <c r="I164" s="70">
        <v>954160.91727966326</v>
      </c>
      <c r="J164" s="70">
        <v>0</v>
      </c>
      <c r="K164" s="65" t="s">
        <v>1619</v>
      </c>
      <c r="L164" s="52" t="s">
        <v>1943</v>
      </c>
      <c r="M164" s="65" t="s">
        <v>1955</v>
      </c>
      <c r="N164" s="72">
        <v>15</v>
      </c>
      <c r="O164" s="74" t="s">
        <v>1956</v>
      </c>
    </row>
    <row r="165" spans="1:15" x14ac:dyDescent="0.3">
      <c r="A165" s="64" t="s">
        <v>1796</v>
      </c>
      <c r="B165" s="65" t="s">
        <v>550</v>
      </c>
      <c r="C165" s="62">
        <v>46127</v>
      </c>
      <c r="D165" s="62" t="s">
        <v>1630</v>
      </c>
      <c r="E165" s="62" t="s">
        <v>1935</v>
      </c>
      <c r="F165" s="65" t="s">
        <v>1600</v>
      </c>
      <c r="G165" s="65" t="s">
        <v>1597</v>
      </c>
      <c r="H165" s="65" t="str">
        <f>_xlfn.XLOOKUP(SINIESTROS[[#This Row],[ID PÓLIZA]],POLIZAS[ID PÓLIZA],POLIZAS[TIPO DE VEHICULO])</f>
        <v>SUV</v>
      </c>
      <c r="I165" s="70">
        <v>1428940.9999235598</v>
      </c>
      <c r="J165" s="70">
        <v>0</v>
      </c>
      <c r="K165" s="65" t="s">
        <v>1619</v>
      </c>
      <c r="L165" s="52" t="s">
        <v>1943</v>
      </c>
      <c r="M165" s="65" t="s">
        <v>1955</v>
      </c>
      <c r="N165" s="72">
        <v>27</v>
      </c>
      <c r="O165" s="74" t="s">
        <v>1956</v>
      </c>
    </row>
    <row r="166" spans="1:15" x14ac:dyDescent="0.3">
      <c r="A166" s="64" t="s">
        <v>1797</v>
      </c>
      <c r="B166" s="65" t="s">
        <v>386</v>
      </c>
      <c r="C166" s="62">
        <v>46189</v>
      </c>
      <c r="D166" s="62" t="s">
        <v>1628</v>
      </c>
      <c r="E166" s="62" t="s">
        <v>1935</v>
      </c>
      <c r="F166" s="65" t="s">
        <v>1600</v>
      </c>
      <c r="G166" s="65" t="s">
        <v>1597</v>
      </c>
      <c r="H166" s="65" t="str">
        <f>_xlfn.XLOOKUP(SINIESTROS[[#This Row],[ID PÓLIZA]],POLIZAS[ID PÓLIZA],POLIZAS[TIPO DE VEHICULO])</f>
        <v>SUV</v>
      </c>
      <c r="I166" s="70">
        <v>911525.57156522956</v>
      </c>
      <c r="J166" s="70">
        <v>870685.2771583912</v>
      </c>
      <c r="K166" s="65" t="s">
        <v>1618</v>
      </c>
      <c r="L166" s="52" t="s">
        <v>1941</v>
      </c>
      <c r="M166" s="65" t="s">
        <v>1957</v>
      </c>
      <c r="N166" s="72">
        <v>45</v>
      </c>
      <c r="O166" s="74" t="s">
        <v>1956</v>
      </c>
    </row>
    <row r="167" spans="1:15" x14ac:dyDescent="0.3">
      <c r="A167" s="64" t="s">
        <v>1798</v>
      </c>
      <c r="B167" s="65" t="s">
        <v>1115</v>
      </c>
      <c r="C167" s="62">
        <v>45623</v>
      </c>
      <c r="D167" s="62" t="s">
        <v>1629</v>
      </c>
      <c r="E167" s="62" t="s">
        <v>1936</v>
      </c>
      <c r="F167" s="65" t="s">
        <v>1602</v>
      </c>
      <c r="G167" s="65" t="s">
        <v>1596</v>
      </c>
      <c r="H167" s="65" t="str">
        <f>_xlfn.XLOOKUP(SINIESTROS[[#This Row],[ID PÓLIZA]],POLIZAS[ID PÓLIZA],POLIZAS[TIPO DE VEHICULO])</f>
        <v>Auto</v>
      </c>
      <c r="I167" s="70">
        <v>5646683.8092220938</v>
      </c>
      <c r="J167" s="70">
        <v>0</v>
      </c>
      <c r="K167" s="65" t="s">
        <v>1619</v>
      </c>
      <c r="L167" s="52" t="s">
        <v>1943</v>
      </c>
      <c r="M167" s="65" t="s">
        <v>1955</v>
      </c>
      <c r="N167" s="72">
        <v>20</v>
      </c>
      <c r="O167" s="74" t="s">
        <v>1956</v>
      </c>
    </row>
    <row r="168" spans="1:15" x14ac:dyDescent="0.3">
      <c r="A168" s="64" t="s">
        <v>1799</v>
      </c>
      <c r="B168" s="65" t="s">
        <v>977</v>
      </c>
      <c r="C168" s="62">
        <v>45805</v>
      </c>
      <c r="D168" s="62" t="s">
        <v>1628</v>
      </c>
      <c r="E168" s="62" t="s">
        <v>1935</v>
      </c>
      <c r="F168" s="65" t="s">
        <v>1604</v>
      </c>
      <c r="G168" s="65" t="s">
        <v>1595</v>
      </c>
      <c r="H168" s="65" t="str">
        <f>_xlfn.XLOOKUP(SINIESTROS[[#This Row],[ID PÓLIZA]],POLIZAS[ID PÓLIZA],POLIZAS[TIPO DE VEHICULO])</f>
        <v>Pickup</v>
      </c>
      <c r="I168" s="70">
        <v>730926.18351319176</v>
      </c>
      <c r="J168" s="70">
        <v>0</v>
      </c>
      <c r="K168" s="65" t="s">
        <v>1618</v>
      </c>
      <c r="L168" s="52" t="s">
        <v>1943</v>
      </c>
      <c r="M168" s="65" t="s">
        <v>1958</v>
      </c>
      <c r="N168" s="72">
        <v>20</v>
      </c>
      <c r="O168" s="74" t="s">
        <v>1956</v>
      </c>
    </row>
    <row r="169" spans="1:15" x14ac:dyDescent="0.3">
      <c r="A169" s="64" t="s">
        <v>1800</v>
      </c>
      <c r="B169" s="65" t="s">
        <v>654</v>
      </c>
      <c r="C169" s="62">
        <v>46153</v>
      </c>
      <c r="D169" s="62" t="s">
        <v>1629</v>
      </c>
      <c r="E169" s="62" t="s">
        <v>1935</v>
      </c>
      <c r="F169" s="65" t="s">
        <v>1601</v>
      </c>
      <c r="G169" s="65" t="s">
        <v>1595</v>
      </c>
      <c r="H169" s="65" t="str">
        <f>_xlfn.XLOOKUP(SINIESTROS[[#This Row],[ID PÓLIZA]],POLIZAS[ID PÓLIZA],POLIZAS[TIPO DE VEHICULO])</f>
        <v>Pickup</v>
      </c>
      <c r="I169" s="70">
        <v>699237.68685700255</v>
      </c>
      <c r="J169" s="70">
        <v>0</v>
      </c>
      <c r="K169" s="65" t="s">
        <v>1619</v>
      </c>
      <c r="L169" s="52" t="s">
        <v>1943</v>
      </c>
      <c r="M169" s="65" t="s">
        <v>1955</v>
      </c>
      <c r="N169" s="72">
        <v>28</v>
      </c>
      <c r="O169" s="74" t="s">
        <v>1956</v>
      </c>
    </row>
    <row r="170" spans="1:15" x14ac:dyDescent="0.3">
      <c r="A170" s="64" t="s">
        <v>1801</v>
      </c>
      <c r="B170" s="65" t="s">
        <v>924</v>
      </c>
      <c r="C170" s="62">
        <v>46223</v>
      </c>
      <c r="D170" s="62" t="s">
        <v>1629</v>
      </c>
      <c r="E170" s="62" t="s">
        <v>1936</v>
      </c>
      <c r="F170" s="65" t="s">
        <v>1600</v>
      </c>
      <c r="G170" s="65" t="s">
        <v>1596</v>
      </c>
      <c r="H170" s="65" t="str">
        <f>_xlfn.XLOOKUP(SINIESTROS[[#This Row],[ID PÓLIZA]],POLIZAS[ID PÓLIZA],POLIZAS[TIPO DE VEHICULO])</f>
        <v>SUV</v>
      </c>
      <c r="I170" s="70">
        <v>10860667.861153206</v>
      </c>
      <c r="J170" s="70">
        <v>9482656.5895316992</v>
      </c>
      <c r="K170" s="65" t="s">
        <v>1618</v>
      </c>
      <c r="L170" s="52" t="s">
        <v>1941</v>
      </c>
      <c r="M170" s="65" t="s">
        <v>1957</v>
      </c>
      <c r="N170" s="72">
        <v>41</v>
      </c>
      <c r="O170" s="74" t="s">
        <v>1956</v>
      </c>
    </row>
    <row r="171" spans="1:15" x14ac:dyDescent="0.3">
      <c r="A171" s="64" t="s">
        <v>1802</v>
      </c>
      <c r="B171" s="65" t="s">
        <v>563</v>
      </c>
      <c r="C171" s="62">
        <v>45326</v>
      </c>
      <c r="D171" s="62" t="s">
        <v>1631</v>
      </c>
      <c r="E171" s="62" t="s">
        <v>1937</v>
      </c>
      <c r="F171" s="65" t="s">
        <v>1601</v>
      </c>
      <c r="G171" s="65" t="s">
        <v>1598</v>
      </c>
      <c r="H171" s="65" t="str">
        <f>_xlfn.XLOOKUP(SINIESTROS[[#This Row],[ID PÓLIZA]],POLIZAS[ID PÓLIZA],POLIZAS[TIPO DE VEHICULO])</f>
        <v>Auto</v>
      </c>
      <c r="I171" s="70">
        <v>11746144.265086824</v>
      </c>
      <c r="J171" s="70">
        <v>10620115.816857053</v>
      </c>
      <c r="K171" s="65" t="s">
        <v>1618</v>
      </c>
      <c r="L171" s="52" t="s">
        <v>1941</v>
      </c>
      <c r="M171" s="65" t="s">
        <v>1957</v>
      </c>
      <c r="N171" s="72">
        <v>23</v>
      </c>
      <c r="O171" s="74" t="s">
        <v>1956</v>
      </c>
    </row>
    <row r="172" spans="1:15" x14ac:dyDescent="0.3">
      <c r="A172" s="64" t="s">
        <v>1803</v>
      </c>
      <c r="B172" s="65" t="s">
        <v>734</v>
      </c>
      <c r="C172" s="62">
        <v>46245</v>
      </c>
      <c r="D172" s="62" t="s">
        <v>1628</v>
      </c>
      <c r="E172" s="62" t="s">
        <v>1935</v>
      </c>
      <c r="F172" s="65" t="s">
        <v>1603</v>
      </c>
      <c r="G172" s="65" t="s">
        <v>1596</v>
      </c>
      <c r="H172" s="65" t="str">
        <f>_xlfn.XLOOKUP(SINIESTROS[[#This Row],[ID PÓLIZA]],POLIZAS[ID PÓLIZA],POLIZAS[TIPO DE VEHICULO])</f>
        <v>Auto</v>
      </c>
      <c r="I172" s="70">
        <v>2846801.4393190853</v>
      </c>
      <c r="J172" s="70">
        <v>0</v>
      </c>
      <c r="K172" s="65" t="s">
        <v>1618</v>
      </c>
      <c r="L172" s="52" t="s">
        <v>1943</v>
      </c>
      <c r="M172" s="65" t="s">
        <v>1958</v>
      </c>
      <c r="N172" s="72">
        <v>30</v>
      </c>
      <c r="O172" s="74" t="s">
        <v>1956</v>
      </c>
    </row>
    <row r="173" spans="1:15" x14ac:dyDescent="0.3">
      <c r="A173" s="64" t="s">
        <v>1804</v>
      </c>
      <c r="B173" s="65" t="s">
        <v>1120</v>
      </c>
      <c r="C173" s="62">
        <v>45532</v>
      </c>
      <c r="D173" s="62" t="s">
        <v>1628</v>
      </c>
      <c r="E173" s="62" t="s">
        <v>1935</v>
      </c>
      <c r="F173" s="65" t="s">
        <v>1600</v>
      </c>
      <c r="G173" s="65" t="s">
        <v>1597</v>
      </c>
      <c r="H173" s="65" t="str">
        <f>_xlfn.XLOOKUP(SINIESTROS[[#This Row],[ID PÓLIZA]],POLIZAS[ID PÓLIZA],POLIZAS[TIPO DE VEHICULO])</f>
        <v>Auto</v>
      </c>
      <c r="I173" s="70">
        <v>2335909.8540555793</v>
      </c>
      <c r="J173" s="70">
        <v>0</v>
      </c>
      <c r="K173" s="65" t="s">
        <v>1619</v>
      </c>
      <c r="L173" s="52" t="s">
        <v>1943</v>
      </c>
      <c r="M173" s="65" t="s">
        <v>1955</v>
      </c>
      <c r="N173" s="72">
        <v>19</v>
      </c>
      <c r="O173" s="74" t="s">
        <v>1956</v>
      </c>
    </row>
    <row r="174" spans="1:15" x14ac:dyDescent="0.3">
      <c r="A174" s="64" t="s">
        <v>1805</v>
      </c>
      <c r="B174" s="65" t="s">
        <v>711</v>
      </c>
      <c r="C174" s="62">
        <v>46230</v>
      </c>
      <c r="D174" s="62" t="s">
        <v>1628</v>
      </c>
      <c r="E174" s="62" t="s">
        <v>1936</v>
      </c>
      <c r="F174" s="65" t="s">
        <v>1599</v>
      </c>
      <c r="G174" s="65" t="s">
        <v>1596</v>
      </c>
      <c r="H174" s="65" t="str">
        <f>_xlfn.XLOOKUP(SINIESTROS[[#This Row],[ID PÓLIZA]],POLIZAS[ID PÓLIZA],POLIZAS[TIPO DE VEHICULO])</f>
        <v>Pickup</v>
      </c>
      <c r="I174" s="70">
        <v>7213699.1115256473</v>
      </c>
      <c r="J174" s="70">
        <v>0</v>
      </c>
      <c r="K174" s="65" t="s">
        <v>1618</v>
      </c>
      <c r="L174" s="52" t="s">
        <v>1943</v>
      </c>
      <c r="M174" s="65" t="s">
        <v>1958</v>
      </c>
      <c r="N174" s="72">
        <v>12</v>
      </c>
      <c r="O174" s="74" t="s">
        <v>1956</v>
      </c>
    </row>
    <row r="175" spans="1:15" x14ac:dyDescent="0.3">
      <c r="A175" s="64" t="s">
        <v>1806</v>
      </c>
      <c r="B175" s="65" t="s">
        <v>321</v>
      </c>
      <c r="C175" s="62">
        <v>46166</v>
      </c>
      <c r="D175" s="62" t="s">
        <v>1631</v>
      </c>
      <c r="E175" s="62" t="s">
        <v>1935</v>
      </c>
      <c r="F175" s="65" t="s">
        <v>1608</v>
      </c>
      <c r="G175" s="65" t="s">
        <v>1597</v>
      </c>
      <c r="H175" s="65" t="str">
        <f>_xlfn.XLOOKUP(SINIESTROS[[#This Row],[ID PÓLIZA]],POLIZAS[ID PÓLIZA],POLIZAS[TIPO DE VEHICULO])</f>
        <v>Auto</v>
      </c>
      <c r="I175" s="70">
        <v>2928891.9570621424</v>
      </c>
      <c r="J175" s="70">
        <v>2444049.3003359172</v>
      </c>
      <c r="K175" s="65" t="s">
        <v>1618</v>
      </c>
      <c r="L175" s="52" t="s">
        <v>1941</v>
      </c>
      <c r="M175" s="65" t="s">
        <v>1957</v>
      </c>
      <c r="N175" s="72">
        <v>24</v>
      </c>
      <c r="O175" s="74" t="s">
        <v>1956</v>
      </c>
    </row>
    <row r="176" spans="1:15" x14ac:dyDescent="0.3">
      <c r="A176" s="64" t="s">
        <v>1807</v>
      </c>
      <c r="B176" s="65" t="s">
        <v>807</v>
      </c>
      <c r="C176" s="62">
        <v>46029</v>
      </c>
      <c r="D176" s="62" t="s">
        <v>1631</v>
      </c>
      <c r="E176" s="62" t="s">
        <v>1935</v>
      </c>
      <c r="F176" s="65" t="s">
        <v>1601</v>
      </c>
      <c r="G176" s="65" t="s">
        <v>1595</v>
      </c>
      <c r="H176" s="65" t="str">
        <f>_xlfn.XLOOKUP(SINIESTROS[[#This Row],[ID PÓLIZA]],POLIZAS[ID PÓLIZA],POLIZAS[TIPO DE VEHICULO])</f>
        <v>SUV</v>
      </c>
      <c r="I176" s="70">
        <v>2464621.52868937</v>
      </c>
      <c r="J176" s="70">
        <v>0</v>
      </c>
      <c r="K176" s="65" t="s">
        <v>1618</v>
      </c>
      <c r="L176" s="52" t="s">
        <v>1943</v>
      </c>
      <c r="M176" s="65" t="s">
        <v>1958</v>
      </c>
      <c r="N176" s="72">
        <v>19</v>
      </c>
      <c r="O176" s="74" t="s">
        <v>1956</v>
      </c>
    </row>
    <row r="177" spans="1:15" x14ac:dyDescent="0.3">
      <c r="A177" s="64" t="s">
        <v>1808</v>
      </c>
      <c r="B177" s="65" t="s">
        <v>1061</v>
      </c>
      <c r="C177" s="62">
        <v>46229</v>
      </c>
      <c r="D177" s="62" t="s">
        <v>1628</v>
      </c>
      <c r="E177" s="62" t="s">
        <v>1936</v>
      </c>
      <c r="F177" s="65" t="s">
        <v>1607</v>
      </c>
      <c r="G177" s="65" t="s">
        <v>1596</v>
      </c>
      <c r="H177" s="65" t="str">
        <f>_xlfn.XLOOKUP(SINIESTROS[[#This Row],[ID PÓLIZA]],POLIZAS[ID PÓLIZA],POLIZAS[TIPO DE VEHICULO])</f>
        <v>Pickup</v>
      </c>
      <c r="I177" s="70">
        <v>7178848.6577274501</v>
      </c>
      <c r="J177" s="70">
        <v>0</v>
      </c>
      <c r="K177" s="65" t="s">
        <v>1618</v>
      </c>
      <c r="L177" s="52" t="s">
        <v>1943</v>
      </c>
      <c r="M177" s="65" t="s">
        <v>1958</v>
      </c>
      <c r="N177" s="72">
        <v>5</v>
      </c>
      <c r="O177" s="74" t="s">
        <v>1956</v>
      </c>
    </row>
    <row r="178" spans="1:15" x14ac:dyDescent="0.3">
      <c r="A178" s="64" t="s">
        <v>1809</v>
      </c>
      <c r="B178" s="65" t="s">
        <v>301</v>
      </c>
      <c r="C178" s="62">
        <v>46134</v>
      </c>
      <c r="D178" s="62" t="s">
        <v>1632</v>
      </c>
      <c r="E178" s="62" t="s">
        <v>1935</v>
      </c>
      <c r="F178" s="65" t="s">
        <v>1599</v>
      </c>
      <c r="G178" s="65" t="s">
        <v>1597</v>
      </c>
      <c r="H178" s="65" t="str">
        <f>_xlfn.XLOOKUP(SINIESTROS[[#This Row],[ID PÓLIZA]],POLIZAS[ID PÓLIZA],POLIZAS[TIPO DE VEHICULO])</f>
        <v>Auto</v>
      </c>
      <c r="I178" s="70">
        <v>2101391.5096523119</v>
      </c>
      <c r="J178" s="70">
        <v>1870557.6158348417</v>
      </c>
      <c r="K178" s="65" t="s">
        <v>1618</v>
      </c>
      <c r="L178" s="52" t="s">
        <v>1941</v>
      </c>
      <c r="M178" s="65" t="s">
        <v>1957</v>
      </c>
      <c r="N178" s="72">
        <v>24</v>
      </c>
      <c r="O178" s="74" t="s">
        <v>1956</v>
      </c>
    </row>
    <row r="179" spans="1:15" x14ac:dyDescent="0.3">
      <c r="A179" s="64" t="s">
        <v>1810</v>
      </c>
      <c r="B179" s="65" t="s">
        <v>1197</v>
      </c>
      <c r="C179" s="62">
        <v>45596</v>
      </c>
      <c r="D179" s="62" t="s">
        <v>1629</v>
      </c>
      <c r="E179" s="62" t="s">
        <v>1935</v>
      </c>
      <c r="F179" s="65" t="s">
        <v>1602</v>
      </c>
      <c r="G179" s="65" t="s">
        <v>1597</v>
      </c>
      <c r="H179" s="65" t="str">
        <f>_xlfn.XLOOKUP(SINIESTROS[[#This Row],[ID PÓLIZA]],POLIZAS[ID PÓLIZA],POLIZAS[TIPO DE VEHICULO])</f>
        <v>SUV</v>
      </c>
      <c r="I179" s="70">
        <v>3086480.1117622321</v>
      </c>
      <c r="J179" s="70">
        <v>2667744.6945162285</v>
      </c>
      <c r="K179" s="65" t="s">
        <v>1618</v>
      </c>
      <c r="L179" s="52" t="s">
        <v>1941</v>
      </c>
      <c r="M179" s="65" t="s">
        <v>1957</v>
      </c>
      <c r="N179" s="72">
        <v>10</v>
      </c>
      <c r="O179" s="74" t="s">
        <v>1956</v>
      </c>
    </row>
    <row r="180" spans="1:15" x14ac:dyDescent="0.3">
      <c r="A180" s="64" t="s">
        <v>1811</v>
      </c>
      <c r="B180" s="65" t="s">
        <v>1080</v>
      </c>
      <c r="C180" s="62">
        <v>45848</v>
      </c>
      <c r="D180" s="62" t="s">
        <v>1628</v>
      </c>
      <c r="E180" s="62" t="s">
        <v>1936</v>
      </c>
      <c r="F180" s="65" t="s">
        <v>1601</v>
      </c>
      <c r="G180" s="65" t="s">
        <v>1596</v>
      </c>
      <c r="H180" s="65" t="str">
        <f>_xlfn.XLOOKUP(SINIESTROS[[#This Row],[ID PÓLIZA]],POLIZAS[ID PÓLIZA],POLIZAS[TIPO DE VEHICULO])</f>
        <v>Auto</v>
      </c>
      <c r="I180" s="70">
        <v>3624034.6826857934</v>
      </c>
      <c r="J180" s="70">
        <v>0</v>
      </c>
      <c r="K180" s="65" t="s">
        <v>1619</v>
      </c>
      <c r="L180" s="52" t="s">
        <v>1943</v>
      </c>
      <c r="M180" s="65" t="s">
        <v>1955</v>
      </c>
      <c r="N180" s="72">
        <v>18</v>
      </c>
      <c r="O180" s="74" t="s">
        <v>1956</v>
      </c>
    </row>
    <row r="181" spans="1:15" x14ac:dyDescent="0.3">
      <c r="A181" s="64" t="s">
        <v>1812</v>
      </c>
      <c r="B181" s="65" t="s">
        <v>1205</v>
      </c>
      <c r="C181" s="62">
        <v>46101</v>
      </c>
      <c r="D181" s="62" t="s">
        <v>1628</v>
      </c>
      <c r="E181" s="62" t="s">
        <v>1935</v>
      </c>
      <c r="F181" s="65" t="s">
        <v>1606</v>
      </c>
      <c r="G181" s="65" t="s">
        <v>1598</v>
      </c>
      <c r="H181" s="65" t="str">
        <f>_xlfn.XLOOKUP(SINIESTROS[[#This Row],[ID PÓLIZA]],POLIZAS[ID PÓLIZA],POLIZAS[TIPO DE VEHICULO])</f>
        <v>Utilitario</v>
      </c>
      <c r="I181" s="70">
        <v>2700494.3843244445</v>
      </c>
      <c r="J181" s="70">
        <v>2280678.3438839861</v>
      </c>
      <c r="K181" s="65" t="s">
        <v>1618</v>
      </c>
      <c r="L181" s="52" t="s">
        <v>1941</v>
      </c>
      <c r="M181" s="65" t="s">
        <v>1957</v>
      </c>
      <c r="N181" s="72">
        <v>8</v>
      </c>
      <c r="O181" s="74" t="s">
        <v>1956</v>
      </c>
    </row>
    <row r="182" spans="1:15" x14ac:dyDescent="0.3">
      <c r="A182" s="64" t="s">
        <v>1813</v>
      </c>
      <c r="B182" s="65" t="s">
        <v>741</v>
      </c>
      <c r="C182" s="62">
        <v>46161</v>
      </c>
      <c r="D182" s="62" t="s">
        <v>1628</v>
      </c>
      <c r="E182" s="62" t="s">
        <v>1937</v>
      </c>
      <c r="F182" s="65" t="s">
        <v>1599</v>
      </c>
      <c r="G182" s="65" t="s">
        <v>1598</v>
      </c>
      <c r="H182" s="65" t="str">
        <f>_xlfn.XLOOKUP(SINIESTROS[[#This Row],[ID PÓLIZA]],POLIZAS[ID PÓLIZA],POLIZAS[TIPO DE VEHICULO])</f>
        <v>SUV</v>
      </c>
      <c r="I182" s="70">
        <v>5799114.690247952</v>
      </c>
      <c r="J182" s="70">
        <v>5105090.1608130625</v>
      </c>
      <c r="K182" s="65" t="s">
        <v>1618</v>
      </c>
      <c r="L182" s="52" t="s">
        <v>1941</v>
      </c>
      <c r="M182" s="65" t="s">
        <v>1957</v>
      </c>
      <c r="N182" s="72">
        <v>6</v>
      </c>
      <c r="O182" s="74" t="s">
        <v>1956</v>
      </c>
    </row>
    <row r="183" spans="1:15" x14ac:dyDescent="0.3">
      <c r="A183" s="64" t="s">
        <v>1814</v>
      </c>
      <c r="B183" s="65" t="s">
        <v>714</v>
      </c>
      <c r="C183" s="62">
        <v>45312</v>
      </c>
      <c r="D183" s="62" t="s">
        <v>1628</v>
      </c>
      <c r="E183" s="62" t="s">
        <v>1935</v>
      </c>
      <c r="F183" s="65" t="s">
        <v>1599</v>
      </c>
      <c r="G183" s="65" t="s">
        <v>1598</v>
      </c>
      <c r="H183" s="65" t="str">
        <f>_xlfn.XLOOKUP(SINIESTROS[[#This Row],[ID PÓLIZA]],POLIZAS[ID PÓLIZA],POLIZAS[TIPO DE VEHICULO])</f>
        <v>SUV</v>
      </c>
      <c r="I183" s="70">
        <v>3649298.1261771792</v>
      </c>
      <c r="J183" s="70">
        <v>0</v>
      </c>
      <c r="K183" s="65" t="s">
        <v>1619</v>
      </c>
      <c r="L183" s="52" t="s">
        <v>1943</v>
      </c>
      <c r="M183" s="65" t="s">
        <v>1955</v>
      </c>
      <c r="N183" s="72">
        <v>25</v>
      </c>
      <c r="O183" s="74" t="s">
        <v>1956</v>
      </c>
    </row>
    <row r="184" spans="1:15" x14ac:dyDescent="0.3">
      <c r="A184" s="64" t="s">
        <v>1815</v>
      </c>
      <c r="B184" s="65" t="s">
        <v>557</v>
      </c>
      <c r="C184" s="62">
        <v>46251</v>
      </c>
      <c r="D184" s="62" t="s">
        <v>1629</v>
      </c>
      <c r="E184" s="62" t="s">
        <v>1936</v>
      </c>
      <c r="F184" s="65" t="s">
        <v>1602</v>
      </c>
      <c r="G184" s="65" t="s">
        <v>1596</v>
      </c>
      <c r="H184" s="65" t="str">
        <f>_xlfn.XLOOKUP(SINIESTROS[[#This Row],[ID PÓLIZA]],POLIZAS[ID PÓLIZA],POLIZAS[TIPO DE VEHICULO])</f>
        <v>SUV</v>
      </c>
      <c r="I184" s="70">
        <v>4970265.6042486764</v>
      </c>
      <c r="J184" s="70">
        <v>0</v>
      </c>
      <c r="K184" s="65" t="s">
        <v>1619</v>
      </c>
      <c r="L184" s="52" t="s">
        <v>1943</v>
      </c>
      <c r="M184" s="65" t="s">
        <v>1955</v>
      </c>
      <c r="N184" s="72">
        <v>20</v>
      </c>
      <c r="O184" s="74" t="s">
        <v>1956</v>
      </c>
    </row>
    <row r="185" spans="1:15" x14ac:dyDescent="0.3">
      <c r="A185" s="64" t="s">
        <v>1816</v>
      </c>
      <c r="B185" s="65" t="s">
        <v>1017</v>
      </c>
      <c r="C185" s="62">
        <v>45380</v>
      </c>
      <c r="D185" s="62" t="s">
        <v>1632</v>
      </c>
      <c r="E185" s="62" t="s">
        <v>1938</v>
      </c>
      <c r="F185" s="65" t="s">
        <v>1605</v>
      </c>
      <c r="G185" s="65" t="s">
        <v>1598</v>
      </c>
      <c r="H185" s="65" t="str">
        <f>_xlfn.XLOOKUP(SINIESTROS[[#This Row],[ID PÓLIZA]],POLIZAS[ID PÓLIZA],POLIZAS[TIPO DE VEHICULO])</f>
        <v>SUV</v>
      </c>
      <c r="I185" s="70">
        <v>8379240.1570647554</v>
      </c>
      <c r="J185" s="70">
        <v>0</v>
      </c>
      <c r="K185" s="65" t="s">
        <v>1619</v>
      </c>
      <c r="L185" s="52" t="s">
        <v>1943</v>
      </c>
      <c r="M185" s="65" t="s">
        <v>1955</v>
      </c>
      <c r="N185" s="72">
        <v>19</v>
      </c>
      <c r="O185" s="74" t="s">
        <v>1959</v>
      </c>
    </row>
    <row r="186" spans="1:15" x14ac:dyDescent="0.3">
      <c r="A186" s="64" t="s">
        <v>1817</v>
      </c>
      <c r="B186" s="65" t="s">
        <v>628</v>
      </c>
      <c r="C186" s="62">
        <v>46153</v>
      </c>
      <c r="D186" s="62" t="s">
        <v>1632</v>
      </c>
      <c r="E186" s="62" t="s">
        <v>1935</v>
      </c>
      <c r="F186" s="65" t="s">
        <v>1600</v>
      </c>
      <c r="G186" s="65" t="s">
        <v>1598</v>
      </c>
      <c r="H186" s="65" t="str">
        <f>_xlfn.XLOOKUP(SINIESTROS[[#This Row],[ID PÓLIZA]],POLIZAS[ID PÓLIZA],POLIZAS[TIPO DE VEHICULO])</f>
        <v>SUV</v>
      </c>
      <c r="I186" s="70">
        <v>4098568.2853161502</v>
      </c>
      <c r="J186" s="70">
        <v>0</v>
      </c>
      <c r="K186" s="65" t="s">
        <v>1619</v>
      </c>
      <c r="L186" s="52" t="s">
        <v>1943</v>
      </c>
      <c r="M186" s="65" t="s">
        <v>1955</v>
      </c>
      <c r="N186" s="72">
        <v>24</v>
      </c>
      <c r="O186" s="74" t="s">
        <v>1956</v>
      </c>
    </row>
    <row r="187" spans="1:15" x14ac:dyDescent="0.3">
      <c r="A187" s="64" t="s">
        <v>1818</v>
      </c>
      <c r="B187" s="65" t="s">
        <v>549</v>
      </c>
      <c r="C187" s="62">
        <v>45782</v>
      </c>
      <c r="D187" s="62" t="s">
        <v>1629</v>
      </c>
      <c r="E187" s="62" t="s">
        <v>1936</v>
      </c>
      <c r="F187" s="65" t="s">
        <v>1606</v>
      </c>
      <c r="G187" s="65" t="s">
        <v>1597</v>
      </c>
      <c r="H187" s="65" t="str">
        <f>_xlfn.XLOOKUP(SINIESTROS[[#This Row],[ID PÓLIZA]],POLIZAS[ID PÓLIZA],POLIZAS[TIPO DE VEHICULO])</f>
        <v>SUV</v>
      </c>
      <c r="I187" s="70">
        <v>2530826.7080025976</v>
      </c>
      <c r="J187" s="70">
        <v>0</v>
      </c>
      <c r="K187" s="65" t="s">
        <v>1619</v>
      </c>
      <c r="L187" s="52" t="s">
        <v>1943</v>
      </c>
      <c r="M187" s="65" t="s">
        <v>1955</v>
      </c>
      <c r="N187" s="72">
        <v>16</v>
      </c>
      <c r="O187" s="74" t="s">
        <v>1956</v>
      </c>
    </row>
    <row r="188" spans="1:15" x14ac:dyDescent="0.3">
      <c r="A188" s="64" t="s">
        <v>1819</v>
      </c>
      <c r="B188" s="65" t="s">
        <v>772</v>
      </c>
      <c r="C188" s="62">
        <v>45238</v>
      </c>
      <c r="D188" s="62" t="s">
        <v>1628</v>
      </c>
      <c r="E188" s="62" t="s">
        <v>1935</v>
      </c>
      <c r="F188" s="65" t="s">
        <v>1604</v>
      </c>
      <c r="G188" s="65" t="s">
        <v>1595</v>
      </c>
      <c r="H188" s="65" t="str">
        <f>_xlfn.XLOOKUP(SINIESTROS[[#This Row],[ID PÓLIZA]],POLIZAS[ID PÓLIZA],POLIZAS[TIPO DE VEHICULO])</f>
        <v>Utilitario</v>
      </c>
      <c r="I188" s="70">
        <v>586304.68149145984</v>
      </c>
      <c r="J188" s="70">
        <v>0</v>
      </c>
      <c r="K188" s="65" t="s">
        <v>1619</v>
      </c>
      <c r="L188" s="52" t="s">
        <v>1943</v>
      </c>
      <c r="M188" s="65" t="s">
        <v>1955</v>
      </c>
      <c r="N188" s="72">
        <v>12</v>
      </c>
      <c r="O188" s="74" t="s">
        <v>1956</v>
      </c>
    </row>
    <row r="189" spans="1:15" x14ac:dyDescent="0.3">
      <c r="A189" s="64" t="s">
        <v>1820</v>
      </c>
      <c r="B189" s="65" t="s">
        <v>1031</v>
      </c>
      <c r="C189" s="62">
        <v>45974</v>
      </c>
      <c r="D189" s="62" t="s">
        <v>1632</v>
      </c>
      <c r="E189" s="62" t="s">
        <v>1935</v>
      </c>
      <c r="F189" s="65" t="s">
        <v>1603</v>
      </c>
      <c r="G189" s="65" t="s">
        <v>1596</v>
      </c>
      <c r="H189" s="65" t="str">
        <f>_xlfn.XLOOKUP(SINIESTROS[[#This Row],[ID PÓLIZA]],POLIZAS[ID PÓLIZA],POLIZAS[TIPO DE VEHICULO])</f>
        <v>SUV</v>
      </c>
      <c r="I189" s="70">
        <v>3073255.3156794356</v>
      </c>
      <c r="J189" s="70">
        <v>2921307.5174755752</v>
      </c>
      <c r="K189" s="65" t="s">
        <v>1618</v>
      </c>
      <c r="L189" s="52" t="s">
        <v>1941</v>
      </c>
      <c r="M189" s="65" t="s">
        <v>1957</v>
      </c>
      <c r="N189" s="72">
        <v>36</v>
      </c>
      <c r="O189" s="74" t="s">
        <v>1956</v>
      </c>
    </row>
    <row r="190" spans="1:15" x14ac:dyDescent="0.3">
      <c r="A190" s="64" t="s">
        <v>1821</v>
      </c>
      <c r="B190" s="65" t="s">
        <v>414</v>
      </c>
      <c r="C190" s="62">
        <v>45112</v>
      </c>
      <c r="D190" s="62" t="s">
        <v>1631</v>
      </c>
      <c r="E190" s="62" t="s">
        <v>1936</v>
      </c>
      <c r="F190" s="65" t="s">
        <v>1606</v>
      </c>
      <c r="G190" s="65" t="s">
        <v>1597</v>
      </c>
      <c r="H190" s="65" t="str">
        <f>_xlfn.XLOOKUP(SINIESTROS[[#This Row],[ID PÓLIZA]],POLIZAS[ID PÓLIZA],POLIZAS[TIPO DE VEHICULO])</f>
        <v>Utilitario</v>
      </c>
      <c r="I190" s="70">
        <v>3243082.0732082212</v>
      </c>
      <c r="J190" s="70">
        <v>0</v>
      </c>
      <c r="K190" s="65" t="s">
        <v>1619</v>
      </c>
      <c r="L190" s="52" t="s">
        <v>1943</v>
      </c>
      <c r="M190" s="65" t="s">
        <v>1955</v>
      </c>
      <c r="N190" s="72">
        <v>22</v>
      </c>
      <c r="O190" s="74" t="s">
        <v>1956</v>
      </c>
    </row>
    <row r="191" spans="1:15" x14ac:dyDescent="0.3">
      <c r="A191" s="64" t="s">
        <v>1822</v>
      </c>
      <c r="B191" s="65" t="s">
        <v>344</v>
      </c>
      <c r="C191" s="62">
        <v>45245</v>
      </c>
      <c r="D191" s="62" t="s">
        <v>1628</v>
      </c>
      <c r="E191" s="62" t="s">
        <v>1936</v>
      </c>
      <c r="F191" s="65" t="s">
        <v>1599</v>
      </c>
      <c r="G191" s="65" t="s">
        <v>1598</v>
      </c>
      <c r="H191" s="65" t="str">
        <f>_xlfn.XLOOKUP(SINIESTROS[[#This Row],[ID PÓLIZA]],POLIZAS[ID PÓLIZA],POLIZAS[TIPO DE VEHICULO])</f>
        <v>SUV</v>
      </c>
      <c r="I191" s="70">
        <v>10403954.55064874</v>
      </c>
      <c r="J191" s="70">
        <v>8486248.3868217655</v>
      </c>
      <c r="K191" s="65" t="s">
        <v>1618</v>
      </c>
      <c r="L191" s="52" t="s">
        <v>1941</v>
      </c>
      <c r="M191" s="65" t="s">
        <v>1957</v>
      </c>
      <c r="N191" s="72">
        <v>9</v>
      </c>
      <c r="O191" s="74" t="s">
        <v>1956</v>
      </c>
    </row>
    <row r="192" spans="1:15" x14ac:dyDescent="0.3">
      <c r="A192" s="64" t="s">
        <v>1823</v>
      </c>
      <c r="B192" s="65" t="s">
        <v>1032</v>
      </c>
      <c r="C192" s="62">
        <v>46122</v>
      </c>
      <c r="D192" s="62" t="s">
        <v>1632</v>
      </c>
      <c r="E192" s="62" t="s">
        <v>1935</v>
      </c>
      <c r="F192" s="65" t="s">
        <v>1599</v>
      </c>
      <c r="G192" s="65" t="s">
        <v>1595</v>
      </c>
      <c r="H192" s="65" t="str">
        <f>_xlfn.XLOOKUP(SINIESTROS[[#This Row],[ID PÓLIZA]],POLIZAS[ID PÓLIZA],POLIZAS[TIPO DE VEHICULO])</f>
        <v>Auto</v>
      </c>
      <c r="I192" s="70">
        <v>133491.7777960875</v>
      </c>
      <c r="J192" s="70">
        <v>0</v>
      </c>
      <c r="K192" s="65" t="s">
        <v>1618</v>
      </c>
      <c r="L192" s="52" t="s">
        <v>1943</v>
      </c>
      <c r="M192" s="65" t="s">
        <v>1958</v>
      </c>
      <c r="N192" s="72">
        <v>10</v>
      </c>
      <c r="O192" s="74" t="s">
        <v>1956</v>
      </c>
    </row>
    <row r="193" spans="1:15" x14ac:dyDescent="0.3">
      <c r="A193" s="64" t="s">
        <v>1824</v>
      </c>
      <c r="B193" s="65" t="s">
        <v>1248</v>
      </c>
      <c r="C193" s="62">
        <v>44644</v>
      </c>
      <c r="D193" s="62" t="s">
        <v>1628</v>
      </c>
      <c r="E193" s="62" t="s">
        <v>1935</v>
      </c>
      <c r="F193" s="65" t="s">
        <v>1600</v>
      </c>
      <c r="G193" s="65" t="s">
        <v>1597</v>
      </c>
      <c r="H193" s="65" t="str">
        <f>_xlfn.XLOOKUP(SINIESTROS[[#This Row],[ID PÓLIZA]],POLIZAS[ID PÓLIZA],POLIZAS[TIPO DE VEHICULO])</f>
        <v>Pickup</v>
      </c>
      <c r="I193" s="70">
        <v>3256006.8304918553</v>
      </c>
      <c r="J193" s="70">
        <v>0</v>
      </c>
      <c r="K193" s="65" t="s">
        <v>1618</v>
      </c>
      <c r="L193" s="52" t="s">
        <v>1943</v>
      </c>
      <c r="M193" s="65" t="s">
        <v>1957</v>
      </c>
      <c r="N193" s="72">
        <v>18</v>
      </c>
      <c r="O193" s="74" t="s">
        <v>1956</v>
      </c>
    </row>
    <row r="194" spans="1:15" x14ac:dyDescent="0.3">
      <c r="A194" s="64" t="s">
        <v>1825</v>
      </c>
      <c r="B194" s="65" t="s">
        <v>776</v>
      </c>
      <c r="C194" s="62">
        <v>46118</v>
      </c>
      <c r="D194" s="62" t="s">
        <v>1629</v>
      </c>
      <c r="E194" s="62" t="s">
        <v>1935</v>
      </c>
      <c r="F194" s="65" t="s">
        <v>1599</v>
      </c>
      <c r="G194" s="65" t="s">
        <v>1596</v>
      </c>
      <c r="H194" s="65" t="str">
        <f>_xlfn.XLOOKUP(SINIESTROS[[#This Row],[ID PÓLIZA]],POLIZAS[ID PÓLIZA],POLIZAS[TIPO DE VEHICULO])</f>
        <v>Utilitario</v>
      </c>
      <c r="I194" s="70">
        <v>717940.15787107439</v>
      </c>
      <c r="J194" s="70">
        <v>642176.53605446406</v>
      </c>
      <c r="K194" s="65" t="s">
        <v>1618</v>
      </c>
      <c r="L194" s="52" t="s">
        <v>1941</v>
      </c>
      <c r="M194" s="65" t="s">
        <v>1957</v>
      </c>
      <c r="N194" s="72">
        <v>31</v>
      </c>
      <c r="O194" s="74" t="s">
        <v>1956</v>
      </c>
    </row>
    <row r="195" spans="1:15" x14ac:dyDescent="0.3">
      <c r="A195" s="64" t="s">
        <v>1826</v>
      </c>
      <c r="B195" s="65" t="s">
        <v>724</v>
      </c>
      <c r="C195" s="62">
        <v>46002</v>
      </c>
      <c r="D195" s="62" t="s">
        <v>1628</v>
      </c>
      <c r="E195" s="62" t="s">
        <v>1938</v>
      </c>
      <c r="F195" s="65" t="s">
        <v>1599</v>
      </c>
      <c r="G195" s="65" t="s">
        <v>1597</v>
      </c>
      <c r="H195" s="65" t="str">
        <f>_xlfn.XLOOKUP(SINIESTROS[[#This Row],[ID PÓLIZA]],POLIZAS[ID PÓLIZA],POLIZAS[TIPO DE VEHICULO])</f>
        <v>Pickup</v>
      </c>
      <c r="I195" s="70">
        <v>22290951.828432139</v>
      </c>
      <c r="J195" s="70">
        <v>19625949.56698136</v>
      </c>
      <c r="K195" s="65" t="s">
        <v>1618</v>
      </c>
      <c r="L195" s="52" t="s">
        <v>1941</v>
      </c>
      <c r="M195" s="65" t="s">
        <v>1957</v>
      </c>
      <c r="N195" s="72">
        <v>30</v>
      </c>
      <c r="O195" s="74" t="s">
        <v>1956</v>
      </c>
    </row>
    <row r="196" spans="1:15" x14ac:dyDescent="0.3">
      <c r="A196" s="64" t="s">
        <v>1827</v>
      </c>
      <c r="B196" s="65" t="s">
        <v>362</v>
      </c>
      <c r="C196" s="62">
        <v>45317</v>
      </c>
      <c r="D196" s="62" t="s">
        <v>1630</v>
      </c>
      <c r="E196" s="62" t="s">
        <v>1935</v>
      </c>
      <c r="F196" s="65" t="s">
        <v>1604</v>
      </c>
      <c r="G196" s="65" t="s">
        <v>1597</v>
      </c>
      <c r="H196" s="65" t="str">
        <f>_xlfn.XLOOKUP(SINIESTROS[[#This Row],[ID PÓLIZA]],POLIZAS[ID PÓLIZA],POLIZAS[TIPO DE VEHICULO])</f>
        <v>Utilitario</v>
      </c>
      <c r="I196" s="70">
        <v>1858002.375322473</v>
      </c>
      <c r="J196" s="70">
        <v>1816319.9960490852</v>
      </c>
      <c r="K196" s="65" t="s">
        <v>1618</v>
      </c>
      <c r="L196" s="52" t="s">
        <v>1941</v>
      </c>
      <c r="M196" s="65" t="s">
        <v>1957</v>
      </c>
      <c r="N196" s="72">
        <v>24</v>
      </c>
      <c r="O196" s="74" t="s">
        <v>1956</v>
      </c>
    </row>
    <row r="197" spans="1:15" x14ac:dyDescent="0.3">
      <c r="A197" s="64" t="s">
        <v>1828</v>
      </c>
      <c r="B197" s="65" t="s">
        <v>778</v>
      </c>
      <c r="C197" s="62">
        <v>45851</v>
      </c>
      <c r="D197" s="62" t="s">
        <v>1630</v>
      </c>
      <c r="E197" s="62" t="s">
        <v>1936</v>
      </c>
      <c r="F197" s="65" t="s">
        <v>1601</v>
      </c>
      <c r="G197" s="65" t="s">
        <v>1596</v>
      </c>
      <c r="H197" s="65" t="str">
        <f>_xlfn.XLOOKUP(SINIESTROS[[#This Row],[ID PÓLIZA]],POLIZAS[ID PÓLIZA],POLIZAS[TIPO DE VEHICULO])</f>
        <v>Auto</v>
      </c>
      <c r="I197" s="70">
        <v>5012733.4805563912</v>
      </c>
      <c r="J197" s="70">
        <v>4463032.4014643533</v>
      </c>
      <c r="K197" s="65" t="s">
        <v>1618</v>
      </c>
      <c r="L197" s="52" t="s">
        <v>1941</v>
      </c>
      <c r="M197" s="65" t="s">
        <v>1957</v>
      </c>
      <c r="N197" s="72">
        <v>27</v>
      </c>
      <c r="O197" s="74" t="s">
        <v>1956</v>
      </c>
    </row>
    <row r="198" spans="1:15" x14ac:dyDescent="0.3">
      <c r="A198" s="64" t="s">
        <v>1829</v>
      </c>
      <c r="B198" s="65" t="s">
        <v>907</v>
      </c>
      <c r="C198" s="62">
        <v>46225</v>
      </c>
      <c r="D198" s="62" t="s">
        <v>1632</v>
      </c>
      <c r="E198" s="62" t="s">
        <v>1935</v>
      </c>
      <c r="F198" s="65" t="s">
        <v>1607</v>
      </c>
      <c r="G198" s="65" t="s">
        <v>1595</v>
      </c>
      <c r="H198" s="65" t="str">
        <f>_xlfn.XLOOKUP(SINIESTROS[[#This Row],[ID PÓLIZA]],POLIZAS[ID PÓLIZA],POLIZAS[TIPO DE VEHICULO])</f>
        <v>Pickup</v>
      </c>
      <c r="I198" s="70">
        <v>730854.53016665904</v>
      </c>
      <c r="J198" s="70">
        <v>0</v>
      </c>
      <c r="K198" s="65" t="s">
        <v>1618</v>
      </c>
      <c r="L198" s="52" t="s">
        <v>1943</v>
      </c>
      <c r="M198" s="65" t="s">
        <v>1958</v>
      </c>
      <c r="N198" s="72">
        <v>19</v>
      </c>
      <c r="O198" s="74" t="s">
        <v>1956</v>
      </c>
    </row>
    <row r="199" spans="1:15" x14ac:dyDescent="0.3">
      <c r="A199" s="64" t="s">
        <v>1830</v>
      </c>
      <c r="B199" s="65" t="s">
        <v>602</v>
      </c>
      <c r="C199" s="62">
        <v>45661</v>
      </c>
      <c r="D199" s="62" t="s">
        <v>1629</v>
      </c>
      <c r="E199" s="62" t="s">
        <v>1936</v>
      </c>
      <c r="F199" s="65" t="s">
        <v>1603</v>
      </c>
      <c r="G199" s="65" t="s">
        <v>1598</v>
      </c>
      <c r="H199" s="65" t="str">
        <f>_xlfn.XLOOKUP(SINIESTROS[[#This Row],[ID PÓLIZA]],POLIZAS[ID PÓLIZA],POLIZAS[TIPO DE VEHICULO])</f>
        <v>SUV</v>
      </c>
      <c r="I199" s="70">
        <v>5325988.324631501</v>
      </c>
      <c r="J199" s="70">
        <v>0</v>
      </c>
      <c r="K199" s="65" t="s">
        <v>1619</v>
      </c>
      <c r="L199" s="52" t="s">
        <v>1943</v>
      </c>
      <c r="M199" s="65" t="s">
        <v>1955</v>
      </c>
      <c r="N199" s="72">
        <v>9</v>
      </c>
      <c r="O199" s="74" t="s">
        <v>1956</v>
      </c>
    </row>
    <row r="200" spans="1:15" x14ac:dyDescent="0.3">
      <c r="A200" s="64" t="s">
        <v>1831</v>
      </c>
      <c r="B200" s="65" t="s">
        <v>730</v>
      </c>
      <c r="C200" s="62">
        <v>46040</v>
      </c>
      <c r="D200" s="62" t="s">
        <v>1630</v>
      </c>
      <c r="E200" s="62" t="s">
        <v>1937</v>
      </c>
      <c r="F200" s="65" t="s">
        <v>1605</v>
      </c>
      <c r="G200" s="65" t="s">
        <v>1597</v>
      </c>
      <c r="H200" s="65" t="str">
        <f>_xlfn.XLOOKUP(SINIESTROS[[#This Row],[ID PÓLIZA]],POLIZAS[ID PÓLIZA],POLIZAS[TIPO DE VEHICULO])</f>
        <v>SUV</v>
      </c>
      <c r="I200" s="70">
        <v>18637859.809402592</v>
      </c>
      <c r="J200" s="70">
        <v>17429644.688063439</v>
      </c>
      <c r="K200" s="65" t="s">
        <v>1618</v>
      </c>
      <c r="L200" s="52" t="s">
        <v>1941</v>
      </c>
      <c r="M200" s="65" t="s">
        <v>1957</v>
      </c>
      <c r="N200" s="72">
        <v>25</v>
      </c>
      <c r="O200" s="74" t="s">
        <v>1956</v>
      </c>
    </row>
    <row r="201" spans="1:15" x14ac:dyDescent="0.3">
      <c r="A201" s="64" t="s">
        <v>1832</v>
      </c>
      <c r="B201" s="65" t="s">
        <v>1036</v>
      </c>
      <c r="C201" s="62">
        <v>45949</v>
      </c>
      <c r="D201" s="62" t="s">
        <v>1629</v>
      </c>
      <c r="E201" s="62" t="s">
        <v>1937</v>
      </c>
      <c r="F201" s="65" t="s">
        <v>1605</v>
      </c>
      <c r="G201" s="65" t="s">
        <v>1595</v>
      </c>
      <c r="H201" s="65" t="str">
        <f>_xlfn.XLOOKUP(SINIESTROS[[#This Row],[ID PÓLIZA]],POLIZAS[ID PÓLIZA],POLIZAS[TIPO DE VEHICULO])</f>
        <v>SUV</v>
      </c>
      <c r="I201" s="70">
        <v>20131420.027754541</v>
      </c>
      <c r="J201" s="70">
        <v>0</v>
      </c>
      <c r="K201" s="65" t="s">
        <v>1619</v>
      </c>
      <c r="L201" s="52" t="s">
        <v>1943</v>
      </c>
      <c r="M201" s="65" t="s">
        <v>1955</v>
      </c>
      <c r="N201" s="72">
        <v>30</v>
      </c>
      <c r="O201" s="74" t="s">
        <v>1956</v>
      </c>
    </row>
    <row r="202" spans="1:15" x14ac:dyDescent="0.3">
      <c r="A202" s="64" t="s">
        <v>1833</v>
      </c>
      <c r="B202" s="65" t="s">
        <v>760</v>
      </c>
      <c r="C202" s="62">
        <v>46241</v>
      </c>
      <c r="D202" s="62" t="s">
        <v>1628</v>
      </c>
      <c r="E202" s="62" t="s">
        <v>1936</v>
      </c>
      <c r="F202" s="65" t="s">
        <v>1603</v>
      </c>
      <c r="G202" s="65" t="s">
        <v>1596</v>
      </c>
      <c r="H202" s="65" t="str">
        <f>_xlfn.XLOOKUP(SINIESTROS[[#This Row],[ID PÓLIZA]],POLIZAS[ID PÓLIZA],POLIZAS[TIPO DE VEHICULO])</f>
        <v>Auto</v>
      </c>
      <c r="I202" s="70">
        <v>4590664.2013006993</v>
      </c>
      <c r="J202" s="70">
        <v>0</v>
      </c>
      <c r="K202" s="65" t="s">
        <v>1619</v>
      </c>
      <c r="L202" s="52" t="s">
        <v>1943</v>
      </c>
      <c r="M202" s="65" t="s">
        <v>1955</v>
      </c>
      <c r="N202" s="72">
        <v>5</v>
      </c>
      <c r="O202" s="74" t="s">
        <v>1956</v>
      </c>
    </row>
    <row r="203" spans="1:15" x14ac:dyDescent="0.3">
      <c r="A203" s="64" t="s">
        <v>1834</v>
      </c>
      <c r="B203" s="65" t="s">
        <v>480</v>
      </c>
      <c r="C203" s="62">
        <v>46012</v>
      </c>
      <c r="D203" s="62" t="s">
        <v>1628</v>
      </c>
      <c r="E203" s="62" t="s">
        <v>1935</v>
      </c>
      <c r="F203" s="65" t="s">
        <v>1600</v>
      </c>
      <c r="G203" s="65" t="s">
        <v>1595</v>
      </c>
      <c r="H203" s="65" t="str">
        <f>_xlfn.XLOOKUP(SINIESTROS[[#This Row],[ID PÓLIZA]],POLIZAS[ID PÓLIZA],POLIZAS[TIPO DE VEHICULO])</f>
        <v>SUV</v>
      </c>
      <c r="I203" s="70">
        <v>1207501.3492902501</v>
      </c>
      <c r="J203" s="70">
        <v>0</v>
      </c>
      <c r="K203" s="65" t="s">
        <v>1618</v>
      </c>
      <c r="L203" s="52" t="s">
        <v>1943</v>
      </c>
      <c r="M203" s="65" t="s">
        <v>1958</v>
      </c>
      <c r="N203" s="72">
        <v>8</v>
      </c>
      <c r="O203" s="74" t="s">
        <v>1956</v>
      </c>
    </row>
    <row r="204" spans="1:15" x14ac:dyDescent="0.3">
      <c r="A204" s="64" t="s">
        <v>1835</v>
      </c>
      <c r="B204" s="65" t="s">
        <v>906</v>
      </c>
      <c r="C204" s="62">
        <v>45432</v>
      </c>
      <c r="D204" s="62" t="s">
        <v>1630</v>
      </c>
      <c r="E204" s="62" t="s">
        <v>1936</v>
      </c>
      <c r="F204" s="65" t="s">
        <v>1599</v>
      </c>
      <c r="G204" s="65" t="s">
        <v>1598</v>
      </c>
      <c r="H204" s="65" t="str">
        <f>_xlfn.XLOOKUP(SINIESTROS[[#This Row],[ID PÓLIZA]],POLIZAS[ID PÓLIZA],POLIZAS[TIPO DE VEHICULO])</f>
        <v>SUV</v>
      </c>
      <c r="I204" s="70">
        <v>5658154.3270762078</v>
      </c>
      <c r="J204" s="70">
        <v>4532772.3787198709</v>
      </c>
      <c r="K204" s="65" t="s">
        <v>1618</v>
      </c>
      <c r="L204" s="52" t="s">
        <v>1941</v>
      </c>
      <c r="M204" s="65" t="s">
        <v>1957</v>
      </c>
      <c r="N204" s="72">
        <v>37</v>
      </c>
      <c r="O204" s="74" t="s">
        <v>1956</v>
      </c>
    </row>
    <row r="205" spans="1:15" x14ac:dyDescent="0.3">
      <c r="A205" s="64" t="s">
        <v>1836</v>
      </c>
      <c r="B205" s="65" t="s">
        <v>578</v>
      </c>
      <c r="C205" s="62">
        <v>45801</v>
      </c>
      <c r="D205" s="62" t="s">
        <v>1629</v>
      </c>
      <c r="E205" s="62" t="s">
        <v>1936</v>
      </c>
      <c r="F205" s="65" t="s">
        <v>1608</v>
      </c>
      <c r="G205" s="65" t="s">
        <v>1598</v>
      </c>
      <c r="H205" s="65" t="str">
        <f>_xlfn.XLOOKUP(SINIESTROS[[#This Row],[ID PÓLIZA]],POLIZAS[ID PÓLIZA],POLIZAS[TIPO DE VEHICULO])</f>
        <v>SUV</v>
      </c>
      <c r="I205" s="70">
        <v>5252127.168422942</v>
      </c>
      <c r="J205" s="70">
        <v>4670124.6814573109</v>
      </c>
      <c r="K205" s="65" t="s">
        <v>1618</v>
      </c>
      <c r="L205" s="52" t="s">
        <v>1941</v>
      </c>
      <c r="M205" s="65" t="s">
        <v>1957</v>
      </c>
      <c r="N205" s="72">
        <v>29</v>
      </c>
      <c r="O205" s="74" t="s">
        <v>1956</v>
      </c>
    </row>
    <row r="206" spans="1:15" x14ac:dyDescent="0.3">
      <c r="A206" s="64" t="s">
        <v>1837</v>
      </c>
      <c r="B206" s="65" t="s">
        <v>318</v>
      </c>
      <c r="C206" s="62">
        <v>45913</v>
      </c>
      <c r="D206" s="62" t="s">
        <v>1631</v>
      </c>
      <c r="E206" s="62" t="s">
        <v>1935</v>
      </c>
      <c r="F206" s="65" t="s">
        <v>1607</v>
      </c>
      <c r="G206" s="65" t="s">
        <v>1596</v>
      </c>
      <c r="H206" s="65" t="str">
        <f>_xlfn.XLOOKUP(SINIESTROS[[#This Row],[ID PÓLIZA]],POLIZAS[ID PÓLIZA],POLIZAS[TIPO DE VEHICULO])</f>
        <v>Auto</v>
      </c>
      <c r="I206" s="70">
        <v>841765.24879816233</v>
      </c>
      <c r="J206" s="70">
        <v>810856.23704163905</v>
      </c>
      <c r="K206" s="65" t="s">
        <v>1618</v>
      </c>
      <c r="L206" s="52" t="s">
        <v>1941</v>
      </c>
      <c r="M206" s="65" t="s">
        <v>1957</v>
      </c>
      <c r="N206" s="72">
        <v>14</v>
      </c>
      <c r="O206" s="74" t="s">
        <v>1956</v>
      </c>
    </row>
    <row r="207" spans="1:15" x14ac:dyDescent="0.3">
      <c r="A207" s="64" t="s">
        <v>1838</v>
      </c>
      <c r="B207" s="65" t="s">
        <v>334</v>
      </c>
      <c r="C207" s="62">
        <v>45723</v>
      </c>
      <c r="D207" s="62" t="s">
        <v>1632</v>
      </c>
      <c r="E207" s="62" t="s">
        <v>1935</v>
      </c>
      <c r="F207" s="65" t="s">
        <v>1606</v>
      </c>
      <c r="G207" s="65" t="s">
        <v>1598</v>
      </c>
      <c r="H207" s="65" t="str">
        <f>_xlfn.XLOOKUP(SINIESTROS[[#This Row],[ID PÓLIZA]],POLIZAS[ID PÓLIZA],POLIZAS[TIPO DE VEHICULO])</f>
        <v>Pickup</v>
      </c>
      <c r="I207" s="70">
        <v>1504578.6488706402</v>
      </c>
      <c r="J207" s="70">
        <v>0</v>
      </c>
      <c r="K207" s="65" t="s">
        <v>1618</v>
      </c>
      <c r="L207" s="52" t="s">
        <v>1943</v>
      </c>
      <c r="M207" s="65" t="s">
        <v>1957</v>
      </c>
      <c r="N207" s="72">
        <v>25</v>
      </c>
      <c r="O207" s="74" t="s">
        <v>1956</v>
      </c>
    </row>
    <row r="208" spans="1:15" x14ac:dyDescent="0.3">
      <c r="A208" s="64" t="s">
        <v>1839</v>
      </c>
      <c r="B208" s="65" t="s">
        <v>931</v>
      </c>
      <c r="C208" s="62">
        <v>45285</v>
      </c>
      <c r="D208" s="62" t="s">
        <v>1628</v>
      </c>
      <c r="E208" s="62" t="s">
        <v>1936</v>
      </c>
      <c r="F208" s="65" t="s">
        <v>1599</v>
      </c>
      <c r="G208" s="65" t="s">
        <v>1598</v>
      </c>
      <c r="H208" s="65" t="str">
        <f>_xlfn.XLOOKUP(SINIESTROS[[#This Row],[ID PÓLIZA]],POLIZAS[ID PÓLIZA],POLIZAS[TIPO DE VEHICULO])</f>
        <v>Utilitario</v>
      </c>
      <c r="I208" s="70">
        <v>2780179.9350532838</v>
      </c>
      <c r="J208" s="70">
        <v>0</v>
      </c>
      <c r="K208" s="65" t="s">
        <v>1618</v>
      </c>
      <c r="L208" s="52" t="s">
        <v>1621</v>
      </c>
      <c r="M208" s="65" t="s">
        <v>1957</v>
      </c>
      <c r="N208" s="72">
        <v>34</v>
      </c>
      <c r="O208" s="74" t="s">
        <v>1956</v>
      </c>
    </row>
    <row r="209" spans="1:15" x14ac:dyDescent="0.3">
      <c r="A209" s="64" t="s">
        <v>1840</v>
      </c>
      <c r="B209" s="65" t="s">
        <v>581</v>
      </c>
      <c r="C209" s="62">
        <v>46195</v>
      </c>
      <c r="D209" s="62" t="s">
        <v>1628</v>
      </c>
      <c r="E209" s="62" t="s">
        <v>1935</v>
      </c>
      <c r="F209" s="65" t="s">
        <v>1601</v>
      </c>
      <c r="G209" s="65" t="s">
        <v>1597</v>
      </c>
      <c r="H209" s="65" t="str">
        <f>_xlfn.XLOOKUP(SINIESTROS[[#This Row],[ID PÓLIZA]],POLIZAS[ID PÓLIZA],POLIZAS[TIPO DE VEHICULO])</f>
        <v>Pickup</v>
      </c>
      <c r="I209" s="70">
        <v>2735218.0328034684</v>
      </c>
      <c r="J209" s="70">
        <v>0</v>
      </c>
      <c r="K209" s="65" t="s">
        <v>1618</v>
      </c>
      <c r="L209" s="52" t="s">
        <v>1621</v>
      </c>
      <c r="M209" s="65" t="s">
        <v>1957</v>
      </c>
      <c r="N209" s="72">
        <v>29</v>
      </c>
      <c r="O209" s="74" t="s">
        <v>1956</v>
      </c>
    </row>
    <row r="210" spans="1:15" x14ac:dyDescent="0.3">
      <c r="A210" s="64" t="s">
        <v>1841</v>
      </c>
      <c r="B210" s="65" t="s">
        <v>935</v>
      </c>
      <c r="C210" s="62">
        <v>45168</v>
      </c>
      <c r="D210" s="62" t="s">
        <v>1628</v>
      </c>
      <c r="E210" s="62" t="s">
        <v>1937</v>
      </c>
      <c r="F210" s="65" t="s">
        <v>1601</v>
      </c>
      <c r="G210" s="65" t="s">
        <v>1597</v>
      </c>
      <c r="H210" s="65" t="str">
        <f>_xlfn.XLOOKUP(SINIESTROS[[#This Row],[ID PÓLIZA]],POLIZAS[ID PÓLIZA],POLIZAS[TIPO DE VEHICULO])</f>
        <v>Utilitario</v>
      </c>
      <c r="I210" s="70">
        <v>14863858.072405465</v>
      </c>
      <c r="J210" s="70">
        <v>0</v>
      </c>
      <c r="K210" s="65" t="s">
        <v>1619</v>
      </c>
      <c r="L210" s="52" t="s">
        <v>1943</v>
      </c>
      <c r="M210" s="65" t="s">
        <v>1955</v>
      </c>
      <c r="N210" s="72">
        <v>10</v>
      </c>
      <c r="O210" s="74" t="s">
        <v>1956</v>
      </c>
    </row>
    <row r="211" spans="1:15" x14ac:dyDescent="0.3">
      <c r="A211" s="64" t="s">
        <v>1842</v>
      </c>
      <c r="B211" s="65" t="s">
        <v>771</v>
      </c>
      <c r="C211" s="62">
        <v>46138</v>
      </c>
      <c r="D211" s="62" t="s">
        <v>1632</v>
      </c>
      <c r="E211" s="62" t="s">
        <v>1937</v>
      </c>
      <c r="F211" s="65" t="s">
        <v>1599</v>
      </c>
      <c r="G211" s="65" t="s">
        <v>1598</v>
      </c>
      <c r="H211" s="65" t="str">
        <f>_xlfn.XLOOKUP(SINIESTROS[[#This Row],[ID PÓLIZA]],POLIZAS[ID PÓLIZA],POLIZAS[TIPO DE VEHICULO])</f>
        <v>Utilitario</v>
      </c>
      <c r="I211" s="70">
        <v>10650029.538576543</v>
      </c>
      <c r="J211" s="70">
        <v>0</v>
      </c>
      <c r="K211" s="65" t="s">
        <v>1619</v>
      </c>
      <c r="L211" s="52" t="s">
        <v>1943</v>
      </c>
      <c r="M211" s="65" t="s">
        <v>1955</v>
      </c>
      <c r="N211" s="72">
        <v>15</v>
      </c>
      <c r="O211" s="74" t="s">
        <v>1956</v>
      </c>
    </row>
    <row r="212" spans="1:15" x14ac:dyDescent="0.3">
      <c r="A212" s="64" t="s">
        <v>1843</v>
      </c>
      <c r="B212" s="65" t="s">
        <v>1058</v>
      </c>
      <c r="C212" s="62">
        <v>45562</v>
      </c>
      <c r="D212" s="62" t="s">
        <v>1628</v>
      </c>
      <c r="E212" s="62" t="s">
        <v>1935</v>
      </c>
      <c r="F212" s="65" t="s">
        <v>1602</v>
      </c>
      <c r="G212" s="65" t="s">
        <v>1598</v>
      </c>
      <c r="H212" s="65" t="str">
        <f>_xlfn.XLOOKUP(SINIESTROS[[#This Row],[ID PÓLIZA]],POLIZAS[ID PÓLIZA],POLIZAS[TIPO DE VEHICULO])</f>
        <v>Auto</v>
      </c>
      <c r="I212" s="70">
        <v>1916570.3764308349</v>
      </c>
      <c r="J212" s="70">
        <v>1751755.383804027</v>
      </c>
      <c r="K212" s="65" t="s">
        <v>1618</v>
      </c>
      <c r="L212" s="52" t="s">
        <v>1941</v>
      </c>
      <c r="M212" s="65" t="s">
        <v>1957</v>
      </c>
      <c r="N212" s="72">
        <v>14</v>
      </c>
      <c r="O212" s="74" t="s">
        <v>1956</v>
      </c>
    </row>
    <row r="213" spans="1:15" x14ac:dyDescent="0.3">
      <c r="A213" s="64" t="s">
        <v>1844</v>
      </c>
      <c r="B213" s="65" t="s">
        <v>862</v>
      </c>
      <c r="C213" s="62">
        <v>46103</v>
      </c>
      <c r="D213" s="62" t="s">
        <v>1629</v>
      </c>
      <c r="E213" s="62" t="s">
        <v>1936</v>
      </c>
      <c r="F213" s="65" t="s">
        <v>1608</v>
      </c>
      <c r="G213" s="65" t="s">
        <v>1595</v>
      </c>
      <c r="H213" s="65" t="str">
        <f>_xlfn.XLOOKUP(SINIESTROS[[#This Row],[ID PÓLIZA]],POLIZAS[ID PÓLIZA],POLIZAS[TIPO DE VEHICULO])</f>
        <v>Utilitario</v>
      </c>
      <c r="I213" s="70">
        <v>3270142.485167868</v>
      </c>
      <c r="J213" s="70">
        <v>0</v>
      </c>
      <c r="K213" s="65" t="s">
        <v>1619</v>
      </c>
      <c r="L213" s="52" t="s">
        <v>1943</v>
      </c>
      <c r="M213" s="65" t="s">
        <v>1955</v>
      </c>
      <c r="N213" s="72">
        <v>22</v>
      </c>
      <c r="O213" s="74" t="s">
        <v>1956</v>
      </c>
    </row>
    <row r="214" spans="1:15" x14ac:dyDescent="0.3">
      <c r="A214" s="64" t="s">
        <v>1845</v>
      </c>
      <c r="B214" s="65" t="s">
        <v>817</v>
      </c>
      <c r="C214" s="62">
        <v>46016</v>
      </c>
      <c r="D214" s="62" t="s">
        <v>1632</v>
      </c>
      <c r="E214" s="62" t="s">
        <v>1936</v>
      </c>
      <c r="F214" s="65" t="s">
        <v>1605</v>
      </c>
      <c r="G214" s="65" t="s">
        <v>1595</v>
      </c>
      <c r="H214" s="65" t="str">
        <f>_xlfn.XLOOKUP(SINIESTROS[[#This Row],[ID PÓLIZA]],POLIZAS[ID PÓLIZA],POLIZAS[TIPO DE VEHICULO])</f>
        <v>Pickup</v>
      </c>
      <c r="I214" s="70">
        <v>10497884.806050098</v>
      </c>
      <c r="J214" s="70">
        <v>0</v>
      </c>
      <c r="K214" s="65" t="s">
        <v>1619</v>
      </c>
      <c r="L214" s="52" t="s">
        <v>1943</v>
      </c>
      <c r="M214" s="65" t="s">
        <v>1955</v>
      </c>
      <c r="N214" s="72">
        <v>9</v>
      </c>
      <c r="O214" s="74" t="s">
        <v>1956</v>
      </c>
    </row>
    <row r="215" spans="1:15" x14ac:dyDescent="0.3">
      <c r="A215" s="64" t="s">
        <v>1846</v>
      </c>
      <c r="B215" s="65" t="s">
        <v>823</v>
      </c>
      <c r="C215" s="62">
        <v>45752</v>
      </c>
      <c r="D215" s="62" t="s">
        <v>1628</v>
      </c>
      <c r="E215" s="62" t="s">
        <v>1935</v>
      </c>
      <c r="F215" s="65" t="s">
        <v>1606</v>
      </c>
      <c r="G215" s="65" t="s">
        <v>1596</v>
      </c>
      <c r="H215" s="65" t="str">
        <f>_xlfn.XLOOKUP(SINIESTROS[[#This Row],[ID PÓLIZA]],POLIZAS[ID PÓLIZA],POLIZAS[TIPO DE VEHICULO])</f>
        <v>SUV</v>
      </c>
      <c r="I215" s="70">
        <v>2038226.1750585358</v>
      </c>
      <c r="J215" s="70">
        <v>0</v>
      </c>
      <c r="K215" s="65" t="s">
        <v>1618</v>
      </c>
      <c r="L215" s="52" t="s">
        <v>1943</v>
      </c>
      <c r="M215" s="65" t="s">
        <v>1958</v>
      </c>
      <c r="N215" s="72">
        <v>27</v>
      </c>
      <c r="O215" s="74" t="s">
        <v>1956</v>
      </c>
    </row>
    <row r="216" spans="1:15" x14ac:dyDescent="0.3">
      <c r="A216" s="64" t="s">
        <v>1847</v>
      </c>
      <c r="B216" s="65" t="s">
        <v>348</v>
      </c>
      <c r="C216" s="62">
        <v>45965</v>
      </c>
      <c r="D216" s="62" t="s">
        <v>1628</v>
      </c>
      <c r="E216" s="62" t="s">
        <v>1936</v>
      </c>
      <c r="F216" s="65" t="s">
        <v>1605</v>
      </c>
      <c r="G216" s="65" t="s">
        <v>1595</v>
      </c>
      <c r="H216" s="65" t="str">
        <f>_xlfn.XLOOKUP(SINIESTROS[[#This Row],[ID PÓLIZA]],POLIZAS[ID PÓLIZA],POLIZAS[TIPO DE VEHICULO])</f>
        <v>SUV</v>
      </c>
      <c r="I216" s="70">
        <v>9458489.7495973706</v>
      </c>
      <c r="J216" s="70">
        <v>0</v>
      </c>
      <c r="K216" s="65" t="s">
        <v>1618</v>
      </c>
      <c r="L216" s="52" t="s">
        <v>1943</v>
      </c>
      <c r="M216" s="65" t="s">
        <v>1958</v>
      </c>
      <c r="N216" s="72">
        <v>28</v>
      </c>
      <c r="O216" s="74" t="s">
        <v>1956</v>
      </c>
    </row>
    <row r="217" spans="1:15" x14ac:dyDescent="0.3">
      <c r="A217" s="64" t="s">
        <v>1848</v>
      </c>
      <c r="B217" s="65" t="s">
        <v>1242</v>
      </c>
      <c r="C217" s="62">
        <v>45638</v>
      </c>
      <c r="D217" s="62" t="s">
        <v>1628</v>
      </c>
      <c r="E217" s="62" t="s">
        <v>1935</v>
      </c>
      <c r="F217" s="65" t="s">
        <v>1600</v>
      </c>
      <c r="G217" s="65" t="s">
        <v>1598</v>
      </c>
      <c r="H217" s="65" t="str">
        <f>_xlfn.XLOOKUP(SINIESTROS[[#This Row],[ID PÓLIZA]],POLIZAS[ID PÓLIZA],POLIZAS[TIPO DE VEHICULO])</f>
        <v>SUV</v>
      </c>
      <c r="I217" s="70">
        <v>448679.04689533019</v>
      </c>
      <c r="J217" s="70">
        <v>0</v>
      </c>
      <c r="K217" s="65" t="s">
        <v>1619</v>
      </c>
      <c r="L217" s="52" t="s">
        <v>1943</v>
      </c>
      <c r="M217" s="65" t="s">
        <v>1955</v>
      </c>
      <c r="N217" s="72">
        <v>9</v>
      </c>
      <c r="O217" s="74" t="s">
        <v>1956</v>
      </c>
    </row>
    <row r="218" spans="1:15" x14ac:dyDescent="0.3">
      <c r="A218" s="64" t="s">
        <v>1849</v>
      </c>
      <c r="B218" s="65" t="s">
        <v>495</v>
      </c>
      <c r="C218" s="62">
        <v>45881</v>
      </c>
      <c r="D218" s="62" t="s">
        <v>1628</v>
      </c>
      <c r="E218" s="62" t="s">
        <v>1938</v>
      </c>
      <c r="F218" s="65" t="s">
        <v>1599</v>
      </c>
      <c r="G218" s="65" t="s">
        <v>1595</v>
      </c>
      <c r="H218" s="65" t="str">
        <f>_xlfn.XLOOKUP(SINIESTROS[[#This Row],[ID PÓLIZA]],POLIZAS[ID PÓLIZA],POLIZAS[TIPO DE VEHICULO])</f>
        <v>Pickup</v>
      </c>
      <c r="I218" s="70">
        <v>32497817.40253564</v>
      </c>
      <c r="J218" s="70">
        <v>0</v>
      </c>
      <c r="K218" s="65" t="s">
        <v>1619</v>
      </c>
      <c r="L218" s="52" t="s">
        <v>1943</v>
      </c>
      <c r="M218" s="65" t="s">
        <v>1955</v>
      </c>
      <c r="N218" s="72">
        <v>3</v>
      </c>
      <c r="O218" s="74" t="s">
        <v>1956</v>
      </c>
    </row>
    <row r="219" spans="1:15" x14ac:dyDescent="0.3">
      <c r="A219" s="64" t="s">
        <v>1850</v>
      </c>
      <c r="B219" s="65" t="s">
        <v>1272</v>
      </c>
      <c r="C219" s="62">
        <v>45811</v>
      </c>
      <c r="D219" s="62" t="s">
        <v>1632</v>
      </c>
      <c r="E219" s="62" t="s">
        <v>1937</v>
      </c>
      <c r="F219" s="65" t="s">
        <v>1600</v>
      </c>
      <c r="G219" s="65" t="s">
        <v>1595</v>
      </c>
      <c r="H219" s="65" t="str">
        <f>_xlfn.XLOOKUP(SINIESTROS[[#This Row],[ID PÓLIZA]],POLIZAS[ID PÓLIZA],POLIZAS[TIPO DE VEHICULO])</f>
        <v>Auto</v>
      </c>
      <c r="I219" s="70">
        <v>7283411.5629941039</v>
      </c>
      <c r="J219" s="70">
        <v>0</v>
      </c>
      <c r="K219" s="65" t="s">
        <v>1618</v>
      </c>
      <c r="L219" s="52" t="s">
        <v>1943</v>
      </c>
      <c r="M219" s="65" t="s">
        <v>1958</v>
      </c>
      <c r="N219" s="72">
        <v>20</v>
      </c>
      <c r="O219" s="74" t="s">
        <v>1956</v>
      </c>
    </row>
    <row r="220" spans="1:15" x14ac:dyDescent="0.3">
      <c r="A220" s="64" t="s">
        <v>1851</v>
      </c>
      <c r="B220" s="65" t="s">
        <v>1232</v>
      </c>
      <c r="C220" s="62">
        <v>46224</v>
      </c>
      <c r="D220" s="62" t="s">
        <v>1628</v>
      </c>
      <c r="E220" s="62" t="s">
        <v>1935</v>
      </c>
      <c r="F220" s="65" t="s">
        <v>1602</v>
      </c>
      <c r="G220" s="65" t="s">
        <v>1598</v>
      </c>
      <c r="H220" s="65" t="str">
        <f>_xlfn.XLOOKUP(SINIESTROS[[#This Row],[ID PÓLIZA]],POLIZAS[ID PÓLIZA],POLIZAS[TIPO DE VEHICULO])</f>
        <v>SUV</v>
      </c>
      <c r="I220" s="70">
        <v>2807841.9977741586</v>
      </c>
      <c r="J220" s="70">
        <v>2704801.1322898292</v>
      </c>
      <c r="K220" s="65" t="s">
        <v>1618</v>
      </c>
      <c r="L220" s="52" t="s">
        <v>1941</v>
      </c>
      <c r="M220" s="65" t="s">
        <v>1957</v>
      </c>
      <c r="N220" s="72">
        <v>41</v>
      </c>
      <c r="O220" s="74" t="s">
        <v>1956</v>
      </c>
    </row>
    <row r="221" spans="1:15" x14ac:dyDescent="0.3">
      <c r="A221" s="64" t="s">
        <v>1852</v>
      </c>
      <c r="B221" s="65" t="s">
        <v>463</v>
      </c>
      <c r="C221" s="62">
        <v>46200</v>
      </c>
      <c r="D221" s="62" t="s">
        <v>1628</v>
      </c>
      <c r="E221" s="62" t="s">
        <v>1935</v>
      </c>
      <c r="F221" s="65" t="s">
        <v>1599</v>
      </c>
      <c r="G221" s="65" t="s">
        <v>1596</v>
      </c>
      <c r="H221" s="65" t="str">
        <f>_xlfn.XLOOKUP(SINIESTROS[[#This Row],[ID PÓLIZA]],POLIZAS[ID PÓLIZA],POLIZAS[TIPO DE VEHICULO])</f>
        <v>SUV</v>
      </c>
      <c r="I221" s="70">
        <v>4054093.8939495245</v>
      </c>
      <c r="J221" s="70">
        <v>0</v>
      </c>
      <c r="K221" s="65" t="s">
        <v>1618</v>
      </c>
      <c r="L221" s="52" t="s">
        <v>1943</v>
      </c>
      <c r="M221" s="65" t="s">
        <v>1958</v>
      </c>
      <c r="N221" s="72">
        <v>19</v>
      </c>
      <c r="O221" s="74" t="s">
        <v>1956</v>
      </c>
    </row>
    <row r="222" spans="1:15" x14ac:dyDescent="0.3">
      <c r="A222" s="64" t="s">
        <v>1853</v>
      </c>
      <c r="B222" s="65" t="s">
        <v>448</v>
      </c>
      <c r="C222" s="62">
        <v>45588</v>
      </c>
      <c r="D222" s="62" t="s">
        <v>1629</v>
      </c>
      <c r="E222" s="62" t="s">
        <v>1936</v>
      </c>
      <c r="F222" s="65" t="s">
        <v>1604</v>
      </c>
      <c r="G222" s="65" t="s">
        <v>1595</v>
      </c>
      <c r="H222" s="65" t="str">
        <f>_xlfn.XLOOKUP(SINIESTROS[[#This Row],[ID PÓLIZA]],POLIZAS[ID PÓLIZA],POLIZAS[TIPO DE VEHICULO])</f>
        <v>SUV</v>
      </c>
      <c r="I222" s="70">
        <v>13825341.925734285</v>
      </c>
      <c r="J222" s="70">
        <v>0</v>
      </c>
      <c r="K222" s="65" t="s">
        <v>1618</v>
      </c>
      <c r="L222" s="52" t="s">
        <v>1943</v>
      </c>
      <c r="M222" s="65" t="s">
        <v>1958</v>
      </c>
      <c r="N222" s="72">
        <v>8</v>
      </c>
      <c r="O222" s="74" t="s">
        <v>1956</v>
      </c>
    </row>
    <row r="223" spans="1:15" x14ac:dyDescent="0.3">
      <c r="A223" s="64" t="s">
        <v>1854</v>
      </c>
      <c r="B223" s="65" t="s">
        <v>1059</v>
      </c>
      <c r="C223" s="62">
        <v>45334</v>
      </c>
      <c r="D223" s="62" t="s">
        <v>1628</v>
      </c>
      <c r="E223" s="62" t="s">
        <v>1936</v>
      </c>
      <c r="F223" s="65" t="s">
        <v>1599</v>
      </c>
      <c r="G223" s="65" t="s">
        <v>1598</v>
      </c>
      <c r="H223" s="65" t="str">
        <f>_xlfn.XLOOKUP(SINIESTROS[[#This Row],[ID PÓLIZA]],POLIZAS[ID PÓLIZA],POLIZAS[TIPO DE VEHICULO])</f>
        <v>Pickup</v>
      </c>
      <c r="I223" s="70">
        <v>6131033.8590344768</v>
      </c>
      <c r="J223" s="70">
        <v>0</v>
      </c>
      <c r="K223" s="65" t="s">
        <v>1619</v>
      </c>
      <c r="L223" s="52" t="s">
        <v>1943</v>
      </c>
      <c r="M223" s="65" t="s">
        <v>1955</v>
      </c>
      <c r="N223" s="72">
        <v>24</v>
      </c>
      <c r="O223" s="74" t="s">
        <v>1959</v>
      </c>
    </row>
    <row r="224" spans="1:15" x14ac:dyDescent="0.3">
      <c r="A224" s="64" t="s">
        <v>1855</v>
      </c>
      <c r="B224" s="65" t="s">
        <v>659</v>
      </c>
      <c r="C224" s="62">
        <v>45487</v>
      </c>
      <c r="D224" s="62" t="s">
        <v>1632</v>
      </c>
      <c r="E224" s="62" t="s">
        <v>1937</v>
      </c>
      <c r="F224" s="65" t="s">
        <v>1604</v>
      </c>
      <c r="G224" s="65" t="s">
        <v>1597</v>
      </c>
      <c r="H224" s="65" t="str">
        <f>_xlfn.XLOOKUP(SINIESTROS[[#This Row],[ID PÓLIZA]],POLIZAS[ID PÓLIZA],POLIZAS[TIPO DE VEHICULO])</f>
        <v>Pickup</v>
      </c>
      <c r="I224" s="70">
        <v>8177469.9310909109</v>
      </c>
      <c r="J224" s="70">
        <v>7938813.3799805297</v>
      </c>
      <c r="K224" s="65" t="s">
        <v>1618</v>
      </c>
      <c r="L224" s="52" t="s">
        <v>1941</v>
      </c>
      <c r="M224" s="65" t="s">
        <v>1957</v>
      </c>
      <c r="N224" s="72">
        <v>33</v>
      </c>
      <c r="O224" s="74" t="s">
        <v>1956</v>
      </c>
    </row>
    <row r="225" spans="1:15" x14ac:dyDescent="0.3">
      <c r="A225" s="64" t="s">
        <v>1856</v>
      </c>
      <c r="B225" s="65" t="s">
        <v>989</v>
      </c>
      <c r="C225" s="62">
        <v>45900</v>
      </c>
      <c r="D225" s="62" t="s">
        <v>1630</v>
      </c>
      <c r="E225" s="62" t="s">
        <v>1937</v>
      </c>
      <c r="F225" s="65" t="s">
        <v>1601</v>
      </c>
      <c r="G225" s="65" t="s">
        <v>1596</v>
      </c>
      <c r="H225" s="65" t="str">
        <f>_xlfn.XLOOKUP(SINIESTROS[[#This Row],[ID PÓLIZA]],POLIZAS[ID PÓLIZA],POLIZAS[TIPO DE VEHICULO])</f>
        <v>Pickup</v>
      </c>
      <c r="I225" s="70">
        <v>15024847.137268966</v>
      </c>
      <c r="J225" s="70">
        <v>13630071.257781602</v>
      </c>
      <c r="K225" s="65" t="s">
        <v>1618</v>
      </c>
      <c r="L225" s="52" t="s">
        <v>1941</v>
      </c>
      <c r="M225" s="65" t="s">
        <v>1957</v>
      </c>
      <c r="N225" s="72">
        <v>17</v>
      </c>
      <c r="O225" s="74" t="s">
        <v>1956</v>
      </c>
    </row>
    <row r="226" spans="1:15" x14ac:dyDescent="0.3">
      <c r="A226" s="64" t="s">
        <v>1857</v>
      </c>
      <c r="B226" s="65" t="s">
        <v>489</v>
      </c>
      <c r="C226" s="62">
        <v>46177</v>
      </c>
      <c r="D226" s="62" t="s">
        <v>1628</v>
      </c>
      <c r="E226" s="62" t="s">
        <v>1935</v>
      </c>
      <c r="F226" s="65" t="s">
        <v>1606</v>
      </c>
      <c r="G226" s="65" t="s">
        <v>1595</v>
      </c>
      <c r="H226" s="65" t="str">
        <f>_xlfn.XLOOKUP(SINIESTROS[[#This Row],[ID PÓLIZA]],POLIZAS[ID PÓLIZA],POLIZAS[TIPO DE VEHICULO])</f>
        <v>Pickup</v>
      </c>
      <c r="I226" s="70">
        <v>4071749.7636419619</v>
      </c>
      <c r="J226" s="70">
        <v>0</v>
      </c>
      <c r="K226" s="65" t="s">
        <v>1619</v>
      </c>
      <c r="L226" s="52" t="s">
        <v>1943</v>
      </c>
      <c r="M226" s="65" t="s">
        <v>1955</v>
      </c>
      <c r="N226" s="72">
        <v>9</v>
      </c>
      <c r="O226" s="74" t="s">
        <v>1956</v>
      </c>
    </row>
    <row r="227" spans="1:15" x14ac:dyDescent="0.3">
      <c r="A227" s="64" t="s">
        <v>1858</v>
      </c>
      <c r="B227" s="65" t="s">
        <v>779</v>
      </c>
      <c r="C227" s="62">
        <v>46139</v>
      </c>
      <c r="D227" s="62" t="s">
        <v>1628</v>
      </c>
      <c r="E227" s="62" t="s">
        <v>1936</v>
      </c>
      <c r="F227" s="65" t="s">
        <v>1601</v>
      </c>
      <c r="G227" s="65" t="s">
        <v>1598</v>
      </c>
      <c r="H227" s="65" t="str">
        <f>_xlfn.XLOOKUP(SINIESTROS[[#This Row],[ID PÓLIZA]],POLIZAS[ID PÓLIZA],POLIZAS[TIPO DE VEHICULO])</f>
        <v>Pickup</v>
      </c>
      <c r="I227" s="70">
        <v>8675107.5246304274</v>
      </c>
      <c r="J227" s="70">
        <v>7778298.4585593045</v>
      </c>
      <c r="K227" s="65" t="s">
        <v>1618</v>
      </c>
      <c r="L227" s="52" t="s">
        <v>1941</v>
      </c>
      <c r="M227" s="65" t="s">
        <v>1957</v>
      </c>
      <c r="N227" s="72">
        <v>9</v>
      </c>
      <c r="O227" s="74" t="s">
        <v>1956</v>
      </c>
    </row>
    <row r="228" spans="1:15" x14ac:dyDescent="0.3">
      <c r="A228" s="64" t="s">
        <v>1859</v>
      </c>
      <c r="B228" s="65" t="s">
        <v>620</v>
      </c>
      <c r="C228" s="62">
        <v>46230</v>
      </c>
      <c r="D228" s="62" t="s">
        <v>1630</v>
      </c>
      <c r="E228" s="62" t="s">
        <v>1935</v>
      </c>
      <c r="F228" s="65" t="s">
        <v>1601</v>
      </c>
      <c r="G228" s="65" t="s">
        <v>1597</v>
      </c>
      <c r="H228" s="65" t="str">
        <f>_xlfn.XLOOKUP(SINIESTROS[[#This Row],[ID PÓLIZA]],POLIZAS[ID PÓLIZA],POLIZAS[TIPO DE VEHICULO])</f>
        <v>SUV</v>
      </c>
      <c r="I228" s="70">
        <v>3358171.5857305396</v>
      </c>
      <c r="J228" s="70">
        <v>3305150.1871950855</v>
      </c>
      <c r="K228" s="65" t="s">
        <v>1618</v>
      </c>
      <c r="L228" s="52" t="s">
        <v>1941</v>
      </c>
      <c r="M228" s="65" t="s">
        <v>1957</v>
      </c>
      <c r="N228" s="72">
        <v>37</v>
      </c>
      <c r="O228" s="74" t="s">
        <v>1956</v>
      </c>
    </row>
    <row r="229" spans="1:15" x14ac:dyDescent="0.3">
      <c r="A229" s="64" t="s">
        <v>1860</v>
      </c>
      <c r="B229" s="65" t="s">
        <v>874</v>
      </c>
      <c r="C229" s="62">
        <v>46123</v>
      </c>
      <c r="D229" s="62" t="s">
        <v>1629</v>
      </c>
      <c r="E229" s="62" t="s">
        <v>1936</v>
      </c>
      <c r="F229" s="65" t="s">
        <v>1599</v>
      </c>
      <c r="G229" s="65" t="s">
        <v>1595</v>
      </c>
      <c r="H229" s="65" t="str">
        <f>_xlfn.XLOOKUP(SINIESTROS[[#This Row],[ID PÓLIZA]],POLIZAS[ID PÓLIZA],POLIZAS[TIPO DE VEHICULO])</f>
        <v>SUV</v>
      </c>
      <c r="I229" s="70">
        <v>2277639.9209575602</v>
      </c>
      <c r="J229" s="70">
        <v>0</v>
      </c>
      <c r="K229" s="65" t="s">
        <v>1619</v>
      </c>
      <c r="L229" s="52" t="s">
        <v>1943</v>
      </c>
      <c r="M229" s="65" t="s">
        <v>1955</v>
      </c>
      <c r="N229" s="72">
        <v>22</v>
      </c>
      <c r="O229" s="74" t="s">
        <v>1956</v>
      </c>
    </row>
    <row r="230" spans="1:15" x14ac:dyDescent="0.3">
      <c r="A230" s="64" t="s">
        <v>1861</v>
      </c>
      <c r="B230" s="65" t="s">
        <v>427</v>
      </c>
      <c r="C230" s="62">
        <v>45277</v>
      </c>
      <c r="D230" s="62" t="s">
        <v>1632</v>
      </c>
      <c r="E230" s="62" t="s">
        <v>1935</v>
      </c>
      <c r="F230" s="65" t="s">
        <v>1603</v>
      </c>
      <c r="G230" s="65" t="s">
        <v>1595</v>
      </c>
      <c r="H230" s="65" t="str">
        <f>_xlfn.XLOOKUP(SINIESTROS[[#This Row],[ID PÓLIZA]],POLIZAS[ID PÓLIZA],POLIZAS[TIPO DE VEHICULO])</f>
        <v>Pickup</v>
      </c>
      <c r="I230" s="70">
        <v>5607681.3117006477</v>
      </c>
      <c r="J230" s="70">
        <v>0</v>
      </c>
      <c r="K230" s="65" t="s">
        <v>1619</v>
      </c>
      <c r="L230" s="52" t="s">
        <v>1943</v>
      </c>
      <c r="M230" s="65" t="s">
        <v>1955</v>
      </c>
      <c r="N230" s="72">
        <v>28</v>
      </c>
      <c r="O230" s="74" t="s">
        <v>1956</v>
      </c>
    </row>
    <row r="231" spans="1:15" x14ac:dyDescent="0.3">
      <c r="A231" s="64" t="s">
        <v>1862</v>
      </c>
      <c r="B231" s="65" t="s">
        <v>370</v>
      </c>
      <c r="C231" s="62">
        <v>45724</v>
      </c>
      <c r="D231" s="62" t="s">
        <v>1630</v>
      </c>
      <c r="E231" s="62" t="s">
        <v>1937</v>
      </c>
      <c r="F231" s="65" t="s">
        <v>1602</v>
      </c>
      <c r="G231" s="65" t="s">
        <v>1598</v>
      </c>
      <c r="H231" s="65" t="str">
        <f>_xlfn.XLOOKUP(SINIESTROS[[#This Row],[ID PÓLIZA]],POLIZAS[ID PÓLIZA],POLIZAS[TIPO DE VEHICULO])</f>
        <v>Pickup</v>
      </c>
      <c r="I231" s="70">
        <v>11259852.693394821</v>
      </c>
      <c r="J231" s="70">
        <v>0</v>
      </c>
      <c r="K231" s="65" t="s">
        <v>1619</v>
      </c>
      <c r="L231" s="52" t="s">
        <v>1943</v>
      </c>
      <c r="M231" s="65" t="s">
        <v>1955</v>
      </c>
      <c r="N231" s="72">
        <v>23</v>
      </c>
      <c r="O231" s="74" t="s">
        <v>1956</v>
      </c>
    </row>
    <row r="232" spans="1:15" x14ac:dyDescent="0.3">
      <c r="A232" s="64" t="s">
        <v>1863</v>
      </c>
      <c r="B232" s="65" t="s">
        <v>755</v>
      </c>
      <c r="C232" s="62">
        <v>46184</v>
      </c>
      <c r="D232" s="62" t="s">
        <v>1629</v>
      </c>
      <c r="E232" s="62" t="s">
        <v>1935</v>
      </c>
      <c r="F232" s="65" t="s">
        <v>1601</v>
      </c>
      <c r="G232" s="65" t="s">
        <v>1596</v>
      </c>
      <c r="H232" s="65" t="str">
        <f>_xlfn.XLOOKUP(SINIESTROS[[#This Row],[ID PÓLIZA]],POLIZAS[ID PÓLIZA],POLIZAS[TIPO DE VEHICULO])</f>
        <v>Auto</v>
      </c>
      <c r="I232" s="70">
        <v>1823206.1567380305</v>
      </c>
      <c r="J232" s="70">
        <v>1604107.3127769346</v>
      </c>
      <c r="K232" s="65" t="s">
        <v>1618</v>
      </c>
      <c r="L232" s="52" t="s">
        <v>1941</v>
      </c>
      <c r="M232" s="65" t="s">
        <v>1957</v>
      </c>
      <c r="N232" s="72">
        <v>32</v>
      </c>
      <c r="O232" s="74" t="s">
        <v>1956</v>
      </c>
    </row>
    <row r="233" spans="1:15" x14ac:dyDescent="0.3">
      <c r="A233" s="64" t="s">
        <v>1864</v>
      </c>
      <c r="B233" s="65" t="s">
        <v>422</v>
      </c>
      <c r="C233" s="62">
        <v>45719</v>
      </c>
      <c r="D233" s="62" t="s">
        <v>1628</v>
      </c>
      <c r="E233" s="62" t="s">
        <v>1937</v>
      </c>
      <c r="F233" s="65" t="s">
        <v>1603</v>
      </c>
      <c r="G233" s="65" t="s">
        <v>1598</v>
      </c>
      <c r="H233" s="65" t="str">
        <f>_xlfn.XLOOKUP(SINIESTROS[[#This Row],[ID PÓLIZA]],POLIZAS[ID PÓLIZA],POLIZAS[TIPO DE VEHICULO])</f>
        <v>Pickup</v>
      </c>
      <c r="I233" s="70">
        <v>21361233.733744517</v>
      </c>
      <c r="J233" s="70">
        <v>0</v>
      </c>
      <c r="K233" s="65" t="s">
        <v>1619</v>
      </c>
      <c r="L233" s="52" t="s">
        <v>1943</v>
      </c>
      <c r="M233" s="65" t="s">
        <v>1955</v>
      </c>
      <c r="N233" s="72">
        <v>5</v>
      </c>
      <c r="O233" s="74" t="s">
        <v>1956</v>
      </c>
    </row>
    <row r="234" spans="1:15" x14ac:dyDescent="0.3">
      <c r="A234" s="64" t="s">
        <v>1865</v>
      </c>
      <c r="B234" s="65" t="s">
        <v>1288</v>
      </c>
      <c r="C234" s="62">
        <v>46034</v>
      </c>
      <c r="D234" s="62" t="s">
        <v>1630</v>
      </c>
      <c r="E234" s="62" t="s">
        <v>1937</v>
      </c>
      <c r="F234" s="65" t="s">
        <v>1607</v>
      </c>
      <c r="G234" s="65" t="s">
        <v>1597</v>
      </c>
      <c r="H234" s="65" t="str">
        <f>_xlfn.XLOOKUP(SINIESTROS[[#This Row],[ID PÓLIZA]],POLIZAS[ID PÓLIZA],POLIZAS[TIPO DE VEHICULO])</f>
        <v>Auto</v>
      </c>
      <c r="I234" s="70">
        <v>10520253.25565837</v>
      </c>
      <c r="J234" s="70">
        <v>0</v>
      </c>
      <c r="K234" s="65" t="s">
        <v>1619</v>
      </c>
      <c r="L234" s="52" t="s">
        <v>1943</v>
      </c>
      <c r="M234" s="65" t="s">
        <v>1955</v>
      </c>
      <c r="N234" s="72">
        <v>29</v>
      </c>
      <c r="O234" s="74" t="s">
        <v>1956</v>
      </c>
    </row>
    <row r="235" spans="1:15" x14ac:dyDescent="0.3">
      <c r="A235" s="64" t="s">
        <v>1866</v>
      </c>
      <c r="B235" s="65" t="s">
        <v>695</v>
      </c>
      <c r="C235" s="62">
        <v>46123</v>
      </c>
      <c r="D235" s="62" t="s">
        <v>1630</v>
      </c>
      <c r="E235" s="62" t="s">
        <v>1935</v>
      </c>
      <c r="F235" s="65" t="s">
        <v>1604</v>
      </c>
      <c r="G235" s="65" t="s">
        <v>1596</v>
      </c>
      <c r="H235" s="65" t="str">
        <f>_xlfn.XLOOKUP(SINIESTROS[[#This Row],[ID PÓLIZA]],POLIZAS[ID PÓLIZA],POLIZAS[TIPO DE VEHICULO])</f>
        <v>SUV</v>
      </c>
      <c r="I235" s="70">
        <v>1594372.3580888088</v>
      </c>
      <c r="J235" s="70">
        <v>1410393.4817679885</v>
      </c>
      <c r="K235" s="65" t="s">
        <v>1618</v>
      </c>
      <c r="L235" s="52" t="s">
        <v>1941</v>
      </c>
      <c r="M235" s="65" t="s">
        <v>1957</v>
      </c>
      <c r="N235" s="72">
        <v>26</v>
      </c>
      <c r="O235" s="74" t="s">
        <v>1956</v>
      </c>
    </row>
    <row r="236" spans="1:15" x14ac:dyDescent="0.3">
      <c r="A236" s="64" t="s">
        <v>1867</v>
      </c>
      <c r="B236" s="65" t="s">
        <v>1012</v>
      </c>
      <c r="C236" s="62">
        <v>45848</v>
      </c>
      <c r="D236" s="62" t="s">
        <v>1628</v>
      </c>
      <c r="E236" s="62" t="s">
        <v>1935</v>
      </c>
      <c r="F236" s="65" t="s">
        <v>1605</v>
      </c>
      <c r="G236" s="65" t="s">
        <v>1597</v>
      </c>
      <c r="H236" s="65" t="str">
        <f>_xlfn.XLOOKUP(SINIESTROS[[#This Row],[ID PÓLIZA]],POLIZAS[ID PÓLIZA],POLIZAS[TIPO DE VEHICULO])</f>
        <v>Pickup</v>
      </c>
      <c r="I236" s="70">
        <v>1039659.8266536882</v>
      </c>
      <c r="J236" s="70">
        <v>884672.34475014685</v>
      </c>
      <c r="K236" s="65" t="s">
        <v>1618</v>
      </c>
      <c r="L236" s="52" t="s">
        <v>1941</v>
      </c>
      <c r="M236" s="65" t="s">
        <v>1957</v>
      </c>
      <c r="N236" s="72">
        <v>15</v>
      </c>
      <c r="O236" s="74" t="s">
        <v>1956</v>
      </c>
    </row>
    <row r="237" spans="1:15" x14ac:dyDescent="0.3">
      <c r="A237" s="64" t="s">
        <v>1868</v>
      </c>
      <c r="B237" s="65" t="s">
        <v>734</v>
      </c>
      <c r="C237" s="62">
        <v>46212</v>
      </c>
      <c r="D237" s="62" t="s">
        <v>1628</v>
      </c>
      <c r="E237" s="62" t="s">
        <v>1937</v>
      </c>
      <c r="F237" s="65" t="s">
        <v>1602</v>
      </c>
      <c r="G237" s="65" t="s">
        <v>1596</v>
      </c>
      <c r="H237" s="65" t="str">
        <f>_xlfn.XLOOKUP(SINIESTROS[[#This Row],[ID PÓLIZA]],POLIZAS[ID PÓLIZA],POLIZAS[TIPO DE VEHICULO])</f>
        <v>Auto</v>
      </c>
      <c r="I237" s="70">
        <v>9143903.5838503335</v>
      </c>
      <c r="J237" s="70">
        <v>0</v>
      </c>
      <c r="K237" s="65" t="s">
        <v>1618</v>
      </c>
      <c r="L237" s="52" t="s">
        <v>1943</v>
      </c>
      <c r="M237" s="65" t="s">
        <v>1958</v>
      </c>
      <c r="N237" s="72">
        <v>14</v>
      </c>
      <c r="O237" s="74" t="s">
        <v>1956</v>
      </c>
    </row>
    <row r="238" spans="1:15" x14ac:dyDescent="0.3">
      <c r="A238" s="64" t="s">
        <v>1869</v>
      </c>
      <c r="B238" s="65" t="s">
        <v>1032</v>
      </c>
      <c r="C238" s="62">
        <v>46242</v>
      </c>
      <c r="D238" s="62" t="s">
        <v>1631</v>
      </c>
      <c r="E238" s="62" t="s">
        <v>1937</v>
      </c>
      <c r="F238" s="65" t="s">
        <v>1599</v>
      </c>
      <c r="G238" s="65" t="s">
        <v>1595</v>
      </c>
      <c r="H238" s="65" t="str">
        <f>_xlfn.XLOOKUP(SINIESTROS[[#This Row],[ID PÓLIZA]],POLIZAS[ID PÓLIZA],POLIZAS[TIPO DE VEHICULO])</f>
        <v>Auto</v>
      </c>
      <c r="I238" s="70">
        <v>2518027.7769030123</v>
      </c>
      <c r="J238" s="70">
        <v>0</v>
      </c>
      <c r="K238" s="65" t="s">
        <v>1618</v>
      </c>
      <c r="L238" s="52" t="s">
        <v>1943</v>
      </c>
      <c r="M238" s="65" t="s">
        <v>1958</v>
      </c>
      <c r="N238" s="72">
        <v>19</v>
      </c>
      <c r="O238" s="74" t="s">
        <v>1956</v>
      </c>
    </row>
    <row r="239" spans="1:15" x14ac:dyDescent="0.3">
      <c r="A239" s="64" t="s">
        <v>1870</v>
      </c>
      <c r="B239" s="65" t="s">
        <v>640</v>
      </c>
      <c r="C239" s="62">
        <v>46127</v>
      </c>
      <c r="D239" s="62" t="s">
        <v>1631</v>
      </c>
      <c r="E239" s="62" t="s">
        <v>1935</v>
      </c>
      <c r="F239" s="65" t="s">
        <v>1599</v>
      </c>
      <c r="G239" s="65" t="s">
        <v>1596</v>
      </c>
      <c r="H239" s="65" t="str">
        <f>_xlfn.XLOOKUP(SINIESTROS[[#This Row],[ID PÓLIZA]],POLIZAS[ID PÓLIZA],POLIZAS[TIPO DE VEHICULO])</f>
        <v>Pickup</v>
      </c>
      <c r="I239" s="70">
        <v>4411937.9713865612</v>
      </c>
      <c r="J239" s="70">
        <v>0</v>
      </c>
      <c r="K239" s="65" t="s">
        <v>1619</v>
      </c>
      <c r="L239" s="52" t="s">
        <v>1943</v>
      </c>
      <c r="M239" s="65" t="s">
        <v>1955</v>
      </c>
      <c r="N239" s="72">
        <v>24</v>
      </c>
      <c r="O239" s="74" t="s">
        <v>1956</v>
      </c>
    </row>
    <row r="240" spans="1:15" x14ac:dyDescent="0.3">
      <c r="A240" s="64" t="s">
        <v>1871</v>
      </c>
      <c r="B240" s="65" t="s">
        <v>614</v>
      </c>
      <c r="C240" s="62">
        <v>45725</v>
      </c>
      <c r="D240" s="62" t="s">
        <v>1629</v>
      </c>
      <c r="E240" s="62" t="s">
        <v>1937</v>
      </c>
      <c r="F240" s="65" t="s">
        <v>1601</v>
      </c>
      <c r="G240" s="65" t="s">
        <v>1596</v>
      </c>
      <c r="H240" s="65" t="str">
        <f>_xlfn.XLOOKUP(SINIESTROS[[#This Row],[ID PÓLIZA]],POLIZAS[ID PÓLIZA],POLIZAS[TIPO DE VEHICULO])</f>
        <v>Auto</v>
      </c>
      <c r="I240" s="70">
        <v>12237416.304928426</v>
      </c>
      <c r="J240" s="70">
        <v>0</v>
      </c>
      <c r="K240" s="65" t="s">
        <v>1619</v>
      </c>
      <c r="L240" s="52" t="s">
        <v>1943</v>
      </c>
      <c r="M240" s="65" t="s">
        <v>1955</v>
      </c>
      <c r="N240" s="72">
        <v>16</v>
      </c>
      <c r="O240" s="74" t="s">
        <v>1956</v>
      </c>
    </row>
    <row r="241" spans="1:15" x14ac:dyDescent="0.3">
      <c r="A241" s="64" t="s">
        <v>1872</v>
      </c>
      <c r="B241" s="65" t="s">
        <v>535</v>
      </c>
      <c r="C241" s="62">
        <v>45894</v>
      </c>
      <c r="D241" s="62" t="s">
        <v>1628</v>
      </c>
      <c r="E241" s="62" t="s">
        <v>1935</v>
      </c>
      <c r="F241" s="65" t="s">
        <v>1601</v>
      </c>
      <c r="G241" s="65" t="s">
        <v>1595</v>
      </c>
      <c r="H241" s="65" t="str">
        <f>_xlfn.XLOOKUP(SINIESTROS[[#This Row],[ID PÓLIZA]],POLIZAS[ID PÓLIZA],POLIZAS[TIPO DE VEHICULO])</f>
        <v>Auto</v>
      </c>
      <c r="I241" s="70">
        <v>1145169.850429306</v>
      </c>
      <c r="J241" s="70">
        <v>0</v>
      </c>
      <c r="K241" s="65" t="s">
        <v>1619</v>
      </c>
      <c r="L241" s="52" t="s">
        <v>1943</v>
      </c>
      <c r="M241" s="65" t="s">
        <v>1955</v>
      </c>
      <c r="N241" s="72">
        <v>27</v>
      </c>
      <c r="O241" s="74" t="s">
        <v>1956</v>
      </c>
    </row>
    <row r="242" spans="1:15" x14ac:dyDescent="0.3">
      <c r="A242" s="64" t="s">
        <v>1873</v>
      </c>
      <c r="B242" s="65" t="s">
        <v>733</v>
      </c>
      <c r="C242" s="62">
        <v>45591</v>
      </c>
      <c r="D242" s="62" t="s">
        <v>1628</v>
      </c>
      <c r="E242" s="62" t="s">
        <v>1935</v>
      </c>
      <c r="F242" s="65" t="s">
        <v>1599</v>
      </c>
      <c r="G242" s="65" t="s">
        <v>1595</v>
      </c>
      <c r="H242" s="65" t="str">
        <f>_xlfn.XLOOKUP(SINIESTROS[[#This Row],[ID PÓLIZA]],POLIZAS[ID PÓLIZA],POLIZAS[TIPO DE VEHICULO])</f>
        <v>Auto</v>
      </c>
      <c r="I242" s="70">
        <v>1242534.9739992567</v>
      </c>
      <c r="J242" s="70">
        <v>0</v>
      </c>
      <c r="K242" s="65" t="s">
        <v>1619</v>
      </c>
      <c r="L242" s="52" t="s">
        <v>1943</v>
      </c>
      <c r="M242" s="65" t="s">
        <v>1955</v>
      </c>
      <c r="N242" s="72">
        <v>28</v>
      </c>
      <c r="O242" s="74" t="s">
        <v>1956</v>
      </c>
    </row>
    <row r="243" spans="1:15" x14ac:dyDescent="0.3">
      <c r="A243" s="64" t="s">
        <v>1874</v>
      </c>
      <c r="B243" s="65" t="s">
        <v>1236</v>
      </c>
      <c r="C243" s="62">
        <v>46085</v>
      </c>
      <c r="D243" s="62" t="s">
        <v>1628</v>
      </c>
      <c r="E243" s="62" t="s">
        <v>1935</v>
      </c>
      <c r="F243" s="65" t="s">
        <v>1608</v>
      </c>
      <c r="G243" s="65" t="s">
        <v>1596</v>
      </c>
      <c r="H243" s="65" t="str">
        <f>_xlfn.XLOOKUP(SINIESTROS[[#This Row],[ID PÓLIZA]],POLIZAS[ID PÓLIZA],POLIZAS[TIPO DE VEHICULO])</f>
        <v>Pickup</v>
      </c>
      <c r="I243" s="70">
        <v>3769040.9573460245</v>
      </c>
      <c r="J243" s="70">
        <v>0</v>
      </c>
      <c r="K243" s="65" t="s">
        <v>1619</v>
      </c>
      <c r="L243" s="52" t="s">
        <v>1943</v>
      </c>
      <c r="M243" s="65" t="s">
        <v>1955</v>
      </c>
      <c r="N243" s="72">
        <v>27</v>
      </c>
      <c r="O243" s="74" t="s">
        <v>1956</v>
      </c>
    </row>
    <row r="244" spans="1:15" x14ac:dyDescent="0.3">
      <c r="A244" s="64" t="s">
        <v>1875</v>
      </c>
      <c r="B244" s="65" t="s">
        <v>984</v>
      </c>
      <c r="C244" s="62">
        <v>45279</v>
      </c>
      <c r="D244" s="62" t="s">
        <v>1628</v>
      </c>
      <c r="E244" s="62" t="s">
        <v>1936</v>
      </c>
      <c r="F244" s="65" t="s">
        <v>1606</v>
      </c>
      <c r="G244" s="65" t="s">
        <v>1595</v>
      </c>
      <c r="H244" s="65" t="str">
        <f>_xlfn.XLOOKUP(SINIESTROS[[#This Row],[ID PÓLIZA]],POLIZAS[ID PÓLIZA],POLIZAS[TIPO DE VEHICULO])</f>
        <v>SUV</v>
      </c>
      <c r="I244" s="70">
        <v>9955027.3155102003</v>
      </c>
      <c r="J244" s="70">
        <v>0</v>
      </c>
      <c r="K244" s="65" t="s">
        <v>1618</v>
      </c>
      <c r="L244" s="52" t="s">
        <v>1943</v>
      </c>
      <c r="M244" s="65" t="s">
        <v>1958</v>
      </c>
      <c r="N244" s="72">
        <v>4</v>
      </c>
      <c r="O244" s="74" t="s">
        <v>1956</v>
      </c>
    </row>
    <row r="245" spans="1:15" x14ac:dyDescent="0.3">
      <c r="A245" s="64" t="s">
        <v>1876</v>
      </c>
      <c r="B245" s="65" t="s">
        <v>776</v>
      </c>
      <c r="C245" s="62">
        <v>46246</v>
      </c>
      <c r="D245" s="62" t="s">
        <v>1630</v>
      </c>
      <c r="E245" s="62" t="s">
        <v>1937</v>
      </c>
      <c r="F245" s="65" t="s">
        <v>1600</v>
      </c>
      <c r="G245" s="65" t="s">
        <v>1596</v>
      </c>
      <c r="H245" s="65" t="str">
        <f>_xlfn.XLOOKUP(SINIESTROS[[#This Row],[ID PÓLIZA]],POLIZAS[ID PÓLIZA],POLIZAS[TIPO DE VEHICULO])</f>
        <v>Utilitario</v>
      </c>
      <c r="I245" s="70">
        <v>4303919.2775846981</v>
      </c>
      <c r="J245" s="70">
        <v>3672925.4337178492</v>
      </c>
      <c r="K245" s="65" t="s">
        <v>1618</v>
      </c>
      <c r="L245" s="52" t="s">
        <v>1941</v>
      </c>
      <c r="M245" s="65" t="s">
        <v>1957</v>
      </c>
      <c r="N245" s="72">
        <v>33</v>
      </c>
      <c r="O245" s="74" t="s">
        <v>1956</v>
      </c>
    </row>
    <row r="246" spans="1:15" x14ac:dyDescent="0.3">
      <c r="A246" s="64" t="s">
        <v>1877</v>
      </c>
      <c r="B246" s="65" t="s">
        <v>660</v>
      </c>
      <c r="C246" s="62">
        <v>45769</v>
      </c>
      <c r="D246" s="62" t="s">
        <v>1630</v>
      </c>
      <c r="E246" s="62" t="s">
        <v>1938</v>
      </c>
      <c r="F246" s="65" t="s">
        <v>1602</v>
      </c>
      <c r="G246" s="65" t="s">
        <v>1595</v>
      </c>
      <c r="H246" s="65" t="str">
        <f>_xlfn.XLOOKUP(SINIESTROS[[#This Row],[ID PÓLIZA]],POLIZAS[ID PÓLIZA],POLIZAS[TIPO DE VEHICULO])</f>
        <v>Pickup</v>
      </c>
      <c r="I246" s="70">
        <v>39970953.427343525</v>
      </c>
      <c r="J246" s="70">
        <v>0</v>
      </c>
      <c r="K246" s="65" t="s">
        <v>1618</v>
      </c>
      <c r="L246" s="52" t="s">
        <v>1943</v>
      </c>
      <c r="M246" s="65" t="s">
        <v>1958</v>
      </c>
      <c r="N246" s="72">
        <v>10</v>
      </c>
      <c r="O246" s="74" t="s">
        <v>1956</v>
      </c>
    </row>
    <row r="247" spans="1:15" x14ac:dyDescent="0.3">
      <c r="A247" s="64" t="s">
        <v>1878</v>
      </c>
      <c r="B247" s="65" t="s">
        <v>337</v>
      </c>
      <c r="C247" s="62">
        <v>46211</v>
      </c>
      <c r="D247" s="62" t="s">
        <v>1628</v>
      </c>
      <c r="E247" s="62" t="s">
        <v>1935</v>
      </c>
      <c r="F247" s="65" t="s">
        <v>1599</v>
      </c>
      <c r="G247" s="65" t="s">
        <v>1595</v>
      </c>
      <c r="H247" s="65" t="str">
        <f>_xlfn.XLOOKUP(SINIESTROS[[#This Row],[ID PÓLIZA]],POLIZAS[ID PÓLIZA],POLIZAS[TIPO DE VEHICULO])</f>
        <v>Pickup</v>
      </c>
      <c r="I247" s="70">
        <v>2776738.7398880641</v>
      </c>
      <c r="J247" s="70">
        <v>0</v>
      </c>
      <c r="K247" s="65" t="s">
        <v>1618</v>
      </c>
      <c r="L247" s="52" t="s">
        <v>1943</v>
      </c>
      <c r="M247" s="65" t="s">
        <v>1958</v>
      </c>
      <c r="N247" s="72">
        <v>21</v>
      </c>
      <c r="O247" s="74" t="s">
        <v>1956</v>
      </c>
    </row>
    <row r="248" spans="1:15" x14ac:dyDescent="0.3">
      <c r="A248" s="64" t="s">
        <v>1879</v>
      </c>
      <c r="B248" s="65" t="s">
        <v>658</v>
      </c>
      <c r="C248" s="62">
        <v>46225</v>
      </c>
      <c r="D248" s="62" t="s">
        <v>1630</v>
      </c>
      <c r="E248" s="62" t="s">
        <v>1936</v>
      </c>
      <c r="F248" s="65" t="s">
        <v>1608</v>
      </c>
      <c r="G248" s="65" t="s">
        <v>1596</v>
      </c>
      <c r="H248" s="65" t="str">
        <f>_xlfn.XLOOKUP(SINIESTROS[[#This Row],[ID PÓLIZA]],POLIZAS[ID PÓLIZA],POLIZAS[TIPO DE VEHICULO])</f>
        <v>Pickup</v>
      </c>
      <c r="I248" s="70">
        <v>8531502.3021702319</v>
      </c>
      <c r="J248" s="70">
        <v>0</v>
      </c>
      <c r="K248" s="65" t="s">
        <v>1619</v>
      </c>
      <c r="L248" s="52" t="s">
        <v>1943</v>
      </c>
      <c r="M248" s="65" t="s">
        <v>1955</v>
      </c>
      <c r="N248" s="72">
        <v>30</v>
      </c>
      <c r="O248" s="74" t="s">
        <v>1956</v>
      </c>
    </row>
    <row r="249" spans="1:15" x14ac:dyDescent="0.3">
      <c r="A249" s="64" t="s">
        <v>1880</v>
      </c>
      <c r="B249" s="65" t="s">
        <v>821</v>
      </c>
      <c r="C249" s="62">
        <v>45645</v>
      </c>
      <c r="D249" s="62" t="s">
        <v>1628</v>
      </c>
      <c r="E249" s="62" t="s">
        <v>1936</v>
      </c>
      <c r="F249" s="65" t="s">
        <v>1600</v>
      </c>
      <c r="G249" s="65" t="s">
        <v>1598</v>
      </c>
      <c r="H249" s="65" t="str">
        <f>_xlfn.XLOOKUP(SINIESTROS[[#This Row],[ID PÓLIZA]],POLIZAS[ID PÓLIZA],POLIZAS[TIPO DE VEHICULO])</f>
        <v>Utilitario</v>
      </c>
      <c r="I249" s="70">
        <v>4228274.484576948</v>
      </c>
      <c r="J249" s="70">
        <v>0</v>
      </c>
      <c r="K249" s="65" t="s">
        <v>1619</v>
      </c>
      <c r="L249" s="52" t="s">
        <v>1943</v>
      </c>
      <c r="M249" s="65" t="s">
        <v>1955</v>
      </c>
      <c r="N249" s="72">
        <v>9</v>
      </c>
      <c r="O249" s="74" t="s">
        <v>1956</v>
      </c>
    </row>
    <row r="250" spans="1:15" x14ac:dyDescent="0.3">
      <c r="A250" s="64" t="s">
        <v>1881</v>
      </c>
      <c r="B250" s="65" t="s">
        <v>774</v>
      </c>
      <c r="C250" s="62">
        <v>44932</v>
      </c>
      <c r="D250" s="62" t="s">
        <v>1632</v>
      </c>
      <c r="E250" s="62" t="s">
        <v>1936</v>
      </c>
      <c r="F250" s="65" t="s">
        <v>1604</v>
      </c>
      <c r="G250" s="65" t="s">
        <v>1595</v>
      </c>
      <c r="H250" s="65" t="str">
        <f>_xlfn.XLOOKUP(SINIESTROS[[#This Row],[ID PÓLIZA]],POLIZAS[ID PÓLIZA],POLIZAS[TIPO DE VEHICULO])</f>
        <v>SUV</v>
      </c>
      <c r="I250" s="70">
        <v>8694237.9141067248</v>
      </c>
      <c r="J250" s="70">
        <v>0</v>
      </c>
      <c r="K250" s="65" t="s">
        <v>1618</v>
      </c>
      <c r="L250" s="52" t="s">
        <v>1943</v>
      </c>
      <c r="M250" s="65" t="s">
        <v>1958</v>
      </c>
      <c r="N250" s="72">
        <v>9</v>
      </c>
      <c r="O250" s="74" t="s">
        <v>1956</v>
      </c>
    </row>
    <row r="251" spans="1:15" x14ac:dyDescent="0.3">
      <c r="A251" s="64" t="s">
        <v>1882</v>
      </c>
      <c r="B251" s="65" t="s">
        <v>627</v>
      </c>
      <c r="C251" s="62">
        <v>44863</v>
      </c>
      <c r="D251" s="62" t="s">
        <v>1629</v>
      </c>
      <c r="E251" s="62" t="s">
        <v>1935</v>
      </c>
      <c r="F251" s="65" t="s">
        <v>1601</v>
      </c>
      <c r="G251" s="65" t="s">
        <v>1596</v>
      </c>
      <c r="H251" s="65" t="str">
        <f>_xlfn.XLOOKUP(SINIESTROS[[#This Row],[ID PÓLIZA]],POLIZAS[ID PÓLIZA],POLIZAS[TIPO DE VEHICULO])</f>
        <v>Pickup</v>
      </c>
      <c r="I251" s="70">
        <v>4636693.3181296475</v>
      </c>
      <c r="J251" s="70">
        <v>0</v>
      </c>
      <c r="K251" s="65" t="s">
        <v>1619</v>
      </c>
      <c r="L251" s="52" t="s">
        <v>1943</v>
      </c>
      <c r="M251" s="65" t="s">
        <v>1955</v>
      </c>
      <c r="N251" s="72">
        <v>6</v>
      </c>
      <c r="O251" s="74" t="s">
        <v>1956</v>
      </c>
    </row>
    <row r="252" spans="1:15" x14ac:dyDescent="0.3">
      <c r="A252" s="64" t="s">
        <v>1883</v>
      </c>
      <c r="B252" s="65" t="s">
        <v>1180</v>
      </c>
      <c r="C252" s="62">
        <v>46208</v>
      </c>
      <c r="D252" s="62" t="s">
        <v>1628</v>
      </c>
      <c r="E252" s="62" t="s">
        <v>1935</v>
      </c>
      <c r="F252" s="65" t="s">
        <v>1600</v>
      </c>
      <c r="G252" s="65" t="s">
        <v>1597</v>
      </c>
      <c r="H252" s="65" t="str">
        <f>_xlfn.XLOOKUP(SINIESTROS[[#This Row],[ID PÓLIZA]],POLIZAS[ID PÓLIZA],POLIZAS[TIPO DE VEHICULO])</f>
        <v>Pickup</v>
      </c>
      <c r="I252" s="70">
        <v>6053647.3031393122</v>
      </c>
      <c r="J252" s="70">
        <v>0</v>
      </c>
      <c r="K252" s="65" t="s">
        <v>1619</v>
      </c>
      <c r="L252" s="52" t="s">
        <v>1943</v>
      </c>
      <c r="M252" s="65" t="s">
        <v>1955</v>
      </c>
      <c r="N252" s="72">
        <v>16</v>
      </c>
      <c r="O252" s="74" t="s">
        <v>1956</v>
      </c>
    </row>
    <row r="253" spans="1:15" x14ac:dyDescent="0.3">
      <c r="A253" s="64" t="s">
        <v>1884</v>
      </c>
      <c r="B253" s="65" t="s">
        <v>1256</v>
      </c>
      <c r="C253" s="62">
        <v>46159</v>
      </c>
      <c r="D253" s="62" t="s">
        <v>1628</v>
      </c>
      <c r="E253" s="62" t="s">
        <v>1938</v>
      </c>
      <c r="F253" s="65" t="s">
        <v>1607</v>
      </c>
      <c r="G253" s="65" t="s">
        <v>1595</v>
      </c>
      <c r="H253" s="65" t="str">
        <f>_xlfn.XLOOKUP(SINIESTROS[[#This Row],[ID PÓLIZA]],POLIZAS[ID PÓLIZA],POLIZAS[TIPO DE VEHICULO])</f>
        <v>Utilitario</v>
      </c>
      <c r="I253" s="70">
        <v>18255307.349449165</v>
      </c>
      <c r="J253" s="70">
        <v>0</v>
      </c>
      <c r="K253" s="65" t="s">
        <v>1619</v>
      </c>
      <c r="L253" s="52" t="s">
        <v>1943</v>
      </c>
      <c r="M253" s="65" t="s">
        <v>1955</v>
      </c>
      <c r="N253" s="72">
        <v>17</v>
      </c>
      <c r="O253" s="74" t="s">
        <v>1956</v>
      </c>
    </row>
    <row r="254" spans="1:15" x14ac:dyDescent="0.3">
      <c r="A254" s="64" t="s">
        <v>1885</v>
      </c>
      <c r="B254" s="65" t="s">
        <v>541</v>
      </c>
      <c r="C254" s="62">
        <v>46175</v>
      </c>
      <c r="D254" s="62" t="s">
        <v>1628</v>
      </c>
      <c r="E254" s="62" t="s">
        <v>1936</v>
      </c>
      <c r="F254" s="65" t="s">
        <v>1599</v>
      </c>
      <c r="G254" s="65" t="s">
        <v>1596</v>
      </c>
      <c r="H254" s="65" t="str">
        <f>_xlfn.XLOOKUP(SINIESTROS[[#This Row],[ID PÓLIZA]],POLIZAS[ID PÓLIZA],POLIZAS[TIPO DE VEHICULO])</f>
        <v>Utilitario</v>
      </c>
      <c r="I254" s="70">
        <v>6177474.1525300248</v>
      </c>
      <c r="J254" s="70">
        <v>0</v>
      </c>
      <c r="K254" s="65" t="s">
        <v>1618</v>
      </c>
      <c r="L254" s="52" t="s">
        <v>1943</v>
      </c>
      <c r="M254" s="65" t="s">
        <v>1958</v>
      </c>
      <c r="N254" s="72">
        <v>8</v>
      </c>
      <c r="O254" s="74" t="s">
        <v>1956</v>
      </c>
    </row>
    <row r="255" spans="1:15" x14ac:dyDescent="0.3">
      <c r="A255" s="64" t="s">
        <v>1886</v>
      </c>
      <c r="B255" s="65" t="s">
        <v>475</v>
      </c>
      <c r="C255" s="62">
        <v>45314</v>
      </c>
      <c r="D255" s="62" t="s">
        <v>1632</v>
      </c>
      <c r="E255" s="62" t="s">
        <v>1936</v>
      </c>
      <c r="F255" s="65" t="s">
        <v>1602</v>
      </c>
      <c r="G255" s="65" t="s">
        <v>1597</v>
      </c>
      <c r="H255" s="65" t="str">
        <f>_xlfn.XLOOKUP(SINIESTROS[[#This Row],[ID PÓLIZA]],POLIZAS[ID PÓLIZA],POLIZAS[TIPO DE VEHICULO])</f>
        <v>SUV</v>
      </c>
      <c r="I255" s="70">
        <v>3710864.4938756707</v>
      </c>
      <c r="J255" s="70">
        <v>0</v>
      </c>
      <c r="K255" s="65" t="s">
        <v>1619</v>
      </c>
      <c r="L255" s="52" t="s">
        <v>1943</v>
      </c>
      <c r="M255" s="65" t="s">
        <v>1955</v>
      </c>
      <c r="N255" s="72">
        <v>17</v>
      </c>
      <c r="O255" s="74" t="s">
        <v>1956</v>
      </c>
    </row>
    <row r="256" spans="1:15" x14ac:dyDescent="0.3">
      <c r="A256" s="64" t="s">
        <v>1887</v>
      </c>
      <c r="B256" s="65" t="s">
        <v>695</v>
      </c>
      <c r="C256" s="62">
        <v>46199</v>
      </c>
      <c r="D256" s="62" t="s">
        <v>1631</v>
      </c>
      <c r="E256" s="62" t="s">
        <v>1936</v>
      </c>
      <c r="F256" s="65" t="s">
        <v>1602</v>
      </c>
      <c r="G256" s="65" t="s">
        <v>1596</v>
      </c>
      <c r="H256" s="65" t="str">
        <f>_xlfn.XLOOKUP(SINIESTROS[[#This Row],[ID PÓLIZA]],POLIZAS[ID PÓLIZA],POLIZAS[TIPO DE VEHICULO])</f>
        <v>SUV</v>
      </c>
      <c r="I256" s="70">
        <v>4829132.926153468</v>
      </c>
      <c r="J256" s="70">
        <v>0</v>
      </c>
      <c r="K256" s="65" t="s">
        <v>1618</v>
      </c>
      <c r="L256" s="52" t="s">
        <v>1943</v>
      </c>
      <c r="M256" s="65" t="s">
        <v>1957</v>
      </c>
      <c r="N256" s="72">
        <v>7</v>
      </c>
      <c r="O256" s="74" t="s">
        <v>1956</v>
      </c>
    </row>
    <row r="257" spans="1:15" x14ac:dyDescent="0.3">
      <c r="A257" s="64" t="s">
        <v>1888</v>
      </c>
      <c r="B257" s="65" t="s">
        <v>1242</v>
      </c>
      <c r="C257" s="62">
        <v>44933</v>
      </c>
      <c r="D257" s="62" t="s">
        <v>1628</v>
      </c>
      <c r="E257" s="62" t="s">
        <v>1935</v>
      </c>
      <c r="F257" s="65" t="s">
        <v>1606</v>
      </c>
      <c r="G257" s="65" t="s">
        <v>1598</v>
      </c>
      <c r="H257" s="65" t="str">
        <f>_xlfn.XLOOKUP(SINIESTROS[[#This Row],[ID PÓLIZA]],POLIZAS[ID PÓLIZA],POLIZAS[TIPO DE VEHICULO])</f>
        <v>SUV</v>
      </c>
      <c r="I257" s="70">
        <v>1778028.3197574511</v>
      </c>
      <c r="J257" s="70">
        <v>0</v>
      </c>
      <c r="K257" s="65" t="s">
        <v>1618</v>
      </c>
      <c r="L257" s="52" t="s">
        <v>1621</v>
      </c>
      <c r="M257" s="65" t="s">
        <v>1957</v>
      </c>
      <c r="N257" s="72">
        <v>3</v>
      </c>
      <c r="O257" s="74" t="s">
        <v>1956</v>
      </c>
    </row>
    <row r="258" spans="1:15" x14ac:dyDescent="0.3">
      <c r="A258" s="64" t="s">
        <v>1889</v>
      </c>
      <c r="B258" s="65" t="s">
        <v>828</v>
      </c>
      <c r="C258" s="62">
        <v>46245</v>
      </c>
      <c r="D258" s="62" t="s">
        <v>1630</v>
      </c>
      <c r="E258" s="62" t="s">
        <v>1937</v>
      </c>
      <c r="F258" s="65" t="s">
        <v>1604</v>
      </c>
      <c r="G258" s="65" t="s">
        <v>1595</v>
      </c>
      <c r="H258" s="65" t="str">
        <f>_xlfn.XLOOKUP(SINIESTROS[[#This Row],[ID PÓLIZA]],POLIZAS[ID PÓLIZA],POLIZAS[TIPO DE VEHICULO])</f>
        <v>Pickup</v>
      </c>
      <c r="I258" s="70">
        <v>22641105.923572402</v>
      </c>
      <c r="J258" s="70">
        <v>0</v>
      </c>
      <c r="K258" s="65" t="s">
        <v>1618</v>
      </c>
      <c r="L258" s="52" t="s">
        <v>1943</v>
      </c>
      <c r="M258" s="65" t="s">
        <v>1958</v>
      </c>
      <c r="N258" s="72">
        <v>30</v>
      </c>
      <c r="O258" s="74" t="s">
        <v>1956</v>
      </c>
    </row>
    <row r="259" spans="1:15" x14ac:dyDescent="0.3">
      <c r="A259" s="64" t="s">
        <v>1890</v>
      </c>
      <c r="B259" s="65" t="s">
        <v>616</v>
      </c>
      <c r="C259" s="62">
        <v>46011</v>
      </c>
      <c r="D259" s="62" t="s">
        <v>1628</v>
      </c>
      <c r="E259" s="62" t="s">
        <v>1935</v>
      </c>
      <c r="F259" s="65" t="s">
        <v>1606</v>
      </c>
      <c r="G259" s="65" t="s">
        <v>1596</v>
      </c>
      <c r="H259" s="65" t="str">
        <f>_xlfn.XLOOKUP(SINIESTROS[[#This Row],[ID PÓLIZA]],POLIZAS[ID PÓLIZA],POLIZAS[TIPO DE VEHICULO])</f>
        <v>Utilitario</v>
      </c>
      <c r="I259" s="70">
        <v>1439787.3780073014</v>
      </c>
      <c r="J259" s="70">
        <v>0</v>
      </c>
      <c r="K259" s="65" t="s">
        <v>1619</v>
      </c>
      <c r="L259" s="52" t="s">
        <v>1943</v>
      </c>
      <c r="M259" s="65" t="s">
        <v>1955</v>
      </c>
      <c r="N259" s="72">
        <v>14</v>
      </c>
      <c r="O259" s="74" t="s">
        <v>1956</v>
      </c>
    </row>
    <row r="260" spans="1:15" x14ac:dyDescent="0.3">
      <c r="A260" s="64" t="s">
        <v>1891</v>
      </c>
      <c r="B260" s="65" t="s">
        <v>712</v>
      </c>
      <c r="C260" s="62">
        <v>46091</v>
      </c>
      <c r="D260" s="62" t="s">
        <v>1630</v>
      </c>
      <c r="E260" s="62" t="s">
        <v>1936</v>
      </c>
      <c r="F260" s="65" t="s">
        <v>1599</v>
      </c>
      <c r="G260" s="65" t="s">
        <v>1597</v>
      </c>
      <c r="H260" s="65" t="str">
        <f>_xlfn.XLOOKUP(SINIESTROS[[#This Row],[ID PÓLIZA]],POLIZAS[ID PÓLIZA],POLIZAS[TIPO DE VEHICULO])</f>
        <v>SUV</v>
      </c>
      <c r="I260" s="70">
        <v>10576603.436465954</v>
      </c>
      <c r="J260" s="70">
        <v>8687318.5733819697</v>
      </c>
      <c r="K260" s="65" t="s">
        <v>1618</v>
      </c>
      <c r="L260" s="52" t="s">
        <v>1941</v>
      </c>
      <c r="M260" s="65" t="s">
        <v>1957</v>
      </c>
      <c r="N260" s="72">
        <v>12</v>
      </c>
      <c r="O260" s="74" t="s">
        <v>1956</v>
      </c>
    </row>
    <row r="261" spans="1:15" x14ac:dyDescent="0.3">
      <c r="A261" s="64" t="s">
        <v>1892</v>
      </c>
      <c r="B261" s="65" t="s">
        <v>1020</v>
      </c>
      <c r="C261" s="62">
        <v>46108</v>
      </c>
      <c r="D261" s="62" t="s">
        <v>1632</v>
      </c>
      <c r="E261" s="62" t="s">
        <v>1935</v>
      </c>
      <c r="F261" s="65" t="s">
        <v>1600</v>
      </c>
      <c r="G261" s="65" t="s">
        <v>1596</v>
      </c>
      <c r="H261" s="65" t="str">
        <f>_xlfn.XLOOKUP(SINIESTROS[[#This Row],[ID PÓLIZA]],POLIZAS[ID PÓLIZA],POLIZAS[TIPO DE VEHICULO])</f>
        <v>SUV</v>
      </c>
      <c r="I261" s="70">
        <v>484169.56838140322</v>
      </c>
      <c r="J261" s="70">
        <v>0</v>
      </c>
      <c r="K261" s="65" t="s">
        <v>1619</v>
      </c>
      <c r="L261" s="52" t="s">
        <v>1943</v>
      </c>
      <c r="M261" s="65" t="s">
        <v>1955</v>
      </c>
      <c r="N261" s="72">
        <v>29</v>
      </c>
      <c r="O261" s="74" t="s">
        <v>1956</v>
      </c>
    </row>
    <row r="262" spans="1:15" x14ac:dyDescent="0.3">
      <c r="A262" s="64" t="s">
        <v>1893</v>
      </c>
      <c r="B262" s="65" t="s">
        <v>538</v>
      </c>
      <c r="C262" s="62">
        <v>46046</v>
      </c>
      <c r="D262" s="62" t="s">
        <v>1630</v>
      </c>
      <c r="E262" s="62" t="s">
        <v>1936</v>
      </c>
      <c r="F262" s="65" t="s">
        <v>1600</v>
      </c>
      <c r="G262" s="65" t="s">
        <v>1597</v>
      </c>
      <c r="H262" s="65" t="str">
        <f>_xlfn.XLOOKUP(SINIESTROS[[#This Row],[ID PÓLIZA]],POLIZAS[ID PÓLIZA],POLIZAS[TIPO DE VEHICULO])</f>
        <v>Pickup</v>
      </c>
      <c r="I262" s="70">
        <v>11188685.691280834</v>
      </c>
      <c r="J262" s="70">
        <v>0</v>
      </c>
      <c r="K262" s="65" t="s">
        <v>1619</v>
      </c>
      <c r="L262" s="52" t="s">
        <v>1943</v>
      </c>
      <c r="M262" s="65" t="s">
        <v>1955</v>
      </c>
      <c r="N262" s="72">
        <v>29</v>
      </c>
      <c r="O262" s="74" t="s">
        <v>1956</v>
      </c>
    </row>
    <row r="263" spans="1:15" x14ac:dyDescent="0.3">
      <c r="A263" s="64" t="s">
        <v>1894</v>
      </c>
      <c r="B263" s="65" t="s">
        <v>376</v>
      </c>
      <c r="C263" s="62">
        <v>45980</v>
      </c>
      <c r="D263" s="62" t="s">
        <v>1628</v>
      </c>
      <c r="E263" s="62" t="s">
        <v>1937</v>
      </c>
      <c r="F263" s="65" t="s">
        <v>1602</v>
      </c>
      <c r="G263" s="65" t="s">
        <v>1596</v>
      </c>
      <c r="H263" s="65" t="str">
        <f>_xlfn.XLOOKUP(SINIESTROS[[#This Row],[ID PÓLIZA]],POLIZAS[ID PÓLIZA],POLIZAS[TIPO DE VEHICULO])</f>
        <v>Pickup</v>
      </c>
      <c r="I263" s="70">
        <v>11599407.199281948</v>
      </c>
      <c r="J263" s="70">
        <v>0</v>
      </c>
      <c r="K263" s="65" t="s">
        <v>1618</v>
      </c>
      <c r="L263" s="52" t="s">
        <v>1943</v>
      </c>
      <c r="M263" s="65" t="s">
        <v>1958</v>
      </c>
      <c r="N263" s="72">
        <v>4</v>
      </c>
      <c r="O263" s="74" t="s">
        <v>1956</v>
      </c>
    </row>
    <row r="264" spans="1:15" x14ac:dyDescent="0.3">
      <c r="A264" s="64" t="s">
        <v>1895</v>
      </c>
      <c r="B264" s="65" t="s">
        <v>634</v>
      </c>
      <c r="C264" s="62">
        <v>46175</v>
      </c>
      <c r="D264" s="62" t="s">
        <v>1631</v>
      </c>
      <c r="E264" s="62" t="s">
        <v>1935</v>
      </c>
      <c r="F264" s="65" t="s">
        <v>1602</v>
      </c>
      <c r="G264" s="65" t="s">
        <v>1596</v>
      </c>
      <c r="H264" s="65" t="str">
        <f>_xlfn.XLOOKUP(SINIESTROS[[#This Row],[ID PÓLIZA]],POLIZAS[ID PÓLIZA],POLIZAS[TIPO DE VEHICULO])</f>
        <v>SUV</v>
      </c>
      <c r="I264" s="70">
        <v>331684.10166954884</v>
      </c>
      <c r="J264" s="70">
        <v>310451.93589318643</v>
      </c>
      <c r="K264" s="65" t="s">
        <v>1618</v>
      </c>
      <c r="L264" s="52" t="s">
        <v>1941</v>
      </c>
      <c r="M264" s="65" t="s">
        <v>1957</v>
      </c>
      <c r="N264" s="72">
        <v>36</v>
      </c>
      <c r="O264" s="74" t="s">
        <v>1956</v>
      </c>
    </row>
    <row r="265" spans="1:15" x14ac:dyDescent="0.3">
      <c r="A265" s="64" t="s">
        <v>1896</v>
      </c>
      <c r="B265" s="65" t="s">
        <v>664</v>
      </c>
      <c r="C265" s="62">
        <v>46074</v>
      </c>
      <c r="D265" s="62" t="s">
        <v>1632</v>
      </c>
      <c r="E265" s="62" t="s">
        <v>1935</v>
      </c>
      <c r="F265" s="65" t="s">
        <v>1608</v>
      </c>
      <c r="G265" s="65" t="s">
        <v>1596</v>
      </c>
      <c r="H265" s="65" t="str">
        <f>_xlfn.XLOOKUP(SINIESTROS[[#This Row],[ID PÓLIZA]],POLIZAS[ID PÓLIZA],POLIZAS[TIPO DE VEHICULO])</f>
        <v>SUV</v>
      </c>
      <c r="I265" s="70">
        <v>4765331.91450598</v>
      </c>
      <c r="J265" s="70">
        <v>0</v>
      </c>
      <c r="K265" s="65" t="s">
        <v>1619</v>
      </c>
      <c r="L265" s="52" t="s">
        <v>1943</v>
      </c>
      <c r="M265" s="65" t="s">
        <v>1955</v>
      </c>
      <c r="N265" s="72">
        <v>6</v>
      </c>
      <c r="O265" s="74" t="s">
        <v>1956</v>
      </c>
    </row>
    <row r="266" spans="1:15" x14ac:dyDescent="0.3">
      <c r="A266" s="64" t="s">
        <v>1897</v>
      </c>
      <c r="B266" s="65" t="s">
        <v>1021</v>
      </c>
      <c r="C266" s="62">
        <v>45319</v>
      </c>
      <c r="D266" s="62" t="s">
        <v>1632</v>
      </c>
      <c r="E266" s="62" t="s">
        <v>1936</v>
      </c>
      <c r="F266" s="65" t="s">
        <v>1599</v>
      </c>
      <c r="G266" s="65" t="s">
        <v>1597</v>
      </c>
      <c r="H266" s="65" t="str">
        <f>_xlfn.XLOOKUP(SINIESTROS[[#This Row],[ID PÓLIZA]],POLIZAS[ID PÓLIZA],POLIZAS[TIPO DE VEHICULO])</f>
        <v>Auto</v>
      </c>
      <c r="I266" s="70">
        <v>5072124.8262690362</v>
      </c>
      <c r="J266" s="70">
        <v>0</v>
      </c>
      <c r="K266" s="65" t="s">
        <v>1618</v>
      </c>
      <c r="L266" s="52" t="s">
        <v>1943</v>
      </c>
      <c r="M266" s="65" t="s">
        <v>1957</v>
      </c>
      <c r="N266" s="72">
        <v>25</v>
      </c>
      <c r="O266" s="74" t="s">
        <v>1956</v>
      </c>
    </row>
    <row r="267" spans="1:15" x14ac:dyDescent="0.3">
      <c r="A267" s="64" t="s">
        <v>1898</v>
      </c>
      <c r="B267" s="65" t="s">
        <v>921</v>
      </c>
      <c r="C267" s="62">
        <v>46115</v>
      </c>
      <c r="D267" s="62" t="s">
        <v>1630</v>
      </c>
      <c r="E267" s="62" t="s">
        <v>1935</v>
      </c>
      <c r="F267" s="65" t="s">
        <v>1607</v>
      </c>
      <c r="G267" s="65" t="s">
        <v>1595</v>
      </c>
      <c r="H267" s="65" t="str">
        <f>_xlfn.XLOOKUP(SINIESTROS[[#This Row],[ID PÓLIZA]],POLIZAS[ID PÓLIZA],POLIZAS[TIPO DE VEHICULO])</f>
        <v>SUV</v>
      </c>
      <c r="I267" s="70">
        <v>1345071.7686827339</v>
      </c>
      <c r="J267" s="70">
        <v>0</v>
      </c>
      <c r="K267" s="65" t="s">
        <v>1619</v>
      </c>
      <c r="L267" s="52" t="s">
        <v>1943</v>
      </c>
      <c r="M267" s="65" t="s">
        <v>1955</v>
      </c>
      <c r="N267" s="72">
        <v>14</v>
      </c>
      <c r="O267" s="74" t="s">
        <v>1956</v>
      </c>
    </row>
    <row r="268" spans="1:15" x14ac:dyDescent="0.3">
      <c r="A268" s="64" t="s">
        <v>1899</v>
      </c>
      <c r="B268" s="65" t="s">
        <v>445</v>
      </c>
      <c r="C268" s="62">
        <v>45496</v>
      </c>
      <c r="D268" s="62" t="s">
        <v>1630</v>
      </c>
      <c r="E268" s="62" t="s">
        <v>1935</v>
      </c>
      <c r="F268" s="65" t="s">
        <v>1599</v>
      </c>
      <c r="G268" s="65" t="s">
        <v>1595</v>
      </c>
      <c r="H268" s="65" t="str">
        <f>_xlfn.XLOOKUP(SINIESTROS[[#This Row],[ID PÓLIZA]],POLIZAS[ID PÓLIZA],POLIZAS[TIPO DE VEHICULO])</f>
        <v>Auto</v>
      </c>
      <c r="I268" s="70">
        <v>2970397.131223591</v>
      </c>
      <c r="J268" s="70">
        <v>0</v>
      </c>
      <c r="K268" s="65" t="s">
        <v>1619</v>
      </c>
      <c r="L268" s="52" t="s">
        <v>1943</v>
      </c>
      <c r="M268" s="65" t="s">
        <v>1955</v>
      </c>
      <c r="N268" s="72">
        <v>25</v>
      </c>
      <c r="O268" s="74" t="s">
        <v>1956</v>
      </c>
    </row>
    <row r="269" spans="1:15" x14ac:dyDescent="0.3">
      <c r="A269" s="64" t="s">
        <v>1900</v>
      </c>
      <c r="B269" s="65" t="s">
        <v>1187</v>
      </c>
      <c r="C269" s="62">
        <v>46134</v>
      </c>
      <c r="D269" s="62" t="s">
        <v>1628</v>
      </c>
      <c r="E269" s="62" t="s">
        <v>1935</v>
      </c>
      <c r="F269" s="65" t="s">
        <v>1604</v>
      </c>
      <c r="G269" s="65" t="s">
        <v>1598</v>
      </c>
      <c r="H269" s="65" t="str">
        <f>_xlfn.XLOOKUP(SINIESTROS[[#This Row],[ID PÓLIZA]],POLIZAS[ID PÓLIZA],POLIZAS[TIPO DE VEHICULO])</f>
        <v>Utilitario</v>
      </c>
      <c r="I269" s="70">
        <v>1395283.8616251801</v>
      </c>
      <c r="J269" s="70">
        <v>1223122.8019500156</v>
      </c>
      <c r="K269" s="65" t="s">
        <v>1618</v>
      </c>
      <c r="L269" s="52" t="s">
        <v>1941</v>
      </c>
      <c r="M269" s="65" t="s">
        <v>1957</v>
      </c>
      <c r="N269" s="72">
        <v>41</v>
      </c>
      <c r="O269" s="74" t="s">
        <v>1956</v>
      </c>
    </row>
    <row r="270" spans="1:15" x14ac:dyDescent="0.3">
      <c r="A270" s="64" t="s">
        <v>1901</v>
      </c>
      <c r="B270" s="65" t="s">
        <v>1028</v>
      </c>
      <c r="C270" s="62">
        <v>45881</v>
      </c>
      <c r="D270" s="62" t="s">
        <v>1628</v>
      </c>
      <c r="E270" s="62" t="s">
        <v>1935</v>
      </c>
      <c r="F270" s="65" t="s">
        <v>1599</v>
      </c>
      <c r="G270" s="65" t="s">
        <v>1596</v>
      </c>
      <c r="H270" s="65" t="str">
        <f>_xlfn.XLOOKUP(SINIESTROS[[#This Row],[ID PÓLIZA]],POLIZAS[ID PÓLIZA],POLIZAS[TIPO DE VEHICULO])</f>
        <v>Utilitario</v>
      </c>
      <c r="I270" s="70">
        <v>1589726.2204783645</v>
      </c>
      <c r="J270" s="70">
        <v>0</v>
      </c>
      <c r="K270" s="65" t="s">
        <v>1619</v>
      </c>
      <c r="L270" s="52" t="s">
        <v>1943</v>
      </c>
      <c r="M270" s="65" t="s">
        <v>1955</v>
      </c>
      <c r="N270" s="72">
        <v>10</v>
      </c>
      <c r="O270" s="74" t="s">
        <v>1956</v>
      </c>
    </row>
    <row r="271" spans="1:15" x14ac:dyDescent="0.3">
      <c r="A271" s="64" t="s">
        <v>1902</v>
      </c>
      <c r="B271" s="65" t="s">
        <v>448</v>
      </c>
      <c r="C271" s="62">
        <v>45341</v>
      </c>
      <c r="D271" s="62" t="s">
        <v>1628</v>
      </c>
      <c r="E271" s="62" t="s">
        <v>1935</v>
      </c>
      <c r="F271" s="65" t="s">
        <v>1601</v>
      </c>
      <c r="G271" s="65" t="s">
        <v>1595</v>
      </c>
      <c r="H271" s="65" t="str">
        <f>_xlfn.XLOOKUP(SINIESTROS[[#This Row],[ID PÓLIZA]],POLIZAS[ID PÓLIZA],POLIZAS[TIPO DE VEHICULO])</f>
        <v>SUV</v>
      </c>
      <c r="I271" s="70">
        <v>4452042.6335884491</v>
      </c>
      <c r="J271" s="70">
        <v>0</v>
      </c>
      <c r="K271" s="65" t="s">
        <v>1618</v>
      </c>
      <c r="L271" s="52" t="s">
        <v>1943</v>
      </c>
      <c r="M271" s="65" t="s">
        <v>1958</v>
      </c>
      <c r="N271" s="72">
        <v>12</v>
      </c>
      <c r="O271" s="74" t="s">
        <v>1956</v>
      </c>
    </row>
    <row r="272" spans="1:15" x14ac:dyDescent="0.3">
      <c r="A272" s="64" t="s">
        <v>1903</v>
      </c>
      <c r="B272" s="65" t="s">
        <v>591</v>
      </c>
      <c r="C272" s="62">
        <v>46159</v>
      </c>
      <c r="D272" s="62" t="s">
        <v>1631</v>
      </c>
      <c r="E272" s="62" t="s">
        <v>1936</v>
      </c>
      <c r="F272" s="65" t="s">
        <v>1604</v>
      </c>
      <c r="G272" s="65" t="s">
        <v>1596</v>
      </c>
      <c r="H272" s="65" t="str">
        <f>_xlfn.XLOOKUP(SINIESTROS[[#This Row],[ID PÓLIZA]],POLIZAS[ID PÓLIZA],POLIZAS[TIPO DE VEHICULO])</f>
        <v>SUV</v>
      </c>
      <c r="I272" s="70">
        <v>10786498.599969639</v>
      </c>
      <c r="J272" s="70">
        <v>0</v>
      </c>
      <c r="K272" s="65" t="s">
        <v>1619</v>
      </c>
      <c r="L272" s="52" t="s">
        <v>1943</v>
      </c>
      <c r="M272" s="65" t="s">
        <v>1955</v>
      </c>
      <c r="N272" s="72">
        <v>4</v>
      </c>
      <c r="O272" s="74" t="s">
        <v>1956</v>
      </c>
    </row>
    <row r="273" spans="1:15" x14ac:dyDescent="0.3">
      <c r="A273" s="64" t="s">
        <v>1904</v>
      </c>
      <c r="B273" s="65" t="s">
        <v>859</v>
      </c>
      <c r="C273" s="62">
        <v>45900</v>
      </c>
      <c r="D273" s="62" t="s">
        <v>1629</v>
      </c>
      <c r="E273" s="62" t="s">
        <v>1936</v>
      </c>
      <c r="F273" s="65" t="s">
        <v>1604</v>
      </c>
      <c r="G273" s="65" t="s">
        <v>1598</v>
      </c>
      <c r="H273" s="65" t="str">
        <f>_xlfn.XLOOKUP(SINIESTROS[[#This Row],[ID PÓLIZA]],POLIZAS[ID PÓLIZA],POLIZAS[TIPO DE VEHICULO])</f>
        <v>SUV</v>
      </c>
      <c r="I273" s="70">
        <v>8473629.9846059289</v>
      </c>
      <c r="J273" s="70">
        <v>6798045.6072692461</v>
      </c>
      <c r="K273" s="65" t="s">
        <v>1618</v>
      </c>
      <c r="L273" s="52" t="s">
        <v>1941</v>
      </c>
      <c r="M273" s="65" t="s">
        <v>1957</v>
      </c>
      <c r="N273" s="72">
        <v>36</v>
      </c>
      <c r="O273" s="74" t="s">
        <v>1956</v>
      </c>
    </row>
    <row r="274" spans="1:15" x14ac:dyDescent="0.3">
      <c r="A274" s="64" t="s">
        <v>1905</v>
      </c>
      <c r="B274" s="65" t="s">
        <v>932</v>
      </c>
      <c r="C274" s="62">
        <v>45091</v>
      </c>
      <c r="D274" s="62" t="s">
        <v>1632</v>
      </c>
      <c r="E274" s="62" t="s">
        <v>1937</v>
      </c>
      <c r="F274" s="65" t="s">
        <v>1604</v>
      </c>
      <c r="G274" s="65" t="s">
        <v>1595</v>
      </c>
      <c r="H274" s="65" t="str">
        <f>_xlfn.XLOOKUP(SINIESTROS[[#This Row],[ID PÓLIZA]],POLIZAS[ID PÓLIZA],POLIZAS[TIPO DE VEHICULO])</f>
        <v>SUV</v>
      </c>
      <c r="I274" s="70">
        <v>5878633.2746334421</v>
      </c>
      <c r="J274" s="70">
        <v>0</v>
      </c>
      <c r="K274" s="65" t="s">
        <v>1619</v>
      </c>
      <c r="L274" s="52" t="s">
        <v>1943</v>
      </c>
      <c r="M274" s="65" t="s">
        <v>1955</v>
      </c>
      <c r="N274" s="72">
        <v>9</v>
      </c>
      <c r="O274" s="74" t="s">
        <v>1956</v>
      </c>
    </row>
    <row r="275" spans="1:15" x14ac:dyDescent="0.3">
      <c r="A275" s="64" t="s">
        <v>1906</v>
      </c>
      <c r="B275" s="65" t="s">
        <v>830</v>
      </c>
      <c r="C275" s="62">
        <v>46236</v>
      </c>
      <c r="D275" s="62" t="s">
        <v>1628</v>
      </c>
      <c r="E275" s="62" t="s">
        <v>1935</v>
      </c>
      <c r="F275" s="65" t="s">
        <v>1599</v>
      </c>
      <c r="G275" s="65" t="s">
        <v>1595</v>
      </c>
      <c r="H275" s="65" t="str">
        <f>_xlfn.XLOOKUP(SINIESTROS[[#This Row],[ID PÓLIZA]],POLIZAS[ID PÓLIZA],POLIZAS[TIPO DE VEHICULO])</f>
        <v>Auto</v>
      </c>
      <c r="I275" s="70">
        <v>1260773.6407331359</v>
      </c>
      <c r="J275" s="70">
        <v>0</v>
      </c>
      <c r="K275" s="65" t="s">
        <v>1618</v>
      </c>
      <c r="L275" s="52" t="s">
        <v>1943</v>
      </c>
      <c r="M275" s="65" t="s">
        <v>1958</v>
      </c>
      <c r="N275" s="72">
        <v>20</v>
      </c>
      <c r="O275" s="74" t="s">
        <v>1956</v>
      </c>
    </row>
    <row r="276" spans="1:15" x14ac:dyDescent="0.3">
      <c r="A276" s="64" t="s">
        <v>1907</v>
      </c>
      <c r="B276" s="65" t="s">
        <v>406</v>
      </c>
      <c r="C276" s="62">
        <v>45555</v>
      </c>
      <c r="D276" s="62" t="s">
        <v>1632</v>
      </c>
      <c r="E276" s="62" t="s">
        <v>1935</v>
      </c>
      <c r="F276" s="65" t="s">
        <v>1600</v>
      </c>
      <c r="G276" s="65" t="s">
        <v>1596</v>
      </c>
      <c r="H276" s="65" t="str">
        <f>_xlfn.XLOOKUP(SINIESTROS[[#This Row],[ID PÓLIZA]],POLIZAS[ID PÓLIZA],POLIZAS[TIPO DE VEHICULO])</f>
        <v>Pickup</v>
      </c>
      <c r="I276" s="70">
        <v>1046979.5199581253</v>
      </c>
      <c r="J276" s="70">
        <v>0</v>
      </c>
      <c r="K276" s="65" t="s">
        <v>1619</v>
      </c>
      <c r="L276" s="52" t="s">
        <v>1943</v>
      </c>
      <c r="M276" s="65" t="s">
        <v>1955</v>
      </c>
      <c r="N276" s="72">
        <v>29</v>
      </c>
      <c r="O276" s="74" t="s">
        <v>1956</v>
      </c>
    </row>
    <row r="277" spans="1:15" x14ac:dyDescent="0.3">
      <c r="A277" s="64" t="s">
        <v>1908</v>
      </c>
      <c r="B277" s="65" t="s">
        <v>875</v>
      </c>
      <c r="C277" s="62">
        <v>45354</v>
      </c>
      <c r="D277" s="62" t="s">
        <v>1631</v>
      </c>
      <c r="E277" s="62" t="s">
        <v>1936</v>
      </c>
      <c r="F277" s="65" t="s">
        <v>1599</v>
      </c>
      <c r="G277" s="65" t="s">
        <v>1597</v>
      </c>
      <c r="H277" s="65" t="str">
        <f>_xlfn.XLOOKUP(SINIESTROS[[#This Row],[ID PÓLIZA]],POLIZAS[ID PÓLIZA],POLIZAS[TIPO DE VEHICULO])</f>
        <v>Utilitario</v>
      </c>
      <c r="I277" s="70">
        <v>3194504.0715065803</v>
      </c>
      <c r="J277" s="70">
        <v>0</v>
      </c>
      <c r="K277" s="65" t="s">
        <v>1619</v>
      </c>
      <c r="L277" s="52" t="s">
        <v>1943</v>
      </c>
      <c r="M277" s="65" t="s">
        <v>1955</v>
      </c>
      <c r="N277" s="72">
        <v>26</v>
      </c>
      <c r="O277" s="74" t="s">
        <v>1956</v>
      </c>
    </row>
    <row r="278" spans="1:15" x14ac:dyDescent="0.3">
      <c r="A278" s="64" t="s">
        <v>1909</v>
      </c>
      <c r="B278" s="65" t="s">
        <v>374</v>
      </c>
      <c r="C278" s="62">
        <v>45424</v>
      </c>
      <c r="D278" s="62" t="s">
        <v>1630</v>
      </c>
      <c r="E278" s="62" t="s">
        <v>1935</v>
      </c>
      <c r="F278" s="65" t="s">
        <v>1608</v>
      </c>
      <c r="G278" s="65" t="s">
        <v>1595</v>
      </c>
      <c r="H278" s="65" t="str">
        <f>_xlfn.XLOOKUP(SINIESTROS[[#This Row],[ID PÓLIZA]],POLIZAS[ID PÓLIZA],POLIZAS[TIPO DE VEHICULO])</f>
        <v>Pickup</v>
      </c>
      <c r="I278" s="70">
        <v>2062144.5583085506</v>
      </c>
      <c r="J278" s="70">
        <v>0</v>
      </c>
      <c r="K278" s="65" t="s">
        <v>1619</v>
      </c>
      <c r="L278" s="52" t="s">
        <v>1943</v>
      </c>
      <c r="M278" s="65" t="s">
        <v>1955</v>
      </c>
      <c r="N278" s="72">
        <v>5</v>
      </c>
      <c r="O278" s="74" t="s">
        <v>1956</v>
      </c>
    </row>
    <row r="279" spans="1:15" x14ac:dyDescent="0.3">
      <c r="A279" s="64" t="s">
        <v>1910</v>
      </c>
      <c r="B279" s="65" t="s">
        <v>1181</v>
      </c>
      <c r="C279" s="62">
        <v>45982</v>
      </c>
      <c r="D279" s="62" t="s">
        <v>1630</v>
      </c>
      <c r="E279" s="62" t="s">
        <v>1936</v>
      </c>
      <c r="F279" s="65" t="s">
        <v>1599</v>
      </c>
      <c r="G279" s="65" t="s">
        <v>1595</v>
      </c>
      <c r="H279" s="65" t="str">
        <f>_xlfn.XLOOKUP(SINIESTROS[[#This Row],[ID PÓLIZA]],POLIZAS[ID PÓLIZA],POLIZAS[TIPO DE VEHICULO])</f>
        <v>Auto</v>
      </c>
      <c r="I279" s="70">
        <v>6066441.6475721244</v>
      </c>
      <c r="J279" s="70">
        <v>0</v>
      </c>
      <c r="K279" s="65" t="s">
        <v>1619</v>
      </c>
      <c r="L279" s="52" t="s">
        <v>1943</v>
      </c>
      <c r="M279" s="65" t="s">
        <v>1955</v>
      </c>
      <c r="N279" s="72">
        <v>30</v>
      </c>
      <c r="O279" s="74" t="s">
        <v>1956</v>
      </c>
    </row>
    <row r="280" spans="1:15" x14ac:dyDescent="0.3">
      <c r="A280" s="64" t="s">
        <v>1911</v>
      </c>
      <c r="B280" s="65" t="s">
        <v>410</v>
      </c>
      <c r="C280" s="62">
        <v>46117</v>
      </c>
      <c r="D280" s="62" t="s">
        <v>1630</v>
      </c>
      <c r="E280" s="62" t="s">
        <v>1937</v>
      </c>
      <c r="F280" s="65" t="s">
        <v>1601</v>
      </c>
      <c r="G280" s="65" t="s">
        <v>1598</v>
      </c>
      <c r="H280" s="65" t="str">
        <f>_xlfn.XLOOKUP(SINIESTROS[[#This Row],[ID PÓLIZA]],POLIZAS[ID PÓLIZA],POLIZAS[TIPO DE VEHICULO])</f>
        <v>Utilitario</v>
      </c>
      <c r="I280" s="70">
        <v>20190664.351419844</v>
      </c>
      <c r="J280" s="70">
        <v>0</v>
      </c>
      <c r="K280" s="65" t="s">
        <v>1619</v>
      </c>
      <c r="L280" s="52" t="s">
        <v>1943</v>
      </c>
      <c r="M280" s="65" t="s">
        <v>1955</v>
      </c>
      <c r="N280" s="72">
        <v>18</v>
      </c>
      <c r="O280" s="74" t="s">
        <v>1956</v>
      </c>
    </row>
    <row r="281" spans="1:15" x14ac:dyDescent="0.3">
      <c r="A281" s="64" t="s">
        <v>1912</v>
      </c>
      <c r="B281" s="65" t="s">
        <v>799</v>
      </c>
      <c r="C281" s="62">
        <v>45603</v>
      </c>
      <c r="D281" s="62" t="s">
        <v>1628</v>
      </c>
      <c r="E281" s="62" t="s">
        <v>1937</v>
      </c>
      <c r="F281" s="65" t="s">
        <v>1608</v>
      </c>
      <c r="G281" s="65" t="s">
        <v>1597</v>
      </c>
      <c r="H281" s="65" t="str">
        <f>_xlfn.XLOOKUP(SINIESTROS[[#This Row],[ID PÓLIZA]],POLIZAS[ID PÓLIZA],POLIZAS[TIPO DE VEHICULO])</f>
        <v>Pickup</v>
      </c>
      <c r="I281" s="70">
        <v>9686843.3059268165</v>
      </c>
      <c r="J281" s="70">
        <v>9439207.4896346349</v>
      </c>
      <c r="K281" s="65" t="s">
        <v>1618</v>
      </c>
      <c r="L281" s="52" t="s">
        <v>1941</v>
      </c>
      <c r="M281" s="65" t="s">
        <v>1957</v>
      </c>
      <c r="N281" s="72">
        <v>14</v>
      </c>
      <c r="O281" s="74" t="s">
        <v>1956</v>
      </c>
    </row>
    <row r="282" spans="1:15" x14ac:dyDescent="0.3">
      <c r="A282" s="64" t="s">
        <v>1913</v>
      </c>
      <c r="B282" s="65" t="s">
        <v>1116</v>
      </c>
      <c r="C282" s="62">
        <v>45648</v>
      </c>
      <c r="D282" s="62" t="s">
        <v>1630</v>
      </c>
      <c r="E282" s="62" t="s">
        <v>1936</v>
      </c>
      <c r="F282" s="65" t="s">
        <v>1599</v>
      </c>
      <c r="G282" s="65" t="s">
        <v>1597</v>
      </c>
      <c r="H282" s="65" t="str">
        <f>_xlfn.XLOOKUP(SINIESTROS[[#This Row],[ID PÓLIZA]],POLIZAS[ID PÓLIZA],POLIZAS[TIPO DE VEHICULO])</f>
        <v>SUV</v>
      </c>
      <c r="I282" s="70">
        <v>11876314.396667048</v>
      </c>
      <c r="J282" s="70">
        <v>0</v>
      </c>
      <c r="K282" s="65" t="s">
        <v>1619</v>
      </c>
      <c r="L282" s="52" t="s">
        <v>1943</v>
      </c>
      <c r="M282" s="65" t="s">
        <v>1955</v>
      </c>
      <c r="N282" s="72">
        <v>22</v>
      </c>
      <c r="O282" s="74" t="s">
        <v>1956</v>
      </c>
    </row>
    <row r="283" spans="1:15" x14ac:dyDescent="0.3">
      <c r="A283" s="64" t="s">
        <v>1914</v>
      </c>
      <c r="B283" s="65" t="s">
        <v>439</v>
      </c>
      <c r="C283" s="62">
        <v>45935</v>
      </c>
      <c r="D283" s="62" t="s">
        <v>1628</v>
      </c>
      <c r="E283" s="62" t="s">
        <v>1936</v>
      </c>
      <c r="F283" s="65" t="s">
        <v>1601</v>
      </c>
      <c r="G283" s="65" t="s">
        <v>1598</v>
      </c>
      <c r="H283" s="65" t="str">
        <f>_xlfn.XLOOKUP(SINIESTROS[[#This Row],[ID PÓLIZA]],POLIZAS[ID PÓLIZA],POLIZAS[TIPO DE VEHICULO])</f>
        <v>Auto</v>
      </c>
      <c r="I283" s="70">
        <v>2260068.8610401079</v>
      </c>
      <c r="J283" s="70">
        <v>0</v>
      </c>
      <c r="K283" s="65" t="s">
        <v>1619</v>
      </c>
      <c r="L283" s="52" t="s">
        <v>1943</v>
      </c>
      <c r="M283" s="65" t="s">
        <v>1955</v>
      </c>
      <c r="N283" s="72">
        <v>15</v>
      </c>
      <c r="O283" s="74" t="s">
        <v>1959</v>
      </c>
    </row>
    <row r="284" spans="1:15" x14ac:dyDescent="0.3">
      <c r="A284" s="64" t="s">
        <v>1915</v>
      </c>
      <c r="B284" s="65" t="s">
        <v>637</v>
      </c>
      <c r="C284" s="62">
        <v>45948</v>
      </c>
      <c r="D284" s="62" t="s">
        <v>1630</v>
      </c>
      <c r="E284" s="62" t="s">
        <v>1936</v>
      </c>
      <c r="F284" s="65" t="s">
        <v>1607</v>
      </c>
      <c r="G284" s="65" t="s">
        <v>1596</v>
      </c>
      <c r="H284" s="65" t="str">
        <f>_xlfn.XLOOKUP(SINIESTROS[[#This Row],[ID PÓLIZA]],POLIZAS[ID PÓLIZA],POLIZAS[TIPO DE VEHICULO])</f>
        <v>Auto</v>
      </c>
      <c r="I284" s="70">
        <v>4292279.4283785522</v>
      </c>
      <c r="J284" s="70">
        <v>3750056.6676760446</v>
      </c>
      <c r="K284" s="65" t="s">
        <v>1618</v>
      </c>
      <c r="L284" s="52" t="s">
        <v>1941</v>
      </c>
      <c r="M284" s="65" t="s">
        <v>1957</v>
      </c>
      <c r="N284" s="72">
        <v>42</v>
      </c>
      <c r="O284" s="74" t="s">
        <v>1956</v>
      </c>
    </row>
    <row r="285" spans="1:15" x14ac:dyDescent="0.3">
      <c r="A285" s="64" t="s">
        <v>1916</v>
      </c>
      <c r="B285" s="65" t="s">
        <v>462</v>
      </c>
      <c r="C285" s="62">
        <v>46100</v>
      </c>
      <c r="D285" s="62" t="s">
        <v>1632</v>
      </c>
      <c r="E285" s="62" t="s">
        <v>1936</v>
      </c>
      <c r="F285" s="65" t="s">
        <v>1599</v>
      </c>
      <c r="G285" s="65" t="s">
        <v>1597</v>
      </c>
      <c r="H285" s="65" t="str">
        <f>_xlfn.XLOOKUP(SINIESTROS[[#This Row],[ID PÓLIZA]],POLIZAS[ID PÓLIZA],POLIZAS[TIPO DE VEHICULO])</f>
        <v>Pickup</v>
      </c>
      <c r="I285" s="70">
        <v>12904247.644561088</v>
      </c>
      <c r="J285" s="70">
        <v>12559878.850413557</v>
      </c>
      <c r="K285" s="65" t="s">
        <v>1618</v>
      </c>
      <c r="L285" s="52" t="s">
        <v>1941</v>
      </c>
      <c r="M285" s="65" t="s">
        <v>1957</v>
      </c>
      <c r="N285" s="72">
        <v>16</v>
      </c>
      <c r="O285" s="74" t="s">
        <v>1956</v>
      </c>
    </row>
    <row r="286" spans="1:15" x14ac:dyDescent="0.3">
      <c r="A286" s="64" t="s">
        <v>1917</v>
      </c>
      <c r="B286" s="65" t="s">
        <v>902</v>
      </c>
      <c r="C286" s="62">
        <v>46254</v>
      </c>
      <c r="D286" s="62" t="s">
        <v>1630</v>
      </c>
      <c r="E286" s="62" t="s">
        <v>1937</v>
      </c>
      <c r="F286" s="65" t="s">
        <v>1600</v>
      </c>
      <c r="G286" s="65" t="s">
        <v>1596</v>
      </c>
      <c r="H286" s="65" t="str">
        <f>_xlfn.XLOOKUP(SINIESTROS[[#This Row],[ID PÓLIZA]],POLIZAS[ID PÓLIZA],POLIZAS[TIPO DE VEHICULO])</f>
        <v>Auto</v>
      </c>
      <c r="I286" s="70">
        <v>4514509.4734292468</v>
      </c>
      <c r="J286" s="70">
        <v>0</v>
      </c>
      <c r="K286" s="65" t="s">
        <v>1618</v>
      </c>
      <c r="L286" s="52" t="s">
        <v>1943</v>
      </c>
      <c r="M286" s="65" t="s">
        <v>1957</v>
      </c>
      <c r="N286" s="72">
        <v>8</v>
      </c>
      <c r="O286" s="74" t="s">
        <v>1956</v>
      </c>
    </row>
    <row r="287" spans="1:15" x14ac:dyDescent="0.3">
      <c r="A287" s="64" t="s">
        <v>1918</v>
      </c>
      <c r="B287" s="65" t="s">
        <v>1045</v>
      </c>
      <c r="C287" s="62">
        <v>45802</v>
      </c>
      <c r="D287" s="62" t="s">
        <v>1628</v>
      </c>
      <c r="E287" s="62" t="s">
        <v>1935</v>
      </c>
      <c r="F287" s="65" t="s">
        <v>1608</v>
      </c>
      <c r="G287" s="65" t="s">
        <v>1598</v>
      </c>
      <c r="H287" s="65" t="str">
        <f>_xlfn.XLOOKUP(SINIESTROS[[#This Row],[ID PÓLIZA]],POLIZAS[ID PÓLIZA],POLIZAS[TIPO DE VEHICULO])</f>
        <v>SUV</v>
      </c>
      <c r="I287" s="70">
        <v>1232896.5486612881</v>
      </c>
      <c r="J287" s="70">
        <v>0</v>
      </c>
      <c r="K287" s="65" t="s">
        <v>1619</v>
      </c>
      <c r="L287" s="52" t="s">
        <v>1943</v>
      </c>
      <c r="M287" s="65" t="s">
        <v>1955</v>
      </c>
      <c r="N287" s="72">
        <v>16</v>
      </c>
      <c r="O287" s="74" t="s">
        <v>1956</v>
      </c>
    </row>
    <row r="288" spans="1:15" x14ac:dyDescent="0.3">
      <c r="A288" s="64" t="s">
        <v>1919</v>
      </c>
      <c r="B288" s="65" t="s">
        <v>360</v>
      </c>
      <c r="C288" s="62">
        <v>46147</v>
      </c>
      <c r="D288" s="62" t="s">
        <v>1631</v>
      </c>
      <c r="E288" s="62" t="s">
        <v>1935</v>
      </c>
      <c r="F288" s="65" t="s">
        <v>1599</v>
      </c>
      <c r="G288" s="65" t="s">
        <v>1595</v>
      </c>
      <c r="H288" s="65" t="str">
        <f>_xlfn.XLOOKUP(SINIESTROS[[#This Row],[ID PÓLIZA]],POLIZAS[ID PÓLIZA],POLIZAS[TIPO DE VEHICULO])</f>
        <v>Pickup</v>
      </c>
      <c r="I288" s="70">
        <v>1669305.0035912662</v>
      </c>
      <c r="J288" s="70">
        <v>0</v>
      </c>
      <c r="K288" s="65" t="s">
        <v>1618</v>
      </c>
      <c r="L288" s="52" t="s">
        <v>1943</v>
      </c>
      <c r="M288" s="65" t="s">
        <v>1958</v>
      </c>
      <c r="N288" s="72">
        <v>17</v>
      </c>
      <c r="O288" s="74" t="s">
        <v>1956</v>
      </c>
    </row>
    <row r="289" spans="1:15" x14ac:dyDescent="0.3">
      <c r="A289" s="64" t="s">
        <v>1920</v>
      </c>
      <c r="B289" s="65" t="s">
        <v>962</v>
      </c>
      <c r="C289" s="62">
        <v>46239</v>
      </c>
      <c r="D289" s="62" t="s">
        <v>1629</v>
      </c>
      <c r="E289" s="62" t="s">
        <v>1938</v>
      </c>
      <c r="F289" s="65" t="s">
        <v>1599</v>
      </c>
      <c r="G289" s="65" t="s">
        <v>1596</v>
      </c>
      <c r="H289" s="65" t="str">
        <f>_xlfn.XLOOKUP(SINIESTROS[[#This Row],[ID PÓLIZA]],POLIZAS[ID PÓLIZA],POLIZAS[TIPO DE VEHICULO])</f>
        <v>SUV</v>
      </c>
      <c r="I289" s="70">
        <v>29643320.171061393</v>
      </c>
      <c r="J289" s="70">
        <v>25448288.850892097</v>
      </c>
      <c r="K289" s="65" t="s">
        <v>1618</v>
      </c>
      <c r="L289" s="52" t="s">
        <v>1941</v>
      </c>
      <c r="M289" s="65" t="s">
        <v>1957</v>
      </c>
      <c r="N289" s="72">
        <v>31</v>
      </c>
      <c r="O289" s="74" t="s">
        <v>1956</v>
      </c>
    </row>
    <row r="290" spans="1:15" x14ac:dyDescent="0.3">
      <c r="A290" s="64" t="s">
        <v>1921</v>
      </c>
      <c r="B290" s="65" t="s">
        <v>616</v>
      </c>
      <c r="C290" s="62">
        <v>46149</v>
      </c>
      <c r="D290" s="62" t="s">
        <v>1628</v>
      </c>
      <c r="E290" s="62" t="s">
        <v>1935</v>
      </c>
      <c r="F290" s="65" t="s">
        <v>1599</v>
      </c>
      <c r="G290" s="65" t="s">
        <v>1596</v>
      </c>
      <c r="H290" s="65" t="str">
        <f>_xlfn.XLOOKUP(SINIESTROS[[#This Row],[ID PÓLIZA]],POLIZAS[ID PÓLIZA],POLIZAS[TIPO DE VEHICULO])</f>
        <v>Utilitario</v>
      </c>
      <c r="I290" s="70">
        <v>321841.57221756555</v>
      </c>
      <c r="J290" s="70">
        <v>0</v>
      </c>
      <c r="K290" s="65" t="s">
        <v>1619</v>
      </c>
      <c r="L290" s="52" t="s">
        <v>1943</v>
      </c>
      <c r="M290" s="65" t="s">
        <v>1955</v>
      </c>
      <c r="N290" s="72">
        <v>12</v>
      </c>
      <c r="O290" s="74" t="s">
        <v>1956</v>
      </c>
    </row>
    <row r="291" spans="1:15" x14ac:dyDescent="0.3">
      <c r="A291" s="64" t="s">
        <v>1922</v>
      </c>
      <c r="B291" s="65" t="s">
        <v>591</v>
      </c>
      <c r="C291" s="62">
        <v>45589</v>
      </c>
      <c r="D291" s="62" t="s">
        <v>1628</v>
      </c>
      <c r="E291" s="62" t="s">
        <v>1936</v>
      </c>
      <c r="F291" s="65" t="s">
        <v>1599</v>
      </c>
      <c r="G291" s="65" t="s">
        <v>1596</v>
      </c>
      <c r="H291" s="65" t="str">
        <f>_xlfn.XLOOKUP(SINIESTROS[[#This Row],[ID PÓLIZA]],POLIZAS[ID PÓLIZA],POLIZAS[TIPO DE VEHICULO])</f>
        <v>SUV</v>
      </c>
      <c r="I291" s="70">
        <v>5252879.800777846</v>
      </c>
      <c r="J291" s="70">
        <v>0</v>
      </c>
      <c r="K291" s="65" t="s">
        <v>1618</v>
      </c>
      <c r="L291" s="52" t="s">
        <v>1943</v>
      </c>
      <c r="M291" s="65" t="s">
        <v>1958</v>
      </c>
      <c r="N291" s="72">
        <v>4</v>
      </c>
      <c r="O291" s="74" t="s">
        <v>1956</v>
      </c>
    </row>
    <row r="292" spans="1:15" x14ac:dyDescent="0.3">
      <c r="A292" s="64" t="s">
        <v>1923</v>
      </c>
      <c r="B292" s="65" t="s">
        <v>1119</v>
      </c>
      <c r="C292" s="62">
        <v>45898</v>
      </c>
      <c r="D292" s="62" t="s">
        <v>1628</v>
      </c>
      <c r="E292" s="62" t="s">
        <v>1935</v>
      </c>
      <c r="F292" s="65" t="s">
        <v>1602</v>
      </c>
      <c r="G292" s="65" t="s">
        <v>1597</v>
      </c>
      <c r="H292" s="65" t="str">
        <f>_xlfn.XLOOKUP(SINIESTROS[[#This Row],[ID PÓLIZA]],POLIZAS[ID PÓLIZA],POLIZAS[TIPO DE VEHICULO])</f>
        <v>Pickup</v>
      </c>
      <c r="I292" s="70">
        <v>5067946.3867311198</v>
      </c>
      <c r="J292" s="70">
        <v>0</v>
      </c>
      <c r="K292" s="65" t="s">
        <v>1619</v>
      </c>
      <c r="L292" s="52" t="s">
        <v>1943</v>
      </c>
      <c r="M292" s="65" t="s">
        <v>1955</v>
      </c>
      <c r="N292" s="72">
        <v>14</v>
      </c>
      <c r="O292" s="74" t="s">
        <v>1956</v>
      </c>
    </row>
    <row r="293" spans="1:15" x14ac:dyDescent="0.3">
      <c r="A293" s="64" t="s">
        <v>1924</v>
      </c>
      <c r="B293" s="65" t="s">
        <v>584</v>
      </c>
      <c r="C293" s="62">
        <v>46105</v>
      </c>
      <c r="D293" s="62" t="s">
        <v>1630</v>
      </c>
      <c r="E293" s="62" t="s">
        <v>1938</v>
      </c>
      <c r="F293" s="65" t="s">
        <v>1602</v>
      </c>
      <c r="G293" s="65" t="s">
        <v>1597</v>
      </c>
      <c r="H293" s="65" t="str">
        <f>_xlfn.XLOOKUP(SINIESTROS[[#This Row],[ID PÓLIZA]],POLIZAS[ID PÓLIZA],POLIZAS[TIPO DE VEHICULO])</f>
        <v>Auto</v>
      </c>
      <c r="I293" s="70">
        <v>13942896.67826812</v>
      </c>
      <c r="J293" s="70">
        <v>11375075.191186132</v>
      </c>
      <c r="K293" s="65" t="s">
        <v>1618</v>
      </c>
      <c r="L293" s="52" t="s">
        <v>1941</v>
      </c>
      <c r="M293" s="65" t="s">
        <v>1957</v>
      </c>
      <c r="N293" s="72">
        <v>15</v>
      </c>
      <c r="O293" s="74" t="s">
        <v>1956</v>
      </c>
    </row>
    <row r="294" spans="1:15" x14ac:dyDescent="0.3">
      <c r="A294" s="64" t="s">
        <v>1925</v>
      </c>
      <c r="B294" s="65" t="s">
        <v>474</v>
      </c>
      <c r="C294" s="62">
        <v>45658</v>
      </c>
      <c r="D294" s="62" t="s">
        <v>1629</v>
      </c>
      <c r="E294" s="62" t="s">
        <v>1935</v>
      </c>
      <c r="F294" s="65" t="s">
        <v>1604</v>
      </c>
      <c r="G294" s="65" t="s">
        <v>1598</v>
      </c>
      <c r="H294" s="65" t="str">
        <f>_xlfn.XLOOKUP(SINIESTROS[[#This Row],[ID PÓLIZA]],POLIZAS[ID PÓLIZA],POLIZAS[TIPO DE VEHICULO])</f>
        <v>Auto</v>
      </c>
      <c r="I294" s="70">
        <v>2565774.1083349003</v>
      </c>
      <c r="J294" s="70">
        <v>0</v>
      </c>
      <c r="K294" s="65" t="s">
        <v>1619</v>
      </c>
      <c r="L294" s="52" t="s">
        <v>1943</v>
      </c>
      <c r="M294" s="65" t="s">
        <v>1955</v>
      </c>
      <c r="N294" s="72">
        <v>8</v>
      </c>
      <c r="O294" s="74" t="s">
        <v>1956</v>
      </c>
    </row>
    <row r="295" spans="1:15" x14ac:dyDescent="0.3">
      <c r="A295" s="64" t="s">
        <v>1926</v>
      </c>
      <c r="B295" s="65" t="s">
        <v>1084</v>
      </c>
      <c r="C295" s="62">
        <v>45635</v>
      </c>
      <c r="D295" s="62" t="s">
        <v>1628</v>
      </c>
      <c r="E295" s="62" t="s">
        <v>1937</v>
      </c>
      <c r="F295" s="65" t="s">
        <v>1607</v>
      </c>
      <c r="G295" s="65" t="s">
        <v>1595</v>
      </c>
      <c r="H295" s="65" t="str">
        <f>_xlfn.XLOOKUP(SINIESTROS[[#This Row],[ID PÓLIZA]],POLIZAS[ID PÓLIZA],POLIZAS[TIPO DE VEHICULO])</f>
        <v>SUV</v>
      </c>
      <c r="I295" s="70">
        <v>5151697.4152666284</v>
      </c>
      <c r="J295" s="70">
        <v>0</v>
      </c>
      <c r="K295" s="65" t="s">
        <v>1618</v>
      </c>
      <c r="L295" s="52" t="s">
        <v>1943</v>
      </c>
      <c r="M295" s="65" t="s">
        <v>1958</v>
      </c>
      <c r="N295" s="72">
        <v>5</v>
      </c>
      <c r="O295" s="74" t="s">
        <v>1956</v>
      </c>
    </row>
    <row r="296" spans="1:15" x14ac:dyDescent="0.3">
      <c r="A296" s="64" t="s">
        <v>1927</v>
      </c>
      <c r="B296" s="65" t="s">
        <v>386</v>
      </c>
      <c r="C296" s="62">
        <v>45957</v>
      </c>
      <c r="D296" s="62" t="s">
        <v>1628</v>
      </c>
      <c r="E296" s="62" t="s">
        <v>1935</v>
      </c>
      <c r="F296" s="65" t="s">
        <v>1602</v>
      </c>
      <c r="G296" s="65" t="s">
        <v>1597</v>
      </c>
      <c r="H296" s="65" t="str">
        <f>_xlfn.XLOOKUP(SINIESTROS[[#This Row],[ID PÓLIZA]],POLIZAS[ID PÓLIZA],POLIZAS[TIPO DE VEHICULO])</f>
        <v>SUV</v>
      </c>
      <c r="I296" s="70">
        <v>280290.25598749856</v>
      </c>
      <c r="J296" s="70">
        <v>248670.60165287752</v>
      </c>
      <c r="K296" s="65" t="s">
        <v>1618</v>
      </c>
      <c r="L296" s="52" t="s">
        <v>1941</v>
      </c>
      <c r="M296" s="65" t="s">
        <v>1957</v>
      </c>
      <c r="N296" s="72">
        <v>39</v>
      </c>
      <c r="O296" s="74" t="s">
        <v>1956</v>
      </c>
    </row>
    <row r="297" spans="1:15" x14ac:dyDescent="0.3">
      <c r="A297" s="64" t="s">
        <v>1928</v>
      </c>
      <c r="B297" s="65" t="s">
        <v>638</v>
      </c>
      <c r="C297" s="62">
        <v>45223</v>
      </c>
      <c r="D297" s="62" t="s">
        <v>1628</v>
      </c>
      <c r="E297" s="62" t="s">
        <v>1938</v>
      </c>
      <c r="F297" s="65" t="s">
        <v>1599</v>
      </c>
      <c r="G297" s="65" t="s">
        <v>1596</v>
      </c>
      <c r="H297" s="65" t="str">
        <f>_xlfn.XLOOKUP(SINIESTROS[[#This Row],[ID PÓLIZA]],POLIZAS[ID PÓLIZA],POLIZAS[TIPO DE VEHICULO])</f>
        <v>Pickup</v>
      </c>
      <c r="I297" s="70">
        <v>34817009.138126403</v>
      </c>
      <c r="J297" s="70">
        <v>0</v>
      </c>
      <c r="K297" s="65" t="s">
        <v>1618</v>
      </c>
      <c r="L297" s="52" t="s">
        <v>1943</v>
      </c>
      <c r="M297" s="65" t="s">
        <v>1958</v>
      </c>
      <c r="N297" s="72">
        <v>19</v>
      </c>
      <c r="O297" s="74" t="s">
        <v>1959</v>
      </c>
    </row>
    <row r="298" spans="1:15" x14ac:dyDescent="0.3">
      <c r="A298" s="64" t="s">
        <v>1929</v>
      </c>
      <c r="B298" s="65" t="s">
        <v>1195</v>
      </c>
      <c r="C298" s="62">
        <v>45207</v>
      </c>
      <c r="D298" s="62" t="s">
        <v>1628</v>
      </c>
      <c r="E298" s="62" t="s">
        <v>1935</v>
      </c>
      <c r="F298" s="65" t="s">
        <v>1607</v>
      </c>
      <c r="G298" s="65" t="s">
        <v>1597</v>
      </c>
      <c r="H298" s="65" t="str">
        <f>_xlfn.XLOOKUP(SINIESTROS[[#This Row],[ID PÓLIZA]],POLIZAS[ID PÓLIZA],POLIZAS[TIPO DE VEHICULO])</f>
        <v>Utilitario</v>
      </c>
      <c r="I298" s="70">
        <v>1378481.4859678329</v>
      </c>
      <c r="J298" s="70">
        <v>1191103.9450121021</v>
      </c>
      <c r="K298" s="65" t="s">
        <v>1618</v>
      </c>
      <c r="L298" s="52" t="s">
        <v>1941</v>
      </c>
      <c r="M298" s="65" t="s">
        <v>1957</v>
      </c>
      <c r="N298" s="72">
        <v>33</v>
      </c>
      <c r="O298" s="74" t="s">
        <v>1956</v>
      </c>
    </row>
    <row r="299" spans="1:15" x14ac:dyDescent="0.3">
      <c r="A299" s="64" t="s">
        <v>1930</v>
      </c>
      <c r="B299" s="65" t="s">
        <v>840</v>
      </c>
      <c r="C299" s="62">
        <v>46178</v>
      </c>
      <c r="D299" s="62" t="s">
        <v>1631</v>
      </c>
      <c r="E299" s="62" t="s">
        <v>1937</v>
      </c>
      <c r="F299" s="65" t="s">
        <v>1601</v>
      </c>
      <c r="G299" s="65" t="s">
        <v>1595</v>
      </c>
      <c r="H299" s="65" t="str">
        <f>_xlfn.XLOOKUP(SINIESTROS[[#This Row],[ID PÓLIZA]],POLIZAS[ID PÓLIZA],POLIZAS[TIPO DE VEHICULO])</f>
        <v>Auto</v>
      </c>
      <c r="I299" s="70">
        <v>12623470.055764925</v>
      </c>
      <c r="J299" s="70">
        <v>0</v>
      </c>
      <c r="K299" s="65" t="s">
        <v>1618</v>
      </c>
      <c r="L299" s="52" t="s">
        <v>1943</v>
      </c>
      <c r="M299" s="65" t="s">
        <v>1958</v>
      </c>
      <c r="N299" s="72">
        <v>13</v>
      </c>
      <c r="O299" s="74" t="s">
        <v>1956</v>
      </c>
    </row>
    <row r="300" spans="1:15" x14ac:dyDescent="0.3">
      <c r="A300" s="64" t="s">
        <v>1931</v>
      </c>
      <c r="B300" s="65" t="s">
        <v>699</v>
      </c>
      <c r="C300" s="62">
        <v>45564</v>
      </c>
      <c r="D300" s="62" t="s">
        <v>1628</v>
      </c>
      <c r="E300" s="62" t="s">
        <v>1936</v>
      </c>
      <c r="F300" s="65" t="s">
        <v>1602</v>
      </c>
      <c r="G300" s="65" t="s">
        <v>1597</v>
      </c>
      <c r="H300" s="65" t="str">
        <f>_xlfn.XLOOKUP(SINIESTROS[[#This Row],[ID PÓLIZA]],POLIZAS[ID PÓLIZA],POLIZAS[TIPO DE VEHICULO])</f>
        <v>Utilitario</v>
      </c>
      <c r="I300" s="70">
        <v>8046740.5155179519</v>
      </c>
      <c r="J300" s="70">
        <v>0</v>
      </c>
      <c r="K300" s="65" t="s">
        <v>1619</v>
      </c>
      <c r="L300" s="52" t="s">
        <v>1943</v>
      </c>
      <c r="M300" s="65" t="s">
        <v>1955</v>
      </c>
      <c r="N300" s="72">
        <v>29</v>
      </c>
      <c r="O300" s="74" t="s">
        <v>1956</v>
      </c>
    </row>
    <row r="301" spans="1:15" x14ac:dyDescent="0.3">
      <c r="A301" s="66" t="s">
        <v>1932</v>
      </c>
      <c r="B301" s="67" t="s">
        <v>451</v>
      </c>
      <c r="C301" s="63">
        <v>46227</v>
      </c>
      <c r="D301" s="63" t="s">
        <v>1632</v>
      </c>
      <c r="E301" s="63" t="s">
        <v>1935</v>
      </c>
      <c r="F301" s="67" t="s">
        <v>1603</v>
      </c>
      <c r="G301" s="67" t="s">
        <v>1595</v>
      </c>
      <c r="H301" s="67" t="str">
        <f>_xlfn.XLOOKUP(SINIESTROS[[#This Row],[ID PÓLIZA]],POLIZAS[ID PÓLIZA],POLIZAS[TIPO DE VEHICULO])</f>
        <v>Pickup</v>
      </c>
      <c r="I301" s="71">
        <v>3936381.2919792137</v>
      </c>
      <c r="J301" s="71">
        <v>0</v>
      </c>
      <c r="K301" s="67" t="s">
        <v>1618</v>
      </c>
      <c r="L301" s="53" t="s">
        <v>1943</v>
      </c>
      <c r="M301" s="67" t="s">
        <v>1958</v>
      </c>
      <c r="N301" s="73">
        <v>11</v>
      </c>
      <c r="O301" s="75" t="s">
        <v>1956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E612-0FA7-4AAB-8D16-0C552DE4D83E}">
  <dimension ref="A1:O14"/>
  <sheetViews>
    <sheetView tabSelected="1" zoomScale="81" zoomScaleNormal="81" workbookViewId="0">
      <selection activeCell="J15" sqref="J15"/>
    </sheetView>
  </sheetViews>
  <sheetFormatPr baseColWidth="10" defaultRowHeight="14.4" x14ac:dyDescent="0.3"/>
  <cols>
    <col min="1" max="1" width="19.44140625" bestFit="1" customWidth="1"/>
    <col min="2" max="2" width="22.77734375" bestFit="1" customWidth="1"/>
    <col min="3" max="3" width="15.109375" bestFit="1" customWidth="1"/>
    <col min="4" max="4" width="24.5546875" bestFit="1" customWidth="1"/>
    <col min="5" max="5" width="19.44140625" bestFit="1" customWidth="1"/>
    <col min="6" max="6" width="22.33203125" bestFit="1" customWidth="1"/>
    <col min="7" max="7" width="18.21875" bestFit="1" customWidth="1"/>
    <col min="8" max="8" width="29.33203125" bestFit="1" customWidth="1"/>
    <col min="9" max="9" width="19.5546875" customWidth="1"/>
    <col min="10" max="10" width="19.5546875" bestFit="1" customWidth="1"/>
    <col min="11" max="11" width="25.6640625" bestFit="1" customWidth="1"/>
    <col min="12" max="12" width="39.44140625" customWidth="1"/>
    <col min="13" max="13" width="24.5546875" bestFit="1" customWidth="1"/>
    <col min="14" max="14" width="19.44140625" bestFit="1" customWidth="1"/>
    <col min="15" max="15" width="29.5546875" bestFit="1" customWidth="1"/>
  </cols>
  <sheetData>
    <row r="1" spans="1:15" x14ac:dyDescent="0.3">
      <c r="A1" s="90" t="s">
        <v>1960</v>
      </c>
      <c r="B1" s="91" t="s">
        <v>1989</v>
      </c>
      <c r="C1" s="91" t="s">
        <v>1990</v>
      </c>
      <c r="D1" s="91" t="s">
        <v>1991</v>
      </c>
      <c r="E1" s="91" t="s">
        <v>1992</v>
      </c>
      <c r="F1" s="92" t="s">
        <v>1993</v>
      </c>
      <c r="G1" s="91" t="s">
        <v>2011</v>
      </c>
      <c r="H1" s="91" t="s">
        <v>2010</v>
      </c>
      <c r="J1" s="93" t="s">
        <v>1972</v>
      </c>
      <c r="K1" s="93" t="s">
        <v>2002</v>
      </c>
      <c r="L1" s="93" t="s">
        <v>2003</v>
      </c>
      <c r="M1" s="93" t="s">
        <v>1991</v>
      </c>
      <c r="N1" s="93" t="s">
        <v>1992</v>
      </c>
      <c r="O1" s="93" t="s">
        <v>2004</v>
      </c>
    </row>
    <row r="2" spans="1:15" x14ac:dyDescent="0.3">
      <c r="A2" s="100" t="s">
        <v>1609</v>
      </c>
      <c r="B2" s="79">
        <f>COUNTIFS(POLIZAS[TIPO DE VEHICULO],A2)</f>
        <v>241</v>
      </c>
      <c r="C2" s="80">
        <f>COUNTIFS(SINIESTROS[TIPO DE VEHICULO],A2)/B2</f>
        <v>0.28215767634854771</v>
      </c>
      <c r="D2" s="81">
        <f>SUMIFS(SINIESTROS[IMPORTE PAGADO],SINIESTROS[TIPO DE VEHICULO],A2)</f>
        <v>67849593.43088159</v>
      </c>
      <c r="E2" s="82">
        <f>Tabla2[[#This Row],[MONTO PAGADO TOTAL]]/Tabla2[[#This Row],[CANTIDAD DE POLIZAS]]</f>
        <v>281533.58270075347</v>
      </c>
      <c r="F2" s="82">
        <f>Tabla2[[#This Row],[FRECUENCIA]]*Tabla2[[#This Row],[SEVERIDAD MEDIA]]</f>
        <v>79436.861508926289</v>
      </c>
      <c r="G2" s="104">
        <f>SUMIF(POLIZAS[TIPO DE VEHICULO], Tabla2[[#This Row],[TIPO DE VEHICULO]], POLIZAS[PRIMA MENSUAL]) * 12</f>
        <v>91087438.032500044</v>
      </c>
      <c r="H2" s="80">
        <f>(Tabla2[[#This Row],[MONTO PAGADO TOTAL]]) /Tabla2[[#This Row],[PRIMA TOTAL]]</f>
        <v>0.74488420024145174</v>
      </c>
      <c r="J2" s="78" t="s">
        <v>1628</v>
      </c>
      <c r="K2" s="79">
        <f>COUNTIFS(SINIESTROS[TIPO DE SINIESTRO],J2)</f>
        <v>137</v>
      </c>
      <c r="L2" s="80">
        <f>K2/COUNTA(POLIZAS[ID PÓLIZA])</f>
        <v>0.13700000000000001</v>
      </c>
      <c r="M2" s="82">
        <f>SUMIFS(SINIESTROS[IMPORTE PAGADO],SINIESTROS[TIPO DE SINIESTRO],J2)</f>
        <v>165148753.56836075</v>
      </c>
      <c r="N2" s="82">
        <f>M2/K2</f>
        <v>1205465.3545135821</v>
      </c>
      <c r="O2" s="83">
        <f>M2/COUNTA(POLIZAS[ID PÓLIZA])</f>
        <v>165148.75356836076</v>
      </c>
    </row>
    <row r="3" spans="1:15" x14ac:dyDescent="0.3">
      <c r="A3" s="100" t="s">
        <v>1610</v>
      </c>
      <c r="B3" s="79">
        <f>COUNTIFS(POLIZAS[TIPO DE VEHICULO],A3)</f>
        <v>267</v>
      </c>
      <c r="C3" s="80">
        <f>COUNTIFS(SINIESTROS[TIPO DE VEHICULO],A3)/B3</f>
        <v>0.36704119850187267</v>
      </c>
      <c r="D3" s="81">
        <f>SUMIFS(SINIESTROS[IMPORTE PAGADO],SINIESTROS[TIPO DE VEHICULO],A3)</f>
        <v>183221713.45180169</v>
      </c>
      <c r="E3" s="82">
        <f>Tabla2[[#This Row],[MONTO PAGADO TOTAL]]/Tabla2[[#This Row],[CANTIDAD DE POLIZAS]]</f>
        <v>686223.64588689769</v>
      </c>
      <c r="F3" s="82">
        <f>Tabla2[[#This Row],[FRECUENCIA]]*Tabla2[[#This Row],[SEVERIDAD MEDIA]]</f>
        <v>251872.34942665161</v>
      </c>
      <c r="G3" s="104">
        <f>SUMIF(POLIZAS[TIPO DE VEHICULO], Tabla2[[#This Row],[TIPO DE VEHICULO]], POLIZAS[PRIMA MENSUAL]) * 12</f>
        <v>175206406.43824989</v>
      </c>
      <c r="H3" s="80">
        <f>(Tabla2[[#This Row],[MONTO PAGADO TOTAL]]) /Tabla2[[#This Row],[PRIMA TOTAL]]</f>
        <v>1.045747796421912</v>
      </c>
      <c r="J3" s="78" t="s">
        <v>1629</v>
      </c>
      <c r="K3" s="79">
        <f>COUNTIFS(SINIESTROS[TIPO DE SINIESTRO],J3)</f>
        <v>53</v>
      </c>
      <c r="L3" s="80">
        <f>K3/COUNTA(POLIZAS[ID PÓLIZA])</f>
        <v>5.2999999999999999E-2</v>
      </c>
      <c r="M3" s="82">
        <f>SUMIFS(SINIESTROS[IMPORTE PAGADO],SINIESTROS[TIPO DE SINIESTRO],J3)</f>
        <v>114203720.14775176</v>
      </c>
      <c r="N3" s="82">
        <f t="shared" ref="N3:N6" si="0">M3/K3</f>
        <v>2154787.1725990898</v>
      </c>
      <c r="O3" s="83">
        <f>M3/COUNTA(POLIZAS[ID PÓLIZA])</f>
        <v>114203.72014775177</v>
      </c>
    </row>
    <row r="4" spans="1:15" x14ac:dyDescent="0.3">
      <c r="A4" s="100" t="s">
        <v>1611</v>
      </c>
      <c r="B4" s="79">
        <f>COUNTIFS(POLIZAS[TIPO DE VEHICULO],A4)</f>
        <v>260</v>
      </c>
      <c r="C4" s="80">
        <f>COUNTIFS(SINIESTROS[TIPO DE VEHICULO],A4)/B4</f>
        <v>0.28846153846153844</v>
      </c>
      <c r="D4" s="81">
        <f>SUMIFS(SINIESTROS[IMPORTE PAGADO],SINIESTROS[TIPO DE VEHICULO],A4)</f>
        <v>163846168.52732703</v>
      </c>
      <c r="E4" s="82">
        <f>Tabla2[[#This Row],[MONTO PAGADO TOTAL]]/Tabla2[[#This Row],[CANTIDAD DE POLIZAS]]</f>
        <v>630177.57125895016</v>
      </c>
      <c r="F4" s="82">
        <f>Tabla2[[#This Row],[FRECUENCIA]]*Tabla2[[#This Row],[SEVERIDAD MEDIA]]</f>
        <v>181781.99170931254</v>
      </c>
      <c r="G4" s="104">
        <f>SUMIF(POLIZAS[TIPO DE VEHICULO], Tabla2[[#This Row],[TIPO DE VEHICULO]], POLIZAS[PRIMA MENSUAL]) * 12</f>
        <v>218063181.82362503</v>
      </c>
      <c r="H4" s="80">
        <f>(Tabla2[[#This Row],[MONTO PAGADO TOTAL]]) /Tabla2[[#This Row],[PRIMA TOTAL]]</f>
        <v>0.75137016325777506</v>
      </c>
      <c r="J4" s="78" t="s">
        <v>1630</v>
      </c>
      <c r="K4" s="79">
        <f>COUNTIFS(SINIESTROS[TIPO DE SINIESTRO],J4)</f>
        <v>45</v>
      </c>
      <c r="L4" s="80">
        <f>K4/COUNTA(POLIZAS[ID PÓLIZA])</f>
        <v>4.4999999999999998E-2</v>
      </c>
      <c r="M4" s="82">
        <f>SUMIFS(SINIESTROS[IMPORTE PAGADO],SINIESTROS[TIPO DE SINIESTRO],J4)</f>
        <v>85837367.797988012</v>
      </c>
      <c r="N4" s="82">
        <f t="shared" si="0"/>
        <v>1907497.0621775114</v>
      </c>
      <c r="O4" s="83">
        <f>M4/COUNTA(POLIZAS[ID PÓLIZA])</f>
        <v>85837.367797988016</v>
      </c>
    </row>
    <row r="5" spans="1:15" x14ac:dyDescent="0.3">
      <c r="A5" s="100" t="s">
        <v>1612</v>
      </c>
      <c r="B5" s="79">
        <f>COUNTIFS(POLIZAS[TIPO DE VEHICULO],A5)</f>
        <v>232</v>
      </c>
      <c r="C5" s="80">
        <f>COUNTIFS(SINIESTROS[TIPO DE VEHICULO],A5)/B5</f>
        <v>0.25431034482758619</v>
      </c>
      <c r="D5" s="81">
        <f>SUMIFS(SINIESTROS[IMPORTE PAGADO],SINIESTROS[TIPO DE VEHICULO],A5)</f>
        <v>51431515.227370359</v>
      </c>
      <c r="E5" s="82">
        <f>Tabla2[[#This Row],[MONTO PAGADO TOTAL]]/Tabla2[[#This Row],[CANTIDAD DE POLIZAS]]</f>
        <v>221687.56563521706</v>
      </c>
      <c r="F5" s="82">
        <f>Tabla2[[#This Row],[FRECUENCIA]]*Tabla2[[#This Row],[SEVERIDAD MEDIA]]</f>
        <v>56377.4412606802</v>
      </c>
      <c r="G5" s="104">
        <f>SUMIF(POLIZAS[TIPO DE VEHICULO], Tabla2[[#This Row],[TIPO DE VEHICULO]], POLIZAS[PRIMA MENSUAL]) * 12</f>
        <v>118594743.12787503</v>
      </c>
      <c r="H5" s="80">
        <f>(Tabla2[[#This Row],[MONTO PAGADO TOTAL]]) /Tabla2[[#This Row],[PRIMA TOTAL]]</f>
        <v>0.43367449408709641</v>
      </c>
      <c r="J5" s="78" t="s">
        <v>1631</v>
      </c>
      <c r="K5" s="79">
        <f>COUNTIFS(SINIESTROS[TIPO DE SINIESTRO],J5)</f>
        <v>22</v>
      </c>
      <c r="L5" s="80">
        <f>K5/COUNTA(POLIZAS[ID PÓLIZA])</f>
        <v>2.1999999999999999E-2</v>
      </c>
      <c r="M5" s="82">
        <f>SUMIFS(SINIESTROS[IMPORTE PAGADO],SINIESTROS[TIPO DE SINIESTRO],J5)</f>
        <v>21614631.242807113</v>
      </c>
      <c r="N5" s="82">
        <f t="shared" si="0"/>
        <v>982483.23830941424</v>
      </c>
      <c r="O5" s="83">
        <f>M5/COUNTA(POLIZAS[ID PÓLIZA])</f>
        <v>21614.631242807114</v>
      </c>
    </row>
    <row r="6" spans="1:15" x14ac:dyDescent="0.3">
      <c r="G6" s="105"/>
      <c r="J6" s="23" t="s">
        <v>1632</v>
      </c>
      <c r="K6" s="84">
        <f>COUNTIFS(SINIESTROS[TIPO DE SINIESTRO],J6)</f>
        <v>43</v>
      </c>
      <c r="L6" s="85">
        <f>K6/COUNTA(POLIZAS[ID PÓLIZA])</f>
        <v>4.2999999999999997E-2</v>
      </c>
      <c r="M6" s="86">
        <f>SUMIFS(SINIESTROS[IMPORTE PAGADO],SINIESTROS[TIPO DE SINIESTRO],J6)</f>
        <v>79544517.880473047</v>
      </c>
      <c r="N6" s="86">
        <f t="shared" si="0"/>
        <v>1849872.5088482103</v>
      </c>
      <c r="O6" s="87">
        <f>M6/COUNTA(POLIZAS[ID PÓLIZA])</f>
        <v>79544.517880473053</v>
      </c>
    </row>
    <row r="9" spans="1:15" x14ac:dyDescent="0.3">
      <c r="A9" s="88" t="s">
        <v>1994</v>
      </c>
      <c r="B9" s="88" t="s">
        <v>1995</v>
      </c>
      <c r="C9" s="88" t="s">
        <v>1996</v>
      </c>
      <c r="D9" s="88" t="s">
        <v>1997</v>
      </c>
      <c r="E9" s="88" t="s">
        <v>1998</v>
      </c>
      <c r="F9" s="88" t="s">
        <v>1999</v>
      </c>
      <c r="G9" s="88" t="s">
        <v>2000</v>
      </c>
    </row>
    <row r="10" spans="1:15" x14ac:dyDescent="0.3">
      <c r="A10" s="89" t="s">
        <v>1609</v>
      </c>
      <c r="B10" s="82">
        <f>SUMIFS(SINIESTROS[IMPORTE PAGADO], SINIESTROS[TIPO DE VEHICULO], $A10, SINIESTROS[TIPO DE SINIESTRO], B$9)</f>
        <v>4431677.1926870607</v>
      </c>
      <c r="C10" s="82">
        <f>SUMIFS(SINIESTROS[IMPORTE PAGADO], SINIESTROS[TIPO DE VEHICULO], $A10, SINIESTROS[TIPO DE SINIESTRO], C$9)</f>
        <v>13764818.402309876</v>
      </c>
      <c r="D10" s="82">
        <f>SUMIFS(SINIESTROS[IMPORTE PAGADO], SINIESTROS[TIPO DE VEHICULO], $A10, SINIESTROS[TIPO DE SINIESTRO], D$9)</f>
        <v>21755526.151815943</v>
      </c>
      <c r="E10" s="82">
        <f>SUMIFS(SINIESTROS[IMPORTE PAGADO], SINIESTROS[TIPO DE VEHICULO], $A10, SINIESTROS[TIPO DE SINIESTRO], E$9)</f>
        <v>20405387.075389978</v>
      </c>
      <c r="F10" s="82">
        <f>SUMIFS(SINIESTROS[IMPORTE PAGADO], SINIESTROS[TIPO DE VEHICULO], $A10, SINIESTROS[TIPO DE SINIESTRO], F$9)</f>
        <v>7492184.6086787442</v>
      </c>
      <c r="G10" s="103">
        <f>SUM(Tabla5[[#This Row],[COLISIÓN]:[DAÑOS POR GRANIZO]])</f>
        <v>67849593.430881605</v>
      </c>
      <c r="H10" s="98"/>
      <c r="J10" s="22"/>
    </row>
    <row r="11" spans="1:15" x14ac:dyDescent="0.3">
      <c r="A11" s="89" t="s">
        <v>1610</v>
      </c>
      <c r="B11" s="82">
        <f>SUMIFS(SINIESTROS[IMPORTE PAGADO], SINIESTROS[TIPO DE VEHICULO], $A11, SINIESTROS[TIPO DE SINIESTRO], B$9)</f>
        <v>56352753.976945028</v>
      </c>
      <c r="C11" s="82">
        <f>SUMIFS(SINIESTROS[IMPORTE PAGADO], SINIESTROS[TIPO DE VEHICULO], $A11, SINIESTROS[TIPO DE SINIESTRO], C$9)</f>
        <v>65878401.152077839</v>
      </c>
      <c r="D11" s="82">
        <f>SUMIFS(SINIESTROS[IMPORTE PAGADO], SINIESTROS[TIPO DE VEHICULO], $A11, SINIESTROS[TIPO DE SINIESTRO], D$9)</f>
        <v>37456487.903757364</v>
      </c>
      <c r="E11" s="82">
        <f>SUMIFS(SINIESTROS[IMPORTE PAGADO], SINIESTROS[TIPO DE VEHICULO], $A11, SINIESTROS[TIPO DE SINIESTRO], E$9)</f>
        <v>310451.93589318643</v>
      </c>
      <c r="F11" s="82">
        <f>SUMIFS(SINIESTROS[IMPORTE PAGADO], SINIESTROS[TIPO DE VEHICULO], $A11, SINIESTROS[TIPO DE SINIESTRO], F$9)</f>
        <v>23223618.483128276</v>
      </c>
      <c r="G11" s="103">
        <f>SUM(Tabla5[[#This Row],[COLISIÓN]:[DAÑOS POR GRANIZO]])</f>
        <v>183221713.45180169</v>
      </c>
      <c r="H11" s="98"/>
    </row>
    <row r="12" spans="1:15" x14ac:dyDescent="0.3">
      <c r="A12" s="89" t="s">
        <v>1611</v>
      </c>
      <c r="B12" s="82">
        <f>SUMIFS(SINIESTROS[IMPORTE PAGADO], SINIESTROS[TIPO DE VEHICULO], $A12, SINIESTROS[TIPO DE SINIESTRO], B$9)</f>
        <v>79769604.329395816</v>
      </c>
      <c r="C12" s="82">
        <f>SUMIFS(SINIESTROS[IMPORTE PAGADO], SINIESTROS[TIPO DE VEHICULO], $A12, SINIESTROS[TIPO DE SINIESTRO], C$9)</f>
        <v>28015226.082840506</v>
      </c>
      <c r="D12" s="82">
        <f>SUMIFS(SINIESTROS[IMPORTE PAGADO], SINIESTROS[TIPO DE VEHICULO], $A12, SINIESTROS[TIPO DE SINIESTRO], D$9)</f>
        <v>13630071.257781602</v>
      </c>
      <c r="E12" s="82">
        <f>SUMIFS(SINIESTROS[IMPORTE PAGADO], SINIESTROS[TIPO DE VEHICULO], $A12, SINIESTROS[TIPO DE SINIESTRO], E$9)</f>
        <v>898792.23152395117</v>
      </c>
      <c r="F12" s="82">
        <f>SUMIFS(SINIESTROS[IMPORTE PAGADO], SINIESTROS[TIPO DE VEHICULO], $A12, SINIESTROS[TIPO DE SINIESTRO], F$9)</f>
        <v>41532474.625785157</v>
      </c>
      <c r="G12" s="103">
        <f>SUM(Tabla5[[#This Row],[COLISIÓN]:[DAÑOS POR GRANIZO]])</f>
        <v>163846168.52732703</v>
      </c>
      <c r="H12" s="98"/>
    </row>
    <row r="13" spans="1:15" x14ac:dyDescent="0.3">
      <c r="A13" s="89" t="s">
        <v>1612</v>
      </c>
      <c r="B13" s="82">
        <f>SUMIFS(SINIESTROS[IMPORTE PAGADO], SINIESTROS[TIPO DE VEHICULO], $A13, SINIESTROS[TIPO DE SINIESTRO], B$9)</f>
        <v>24594718.06933286</v>
      </c>
      <c r="C13" s="82">
        <f>SUMIFS(SINIESTROS[IMPORTE PAGADO], SINIESTROS[TIPO DE VEHICULO], $A13, SINIESTROS[TIPO DE SINIESTRO], C$9)</f>
        <v>6545274.5105235316</v>
      </c>
      <c r="D13" s="82">
        <f>SUMIFS(SINIESTROS[IMPORTE PAGADO], SINIESTROS[TIPO DE VEHICULO], $A13, SINIESTROS[TIPO DE SINIESTRO], D$9)</f>
        <v>12995282.484633096</v>
      </c>
      <c r="E13" s="82">
        <f>SUMIFS(SINIESTROS[IMPORTE PAGADO], SINIESTROS[TIPO DE VEHICULO], $A13, SINIESTROS[TIPO DE SINIESTRO], E$9)</f>
        <v>0</v>
      </c>
      <c r="F13" s="82">
        <f>SUMIFS(SINIESTROS[IMPORTE PAGADO], SINIESTROS[TIPO DE VEHICULO], $A13, SINIESTROS[TIPO DE SINIESTRO], F$9)</f>
        <v>7296240.1628808901</v>
      </c>
      <c r="G13" s="103">
        <f>SUM(Tabla5[[#This Row],[COLISIÓN]:[DAÑOS POR GRANIZO]])</f>
        <v>51431515.227370374</v>
      </c>
      <c r="H13" s="98"/>
    </row>
    <row r="14" spans="1:15" x14ac:dyDescent="0.3">
      <c r="A14" s="102" t="s">
        <v>2001</v>
      </c>
      <c r="B14" s="101">
        <f>SUM(B10:B13)</f>
        <v>165148753.56836078</v>
      </c>
      <c r="C14" s="101">
        <f t="shared" ref="C14:F14" si="1">SUM(C10:C13)</f>
        <v>114203720.14775175</v>
      </c>
      <c r="D14" s="101">
        <f t="shared" si="1"/>
        <v>85837367.797987998</v>
      </c>
      <c r="E14" s="101">
        <f t="shared" si="1"/>
        <v>21614631.242807113</v>
      </c>
      <c r="F14" s="101">
        <f t="shared" si="1"/>
        <v>79544517.880473077</v>
      </c>
      <c r="G14" s="101">
        <f>SUM(Tabla5[[#This Row],[COLISIÓN]:[DAÑOS POR GRANIZO]])</f>
        <v>466348990.63738066</v>
      </c>
      <c r="H14" s="99"/>
    </row>
  </sheetData>
  <conditionalFormatting sqref="B10:F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LISTAS</vt:lpstr>
      <vt:lpstr>POLIZAS</vt:lpstr>
      <vt:lpstr>SINIESTROS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Thiago Udi</cp:lastModifiedBy>
  <cp:lastPrinted>2026-09-22T00:46:48Z</cp:lastPrinted>
  <dcterms:created xsi:type="dcterms:W3CDTF">2015-06-05T18:19:34Z</dcterms:created>
  <dcterms:modified xsi:type="dcterms:W3CDTF">2026-09-22T01:11:27Z</dcterms:modified>
</cp:coreProperties>
</file>